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46326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46326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46326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46326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46326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46326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46326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A 44098-2026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46318</v>
      </c>
      <c r="E10" s="1" t="n">
        <v>46326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6.4</v>
      </c>
      <c r="J10" t="n">
        <v>2</v>
      </c>
      <c r="K10" t="n">
        <v>3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8</v>
      </c>
      <c r="U10" t="n">
        <v>8</v>
      </c>
      <c r="V10" s="2" t="inlineStr">
        <is>
          <t>Garnlav
Knärot
Gammelgransskål
Rosenticka
Bollvitmossa
Skogshakmossa
Vedticka
Fläcknycklar</t>
        </is>
      </c>
      <c r="W10">
        <f>HYPERLINK("https://klasma.github.io/Logging_2513/artfynd/A 44098-2026 artfynd.xlsx", "A 44098-2026")</f>
        <v/>
      </c>
      <c r="X10">
        <f>HYPERLINK("https://klasma.github.io/Logging_2513/kartor/A 44098-2026 karta.png", "A 44098-2026")</f>
        <v/>
      </c>
      <c r="Y10">
        <f>HYPERLINK("https://klasma.github.io/Logging_2513/kartor_geotiff/A 44098-2026 georefererad karta.tif", "A 44098-2026")</f>
        <v/>
      </c>
      <c r="Z10">
        <f>HYPERLINK("https://klasma.github.io/Logging_2513/knärot/A 44098-2026 karta knärot.png", "A 44098-2026")</f>
        <v/>
      </c>
      <c r="AA10">
        <f>HYPERLINK("https://klasma.github.io/Logging_2513/klagomål/A 44098-2026 FSC-klagomål.docx", "A 44098-2026")</f>
        <v/>
      </c>
      <c r="AB10">
        <f>HYPERLINK("https://klasma.github.io/Logging_2513/klagomålsmail/A 44098-2026 FSC-klagomål mail.docx", "A 44098-2026")</f>
        <v/>
      </c>
      <c r="AC10">
        <f>HYPERLINK("https://klasma.github.io/Logging_2513/tillsyn/A 44098-2026 tillsynsbegäran.docx", "A 44098-2026")</f>
        <v/>
      </c>
      <c r="AD10">
        <f>HYPERLINK("https://klasma.github.io/Logging_2513/tillsynsmail/A 44098-2026 tillsynsbegäran mail.docx", "A 44098-2026")</f>
        <v/>
      </c>
    </row>
    <row r="11" ht="15" customHeight="1">
      <c r="A11" t="inlineStr">
        <is>
          <t>S 3227-2025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45981</v>
      </c>
      <c r="E11" s="1" t="n">
        <v>46326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3.3</v>
      </c>
      <c r="J11" t="n">
        <v>3</v>
      </c>
      <c r="K11" t="n">
        <v>5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17</v>
      </c>
      <c r="U11" t="n">
        <v>0</v>
      </c>
      <c r="V11" s="2" t="inlineStr">
        <is>
          <t>Garnlav
Gammelgransskål
Lunglav
Bollvitmossa
Korallrot
Lappranunkel
Spindelblomster
Ögonpyrola</t>
        </is>
      </c>
      <c r="W11">
        <f>HYPERLINK("https://klasma.github.io/Logging_2513/artfynd/S 3227-2025 artfynd.xlsx", "S 3227-2025")</f>
        <v/>
      </c>
      <c r="X11">
        <f>HYPERLINK("https://klasma.github.io/Logging_2513/kartor/S 3227-2025 karta.png", "S 3227-2025")</f>
        <v/>
      </c>
      <c r="Y11">
        <f>HYPERLINK("https://klasma.github.io/Logging_2513/kartor_geotiff/S 3227-2025 georefererad karta.tif", "S 3227-2025")</f>
        <v/>
      </c>
      <c r="AA11">
        <f>HYPERLINK("https://klasma.github.io/Logging_2513/klagomål/S 3227-2025 FSC-klagomål.docx", "S 3227-2025")</f>
        <v/>
      </c>
      <c r="AB11">
        <f>HYPERLINK("https://klasma.github.io/Logging_2513/klagomålsmail/S 3227-2025 FSC-klagomål mail.docx", "S 3227-2025")</f>
        <v/>
      </c>
      <c r="AC11">
        <f>HYPERLINK("https://klasma.github.io/Logging_2513/tillsyn/S 3227-2025 tillsynsbegäran.docx", "S 3227-2025")</f>
        <v/>
      </c>
      <c r="AD11">
        <f>HYPERLINK("https://klasma.github.io/Logging_2513/tillsynsmail/S 3227-2025 tillsynsbegäran mail.docx", "S 3227-2025")</f>
        <v/>
      </c>
    </row>
    <row r="12" ht="15" customHeight="1">
      <c r="A12" t="inlineStr">
        <is>
          <t>A 37997-2024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45544</v>
      </c>
      <c r="E12" s="1" t="n">
        <v>46326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1.9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11</v>
      </c>
      <c r="U12" t="n">
        <v>11</v>
      </c>
      <c r="V12" s="2" t="inlineStr">
        <is>
          <t>Knärot
Gammelgransskål
Kolflarnlav
Lunglav
Motaggsvamp
Spindelblomster
Fläcknycklar</t>
        </is>
      </c>
      <c r="W12">
        <f>HYPERLINK("https://klasma.github.io/Logging_2513/artfynd/A 37997-2024 artfynd.xlsx", "A 37997-2024")</f>
        <v/>
      </c>
      <c r="X12">
        <f>HYPERLINK("https://klasma.github.io/Logging_2513/kartor/A 37997-2024 karta.png", "A 37997-2024")</f>
        <v/>
      </c>
      <c r="Y12">
        <f>HYPERLINK("https://klasma.github.io/Logging_2513/kartor_geotiff/A 37997-2024 georefererad karta.tif", "A 37997-2024")</f>
        <v/>
      </c>
      <c r="Z12">
        <f>HYPERLINK("https://klasma.github.io/Logging_2513/knärot/A 37997-2024 karta knärot.png", "A 37997-2024")</f>
        <v/>
      </c>
      <c r="AA12">
        <f>HYPERLINK("https://klasma.github.io/Logging_2513/klagomål/A 37997-2024 FSC-klagomål.docx", "A 37997-2024")</f>
        <v/>
      </c>
      <c r="AB12">
        <f>HYPERLINK("https://klasma.github.io/Logging_2513/klagomålsmail/A 37997-2024 FSC-klagomål mail.docx", "A 37997-2024")</f>
        <v/>
      </c>
      <c r="AC12">
        <f>HYPERLINK("https://klasma.github.io/Logging_2513/tillsyn/A 37997-2024 tillsynsbegäran.docx", "A 37997-2024")</f>
        <v/>
      </c>
      <c r="AD12">
        <f>HYPERLINK("https://klasma.github.io/Logging_2513/tillsynsmail/A 37997-2024 tillsynsbegäran mail.docx", "A 37997-2024")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46326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46326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46326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39772-2026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46326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13.2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Tallgråticka
Blå taggsvamp
Orange taggsvamp
Talltaggsvamp
Vaddporing</t>
        </is>
      </c>
      <c r="W16">
        <f>HYPERLINK("https://klasma.github.io/Logging_2513/artfynd/A 39772-2026 artfynd.xlsx", "A 39772-2026")</f>
        <v/>
      </c>
      <c r="X16">
        <f>HYPERLINK("https://klasma.github.io/Logging_2513/kartor/A 39772-2026 karta.png", "A 39772-2026")</f>
        <v/>
      </c>
      <c r="Y16">
        <f>HYPERLINK("https://klasma.github.io/Logging_2513/kartor_geotiff/A 39772-2026 georefererad karta.tif", "A 39772-2026")</f>
        <v/>
      </c>
      <c r="AA16">
        <f>HYPERLINK("https://klasma.github.io/Logging_2513/klagomål/A 39772-2026 FSC-klagomål.docx", "A 39772-2026")</f>
        <v/>
      </c>
      <c r="AB16">
        <f>HYPERLINK("https://klasma.github.io/Logging_2513/klagomålsmail/A 39772-2026 FSC-klagomål mail.docx", "A 39772-2026")</f>
        <v/>
      </c>
      <c r="AC16">
        <f>HYPERLINK("https://klasma.github.io/Logging_2513/tillsyn/A 39772-2026 tillsynsbegäran.docx", "A 39772-2026")</f>
        <v/>
      </c>
      <c r="AD16">
        <f>HYPERLINK("https://klasma.github.io/Logging_2513/tillsynsmail/A 39772-2026 tillsynsbegäran mail.docx", "A 39772-2026")</f>
        <v/>
      </c>
    </row>
    <row r="17" ht="15" customHeight="1">
      <c r="A17" t="inlineStr">
        <is>
          <t>A 1827-2025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46326</v>
      </c>
      <c r="F17" t="inlineStr">
        <is>
          <t>NORRBOTTENS LÄN</t>
        </is>
      </c>
      <c r="G17" t="inlineStr">
        <is>
          <t>ÖVERKALIX</t>
        </is>
      </c>
      <c r="I17" t="n">
        <v>7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Stuplav
Spillkråka
Tjäder</t>
        </is>
      </c>
      <c r="W17">
        <f>HYPERLINK("https://klasma.github.io/Logging_2513/artfynd/A 1827-2025 artfynd.xlsx", "A 1827-2025")</f>
        <v/>
      </c>
      <c r="X17">
        <f>HYPERLINK("https://klasma.github.io/Logging_2513/kartor/A 1827-2025 karta.png", "A 1827-2025")</f>
        <v/>
      </c>
      <c r="Y17">
        <f>HYPERLINK("https://klasma.github.io/Logging_2513/kartor_geotiff/A 1827-2025 georefererad karta.tif", "A 1827-2025")</f>
        <v/>
      </c>
      <c r="AA17">
        <f>HYPERLINK("https://klasma.github.io/Logging_2513/klagomål/A 1827-2025 FSC-klagomål.docx", "A 1827-2025")</f>
        <v/>
      </c>
      <c r="AB17">
        <f>HYPERLINK("https://klasma.github.io/Logging_2513/klagomålsmail/A 1827-2025 FSC-klagomål mail.docx", "A 1827-2025")</f>
        <v/>
      </c>
      <c r="AC17">
        <f>HYPERLINK("https://klasma.github.io/Logging_2513/tillsyn/A 1827-2025 tillsynsbegäran.docx", "A 1827-2025")</f>
        <v/>
      </c>
      <c r="AD17">
        <f>HYPERLINK("https://klasma.github.io/Logging_2513/tillsynsmail/A 1827-2025 tillsynsbegäran mail.docx", "A 1827-2025")</f>
        <v/>
      </c>
      <c r="AE17">
        <f>HYPERLINK("https://klasma.github.io/Logging_2513/fåglar/A 1827-2025 prioriterade fågelarter.docx", "A 1827-2025")</f>
        <v/>
      </c>
    </row>
    <row r="18" ht="15" customHeight="1">
      <c r="A18" t="inlineStr">
        <is>
          <t>S 440-2023</t>
        </is>
      </c>
      <c r="B18" t="inlineStr">
        <is>
          <t>samrådsanmälan</t>
        </is>
      </c>
      <c r="C18" t="inlineStr">
        <is>
          <t>Skogsgödsling</t>
        </is>
      </c>
      <c r="D18" s="1" t="n">
        <v>44960</v>
      </c>
      <c r="E18" s="1" t="n">
        <v>46326</v>
      </c>
      <c r="F18" t="inlineStr">
        <is>
          <t>NORRBOTTENS LÄN</t>
        </is>
      </c>
      <c r="G18" t="inlineStr">
        <is>
          <t>ÖVERKALIX</t>
        </is>
      </c>
      <c r="H18" t="inlineStr">
        <is>
          <t>SCA</t>
        </is>
      </c>
      <c r="I18" t="n">
        <v>164.8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Älg
Järpe
Spillkråka
Tallbit</t>
        </is>
      </c>
      <c r="W18">
        <f>HYPERLINK("https://klasma.github.io/Logging_2513/artfynd/S 440-2023 artfynd.xlsx", "S 440-2023")</f>
        <v/>
      </c>
      <c r="X18">
        <f>HYPERLINK("https://klasma.github.io/Logging_2513/kartor/S 440-2023 karta.png", "S 440-2023")</f>
        <v/>
      </c>
      <c r="Y18">
        <f>HYPERLINK("https://klasma.github.io/Logging_2513/kartor_geotiff/S 440-2023 georefererad karta.tif", "S 440-2023")</f>
        <v/>
      </c>
      <c r="AA18">
        <f>HYPERLINK("https://klasma.github.io/Logging_2513/klagomål/S 440-2023 FSC-klagomål.docx", "S 440-2023")</f>
        <v/>
      </c>
      <c r="AB18">
        <f>HYPERLINK("https://klasma.github.io/Logging_2513/klagomålsmail/S 440-2023 FSC-klagomål mail.docx", "S 440-2023")</f>
        <v/>
      </c>
      <c r="AC18">
        <f>HYPERLINK("https://klasma.github.io/Logging_2513/tillsyn/S 440-2023 tillsynsbegäran.docx", "S 440-2023")</f>
        <v/>
      </c>
      <c r="AD18">
        <f>HYPERLINK("https://klasma.github.io/Logging_2513/tillsynsmail/S 440-2023 tillsynsbegäran mail.docx", "S 440-2023")</f>
        <v/>
      </c>
      <c r="AE18">
        <f>HYPERLINK("https://klasma.github.io/Logging_2513/fåglar/S 440-2023 prioriterade fågelarter.docx", "S 440-2023")</f>
        <v/>
      </c>
    </row>
    <row r="19" ht="15" customHeight="1">
      <c r="A19" t="inlineStr">
        <is>
          <t>S 2267-2025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45874</v>
      </c>
      <c r="E19" s="1" t="n">
        <v>46326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1.7</v>
      </c>
      <c r="J19" t="n">
        <v>1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4</v>
      </c>
      <c r="U19" t="n">
        <v>0</v>
      </c>
      <c r="V19" s="2" t="inlineStr">
        <is>
          <t>Djupsvart brunbagge
Tornseglare
Rosenticka
Ullticka</t>
        </is>
      </c>
      <c r="W19">
        <f>HYPERLINK("https://klasma.github.io/Logging_2513/artfynd/S 2267-2025 artfynd.xlsx", "S 2267-2025")</f>
        <v/>
      </c>
      <c r="X19">
        <f>HYPERLINK("https://klasma.github.io/Logging_2513/kartor/S 2267-2025 karta.png", "S 2267-2025")</f>
        <v/>
      </c>
      <c r="Y19">
        <f>HYPERLINK("https://klasma.github.io/Logging_2513/kartor_geotiff/S 2267-2025 georefererad karta.tif", "S 2267-2025")</f>
        <v/>
      </c>
      <c r="AA19">
        <f>HYPERLINK("https://klasma.github.io/Logging_2513/klagomål/S 2267-2025 FSC-klagomål.docx", "S 2267-2025")</f>
        <v/>
      </c>
      <c r="AB19">
        <f>HYPERLINK("https://klasma.github.io/Logging_2513/klagomålsmail/S 2267-2025 FSC-klagomål mail.docx", "S 2267-2025")</f>
        <v/>
      </c>
      <c r="AC19">
        <f>HYPERLINK("https://klasma.github.io/Logging_2513/tillsyn/S 2267-2025 tillsynsbegäran.docx", "S 2267-2025")</f>
        <v/>
      </c>
      <c r="AD19">
        <f>HYPERLINK("https://klasma.github.io/Logging_2513/tillsynsmail/S 2267-2025 tillsynsbegäran mail.docx", "S 2267-2025")</f>
        <v/>
      </c>
      <c r="AE19">
        <f>HYPERLINK("https://klasma.github.io/Logging_2513/fåglar/S 2267-2025 prioriterade fågelarter.docx", "S 2267-2025")</f>
        <v/>
      </c>
    </row>
    <row r="20" ht="15" customHeight="1">
      <c r="A20" t="inlineStr">
        <is>
          <t>A 17802-2025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45758</v>
      </c>
      <c r="E20" s="1" t="n">
        <v>46326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1.6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Hökuggla
Älg
Tjäder</t>
        </is>
      </c>
      <c r="W20">
        <f>HYPERLINK("https://klasma.github.io/Logging_2513/artfynd/A 17802-2025 artfynd.xlsx", "A 17802-2025")</f>
        <v/>
      </c>
      <c r="X20">
        <f>HYPERLINK("https://klasma.github.io/Logging_2513/kartor/A 17802-2025 karta.png", "A 17802-2025")</f>
        <v/>
      </c>
      <c r="Y20">
        <f>HYPERLINK("https://klasma.github.io/Logging_2513/kartor_geotiff/A 17802-2025 georefererad karta.tif", "A 17802-2025")</f>
        <v/>
      </c>
      <c r="AA20">
        <f>HYPERLINK("https://klasma.github.io/Logging_2513/klagomål/A 17802-2025 FSC-klagomål.docx", "A 17802-2025")</f>
        <v/>
      </c>
      <c r="AB20">
        <f>HYPERLINK("https://klasma.github.io/Logging_2513/klagomålsmail/A 17802-2025 FSC-klagomål mail.docx", "A 17802-2025")</f>
        <v/>
      </c>
      <c r="AC20">
        <f>HYPERLINK("https://klasma.github.io/Logging_2513/tillsyn/A 17802-2025 tillsynsbegäran.docx", "A 17802-2025")</f>
        <v/>
      </c>
      <c r="AD20">
        <f>HYPERLINK("https://klasma.github.io/Logging_2513/tillsynsmail/A 17802-2025 tillsynsbegäran mail.docx", "A 17802-2025")</f>
        <v/>
      </c>
      <c r="AE20">
        <f>HYPERLINK("https://klasma.github.io/Logging_2513/fåglar/A 17802-2025 prioriterade fågelarter.docx", "A 17802-2025")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46326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46326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46326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42872-2025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46326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Blå taggsvamp
Dropptaggsvamp
Skarp dropptaggsvamp</t>
        </is>
      </c>
      <c r="W24">
        <f>HYPERLINK("https://klasma.github.io/Logging_2513/artfynd/A 42872-2025 artfynd.xlsx", "A 42872-2025")</f>
        <v/>
      </c>
      <c r="X24">
        <f>HYPERLINK("https://klasma.github.io/Logging_2513/kartor/A 42872-2025 karta.png", "A 42872-2025")</f>
        <v/>
      </c>
      <c r="Y24">
        <f>HYPERLINK("https://klasma.github.io/Logging_2513/kartor_geotiff/A 42872-2025 georefererad karta.tif", "A 42872-2025")</f>
        <v/>
      </c>
      <c r="AA24">
        <f>HYPERLINK("https://klasma.github.io/Logging_2513/klagomål/A 42872-2025 FSC-klagomål.docx", "A 42872-2025")</f>
        <v/>
      </c>
      <c r="AB24">
        <f>HYPERLINK("https://klasma.github.io/Logging_2513/klagomålsmail/A 42872-2025 FSC-klagomål mail.docx", "A 42872-2025")</f>
        <v/>
      </c>
      <c r="AC24">
        <f>HYPERLINK("https://klasma.github.io/Logging_2513/tillsyn/A 42872-2025 tillsynsbegäran.docx", "A 42872-2025")</f>
        <v/>
      </c>
      <c r="AD24">
        <f>HYPERLINK("https://klasma.github.io/Logging_2513/tillsynsmail/A 42872-2025 tillsynsbegäran mail.docx", "A 42872-2025")</f>
        <v/>
      </c>
    </row>
    <row r="25" ht="15" customHeight="1">
      <c r="A25" t="inlineStr">
        <is>
          <t>A 19275-2025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46326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16.3</v>
      </c>
      <c r="J25" t="n">
        <v>2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5</v>
      </c>
      <c r="U25" t="n">
        <v>3</v>
      </c>
      <c r="V25" s="2" t="inlineStr">
        <is>
          <t>Fläckporing
Knärot
Plattlummer</t>
        </is>
      </c>
      <c r="W25">
        <f>HYPERLINK("https://klasma.github.io/Logging_2513/artfynd/A 19275-2025 artfynd.xlsx", "A 19275-2025")</f>
        <v/>
      </c>
      <c r="X25">
        <f>HYPERLINK("https://klasma.github.io/Logging_2513/kartor/A 19275-2025 karta.png", "A 19275-2025")</f>
        <v/>
      </c>
      <c r="Y25">
        <f>HYPERLINK("https://klasma.github.io/Logging_2513/kartor_geotiff/A 19275-2025 georefererad karta.tif", "A 19275-2025")</f>
        <v/>
      </c>
      <c r="Z25">
        <f>HYPERLINK("https://klasma.github.io/Logging_2513/knärot/A 19275-2025 karta knärot.png", "A 19275-2025")</f>
        <v/>
      </c>
      <c r="AA25">
        <f>HYPERLINK("https://klasma.github.io/Logging_2513/klagomål/A 19275-2025 FSC-klagomål.docx", "A 19275-2025")</f>
        <v/>
      </c>
      <c r="AB25">
        <f>HYPERLINK("https://klasma.github.io/Logging_2513/klagomålsmail/A 19275-2025 FSC-klagomål mail.docx", "A 19275-2025")</f>
        <v/>
      </c>
      <c r="AC25">
        <f>HYPERLINK("https://klasma.github.io/Logging_2513/tillsyn/A 19275-2025 tillsynsbegäran.docx", "A 19275-2025")</f>
        <v/>
      </c>
      <c r="AD25">
        <f>HYPERLINK("https://klasma.github.io/Logging_2513/tillsynsmail/A 19275-2025 tillsynsbegäran mail.docx", "A 19275-2025")</f>
        <v/>
      </c>
    </row>
    <row r="26" ht="15" customHeight="1">
      <c r="A26" t="inlineStr">
        <is>
          <t>A 25544-2026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46326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Tallgråticka
Blå taggsvamp
Skarp dropptaggsvamp</t>
        </is>
      </c>
      <c r="W26">
        <f>HYPERLINK("https://klasma.github.io/Logging_2513/artfynd/A 25544-2026 artfynd.xlsx", "A 25544-2026")</f>
        <v/>
      </c>
      <c r="X26">
        <f>HYPERLINK("https://klasma.github.io/Logging_2513/kartor/A 25544-2026 karta.png", "A 25544-2026")</f>
        <v/>
      </c>
      <c r="Y26">
        <f>HYPERLINK("https://klasma.github.io/Logging_2513/kartor_geotiff/A 25544-2026 georefererad karta.tif", "A 25544-2026")</f>
        <v/>
      </c>
      <c r="AA26">
        <f>HYPERLINK("https://klasma.github.io/Logging_2513/klagomål/A 25544-2026 FSC-klagomål.docx", "A 25544-2026")</f>
        <v/>
      </c>
      <c r="AB26">
        <f>HYPERLINK("https://klasma.github.io/Logging_2513/klagomålsmail/A 25544-2026 FSC-klagomål mail.docx", "A 25544-2026")</f>
        <v/>
      </c>
      <c r="AC26">
        <f>HYPERLINK("https://klasma.github.io/Logging_2513/tillsyn/A 25544-2026 tillsynsbegäran.docx", "A 25544-2026")</f>
        <v/>
      </c>
      <c r="AD26">
        <f>HYPERLINK("https://klasma.github.io/Logging_2513/tillsynsmail/A 25544-2026 tillsynsbegäran mail.docx", "A 25544-2026")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46326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25551-2026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46177</v>
      </c>
      <c r="E28" s="1" t="n">
        <v>46326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Goliatmusseron
Blå taggsvamp
Orange taggsvamp</t>
        </is>
      </c>
      <c r="W28">
        <f>HYPERLINK("https://klasma.github.io/Logging_2513/artfynd/A 25551-2026 artfynd.xlsx", "A 25551-2026")</f>
        <v/>
      </c>
      <c r="X28">
        <f>HYPERLINK("https://klasma.github.io/Logging_2513/kartor/A 25551-2026 karta.png", "A 25551-2026")</f>
        <v/>
      </c>
      <c r="Y28">
        <f>HYPERLINK("https://klasma.github.io/Logging_2513/kartor_geotiff/A 25551-2026 georefererad karta.tif", "A 25551-2026")</f>
        <v/>
      </c>
      <c r="AA28">
        <f>HYPERLINK("https://klasma.github.io/Logging_2513/klagomål/A 25551-2026 FSC-klagomål.docx", "A 25551-2026")</f>
        <v/>
      </c>
      <c r="AB28">
        <f>HYPERLINK("https://klasma.github.io/Logging_2513/klagomålsmail/A 25551-2026 FSC-klagomål mail.docx", "A 25551-2026")</f>
        <v/>
      </c>
      <c r="AC28">
        <f>HYPERLINK("https://klasma.github.io/Logging_2513/tillsyn/A 25551-2026 tillsynsbegäran.docx", "A 25551-2026")</f>
        <v/>
      </c>
      <c r="AD28">
        <f>HYPERLINK("https://klasma.github.io/Logging_2513/tillsynsmail/A 25551-2026 tillsynsbegäran mail.docx", "A 25551-2026")</f>
        <v/>
      </c>
    </row>
    <row r="29" ht="15" customHeight="1">
      <c r="A29" t="inlineStr">
        <is>
          <t>A 28998-2026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46326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46.7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9</v>
      </c>
      <c r="U29" t="n">
        <v>2</v>
      </c>
      <c r="V29" s="2" t="inlineStr">
        <is>
          <t>Garnlav
Lunglav
Fläcknycklar</t>
        </is>
      </c>
      <c r="W29">
        <f>HYPERLINK("https://klasma.github.io/Logging_2513/artfynd/A 28998-2026 artfynd.xlsx", "A 28998-2026")</f>
        <v/>
      </c>
      <c r="X29">
        <f>HYPERLINK("https://klasma.github.io/Logging_2513/kartor/A 28998-2026 karta.png", "A 28998-2026")</f>
        <v/>
      </c>
      <c r="Y29">
        <f>HYPERLINK("https://klasma.github.io/Logging_2513/kartor_geotiff/A 28998-2026 georefererad karta.tif", "A 28998-2026")</f>
        <v/>
      </c>
      <c r="AA29">
        <f>HYPERLINK("https://klasma.github.io/Logging_2513/klagomål/A 28998-2026 FSC-klagomål.docx", "A 28998-2026")</f>
        <v/>
      </c>
      <c r="AB29">
        <f>HYPERLINK("https://klasma.github.io/Logging_2513/klagomålsmail/A 28998-2026 FSC-klagomål mail.docx", "A 28998-2026")</f>
        <v/>
      </c>
      <c r="AC29">
        <f>HYPERLINK("https://klasma.github.io/Logging_2513/tillsyn/A 28998-2026 tillsynsbegäran.docx", "A 28998-2026")</f>
        <v/>
      </c>
      <c r="AD29">
        <f>HYPERLINK("https://klasma.github.io/Logging_2513/tillsynsmail/A 28998-2026 tillsynsbegäran mail.docx", "A 28998-2026")</f>
        <v/>
      </c>
    </row>
    <row r="30" ht="15" customHeight="1">
      <c r="A30" t="inlineStr">
        <is>
          <t>A 34842-2026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46258</v>
      </c>
      <c r="E30" s="1" t="n">
        <v>46326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12.1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Talltaggsvamp
Plattlummer</t>
        </is>
      </c>
      <c r="W30">
        <f>HYPERLINK("https://klasma.github.io/Logging_2513/artfynd/A 34842-2026 artfynd.xlsx", "A 34842-2026")</f>
        <v/>
      </c>
      <c r="X30">
        <f>HYPERLINK("https://klasma.github.io/Logging_2513/kartor/A 34842-2026 karta.png", "A 34842-2026")</f>
        <v/>
      </c>
      <c r="Y30">
        <f>HYPERLINK("https://klasma.github.io/Logging_2513/kartor_geotiff/A 34842-2026 georefererad karta.tif", "A 34842-2026")</f>
        <v/>
      </c>
      <c r="AA30">
        <f>HYPERLINK("https://klasma.github.io/Logging_2513/klagomål/A 34842-2026 FSC-klagomål.docx", "A 34842-2026")</f>
        <v/>
      </c>
      <c r="AB30">
        <f>HYPERLINK("https://klasma.github.io/Logging_2513/klagomålsmail/A 34842-2026 FSC-klagomål mail.docx", "A 34842-2026")</f>
        <v/>
      </c>
      <c r="AC30">
        <f>HYPERLINK("https://klasma.github.io/Logging_2513/tillsyn/A 34842-2026 tillsynsbegäran.docx", "A 34842-2026")</f>
        <v/>
      </c>
      <c r="AD30">
        <f>HYPERLINK("https://klasma.github.io/Logging_2513/tillsynsmail/A 34842-2026 tillsynsbegäran mail.docx", "A 34842-2026")</f>
        <v/>
      </c>
    </row>
    <row r="31" ht="15" customHeight="1">
      <c r="A31" t="inlineStr">
        <is>
          <t>A 5797-2022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46326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Skarp dropptaggsvamp
Violmussling</t>
        </is>
      </c>
      <c r="W31">
        <f>HYPERLINK("https://klasma.github.io/Logging_2513/artfynd/A 5797-2022 artfynd.xlsx", "A 5797-2022")</f>
        <v/>
      </c>
      <c r="X31">
        <f>HYPERLINK("https://klasma.github.io/Logging_2513/kartor/A 5797-2022 karta.png", "A 5797-2022")</f>
        <v/>
      </c>
      <c r="Y31">
        <f>HYPERLINK("https://klasma.github.io/Logging_2513/kartor_geotiff/A 5797-2022 georefererad karta.tif", "A 5797-2022")</f>
        <v/>
      </c>
      <c r="AA31">
        <f>HYPERLINK("https://klasma.github.io/Logging_2513/klagomål/A 5797-2022 FSC-klagomål.docx", "A 5797-2022")</f>
        <v/>
      </c>
      <c r="AB31">
        <f>HYPERLINK("https://klasma.github.io/Logging_2513/klagomålsmail/A 5797-2022 FSC-klagomål mail.docx", "A 5797-2022")</f>
        <v/>
      </c>
      <c r="AC31">
        <f>HYPERLINK("https://klasma.github.io/Logging_2513/tillsyn/A 5797-2022 tillsynsbegäran.docx", "A 5797-2022")</f>
        <v/>
      </c>
      <c r="AD31">
        <f>HYPERLINK("https://klasma.github.io/Logging_2513/tillsynsmail/A 5797-2022 tillsynsbegäran mail.docx", "A 5797-2022")</f>
        <v/>
      </c>
    </row>
    <row r="32" ht="15" customHeight="1">
      <c r="A32" t="inlineStr">
        <is>
          <t>A 26452-2025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45807</v>
      </c>
      <c r="E32" s="1" t="n">
        <v>46326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Stor aspticka</t>
        </is>
      </c>
      <c r="W32">
        <f>HYPERLINK("https://klasma.github.io/Logging_2513/artfynd/A 26452-2025 artfynd.xlsx", "A 26452-2025")</f>
        <v/>
      </c>
      <c r="X32">
        <f>HYPERLINK("https://klasma.github.io/Logging_2513/kartor/A 26452-2025 karta.png", "A 26452-2025")</f>
        <v/>
      </c>
      <c r="Y32">
        <f>HYPERLINK("https://klasma.github.io/Logging_2513/kartor_geotiff/A 26452-2025 georefererad karta.tif", "A 26452-2025")</f>
        <v/>
      </c>
      <c r="AA32">
        <f>HYPERLINK("https://klasma.github.io/Logging_2513/klagomål/A 26452-2025 FSC-klagomål.docx", "A 26452-2025")</f>
        <v/>
      </c>
      <c r="AB32">
        <f>HYPERLINK("https://klasma.github.io/Logging_2513/klagomålsmail/A 26452-2025 FSC-klagomål mail.docx", "A 26452-2025")</f>
        <v/>
      </c>
      <c r="AC32">
        <f>HYPERLINK("https://klasma.github.io/Logging_2513/tillsyn/A 26452-2025 tillsynsbegäran.docx", "A 26452-2025")</f>
        <v/>
      </c>
      <c r="AD32">
        <f>HYPERLINK("https://klasma.github.io/Logging_2513/tillsynsmail/A 26452-2025 tillsynsbegäran mail.docx", "A 26452-2025")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46326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40706-2023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45170</v>
      </c>
      <c r="E34" s="1" t="n">
        <v>46326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7.1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Dropptaggsvamp</t>
        </is>
      </c>
      <c r="W34">
        <f>HYPERLINK("https://klasma.github.io/Logging_2513/artfynd/A 40706-2023 artfynd.xlsx", "A 40706-2023")</f>
        <v/>
      </c>
      <c r="X34">
        <f>HYPERLINK("https://klasma.github.io/Logging_2513/kartor/A 40706-2023 karta.png", "A 40706-2023")</f>
        <v/>
      </c>
      <c r="Y34">
        <f>HYPERLINK("https://klasma.github.io/Logging_2513/kartor_geotiff/A 40706-2023 georefererad karta.tif", "A 40706-2023")</f>
        <v/>
      </c>
      <c r="Z34">
        <f>HYPERLINK("https://klasma.github.io/Logging_2513/knärot/A 40706-2023 karta knärot.png", "A 40706-2023")</f>
        <v/>
      </c>
      <c r="AA34">
        <f>HYPERLINK("https://klasma.github.io/Logging_2513/klagomål/A 40706-2023 FSC-klagomål.docx", "A 40706-2023")</f>
        <v/>
      </c>
      <c r="AB34">
        <f>HYPERLINK("https://klasma.github.io/Logging_2513/klagomålsmail/A 40706-2023 FSC-klagomål mail.docx", "A 40706-2023")</f>
        <v/>
      </c>
      <c r="AC34">
        <f>HYPERLINK("https://klasma.github.io/Logging_2513/tillsyn/A 40706-2023 tillsynsbegäran.docx", "A 40706-2023")</f>
        <v/>
      </c>
      <c r="AD34">
        <f>HYPERLINK("https://klasma.github.io/Logging_2513/tillsynsmail/A 40706-2023 tillsynsbegäran mail.docx", "A 40706-2023")</f>
        <v/>
      </c>
    </row>
    <row r="35" ht="15" customHeight="1">
      <c r="A35" t="inlineStr">
        <is>
          <t>A 42285-2025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45904</v>
      </c>
      <c r="E35" s="1" t="n">
        <v>46326</v>
      </c>
      <c r="F35" t="inlineStr">
        <is>
          <t>NORRBOTTENS LÄN</t>
        </is>
      </c>
      <c r="G35" t="inlineStr">
        <is>
          <t>ÖVERKALIX</t>
        </is>
      </c>
      <c r="I35" t="n">
        <v>0.3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Kungsfågel
Vanlig padda</t>
        </is>
      </c>
      <c r="W35">
        <f>HYPERLINK("https://klasma.github.io/Logging_2513/artfynd/A 42285-2025 artfynd.xlsx", "A 42285-2025")</f>
        <v/>
      </c>
      <c r="X35">
        <f>HYPERLINK("https://klasma.github.io/Logging_2513/kartor/A 42285-2025 karta.png", "A 42285-2025")</f>
        <v/>
      </c>
      <c r="Y35">
        <f>HYPERLINK("https://klasma.github.io/Logging_2513/kartor_geotiff/A 42285-2025 georefererad karta.tif", "A 42285-2025")</f>
        <v/>
      </c>
      <c r="AA35">
        <f>HYPERLINK("https://klasma.github.io/Logging_2513/klagomål/A 42285-2025 FSC-klagomål.docx", "A 42285-2025")</f>
        <v/>
      </c>
      <c r="AB35">
        <f>HYPERLINK("https://klasma.github.io/Logging_2513/klagomålsmail/A 42285-2025 FSC-klagomål mail.docx", "A 42285-2025")</f>
        <v/>
      </c>
      <c r="AC35">
        <f>HYPERLINK("https://klasma.github.io/Logging_2513/tillsyn/A 42285-2025 tillsynsbegäran.docx", "A 42285-2025")</f>
        <v/>
      </c>
      <c r="AD35">
        <f>HYPERLINK("https://klasma.github.io/Logging_2513/tillsynsmail/A 42285-2025 tillsynsbegäran mail.docx", "A 42285-2025")</f>
        <v/>
      </c>
    </row>
    <row r="36" ht="15" customHeight="1">
      <c r="A36" t="inlineStr">
        <is>
          <t>A 34921-2025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46326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16.4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Lunglav</t>
        </is>
      </c>
      <c r="W36">
        <f>HYPERLINK("https://klasma.github.io/Logging_2513/artfynd/A 34921-2025 artfynd.xlsx", "A 34921-2025")</f>
        <v/>
      </c>
      <c r="X36">
        <f>HYPERLINK("https://klasma.github.io/Logging_2513/kartor/A 34921-2025 karta.png", "A 34921-2025")</f>
        <v/>
      </c>
      <c r="Y36">
        <f>HYPERLINK("https://klasma.github.io/Logging_2513/kartor_geotiff/A 34921-2025 georefererad karta.tif", "A 34921-2025")</f>
        <v/>
      </c>
      <c r="AA36">
        <f>HYPERLINK("https://klasma.github.io/Logging_2513/klagomål/A 34921-2025 FSC-klagomål.docx", "A 34921-2025")</f>
        <v/>
      </c>
      <c r="AB36">
        <f>HYPERLINK("https://klasma.github.io/Logging_2513/klagomålsmail/A 34921-2025 FSC-klagomål mail.docx", "A 34921-2025")</f>
        <v/>
      </c>
      <c r="AC36">
        <f>HYPERLINK("https://klasma.github.io/Logging_2513/tillsyn/A 34921-2025 tillsynsbegäran.docx", "A 34921-2025")</f>
        <v/>
      </c>
      <c r="AD36">
        <f>HYPERLINK("https://klasma.github.io/Logging_2513/tillsynsmail/A 34921-2025 tillsynsbegäran mail.docx", "A 34921-2025")</f>
        <v/>
      </c>
    </row>
    <row r="37" ht="15" customHeight="1">
      <c r="A37" t="inlineStr">
        <is>
          <t>A 7477-2023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44966</v>
      </c>
      <c r="E37" s="1" t="n">
        <v>46326</v>
      </c>
      <c r="F37" t="inlineStr">
        <is>
          <t>NORRBOTTENS LÄN</t>
        </is>
      </c>
      <c r="G37" t="inlineStr">
        <is>
          <t>ÖVERKALIX</t>
        </is>
      </c>
      <c r="I37" t="n">
        <v>2.6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Motaggsvamp
Skarp dropptaggsvamp</t>
        </is>
      </c>
      <c r="W37">
        <f>HYPERLINK("https://klasma.github.io/Logging_2513/artfynd/A 7477-2023 artfynd.xlsx", "A 7477-2023")</f>
        <v/>
      </c>
      <c r="X37">
        <f>HYPERLINK("https://klasma.github.io/Logging_2513/kartor/A 7477-2023 karta.png", "A 7477-2023")</f>
        <v/>
      </c>
      <c r="Y37">
        <f>HYPERLINK("https://klasma.github.io/Logging_2513/kartor_geotiff/A 7477-2023 georefererad karta.tif", "A 7477-2023")</f>
        <v/>
      </c>
      <c r="AA37">
        <f>HYPERLINK("https://klasma.github.io/Logging_2513/klagomål/A 7477-2023 FSC-klagomål.docx", "A 7477-2023")</f>
        <v/>
      </c>
      <c r="AB37">
        <f>HYPERLINK("https://klasma.github.io/Logging_2513/klagomålsmail/A 7477-2023 FSC-klagomål mail.docx", "A 7477-2023")</f>
        <v/>
      </c>
      <c r="AC37">
        <f>HYPERLINK("https://klasma.github.io/Logging_2513/tillsyn/A 7477-2023 tillsynsbegäran.docx", "A 7477-2023")</f>
        <v/>
      </c>
      <c r="AD37">
        <f>HYPERLINK("https://klasma.github.io/Logging_2513/tillsynsmail/A 7477-2023 tillsynsbegäran mail.docx", "A 7477-2023")</f>
        <v/>
      </c>
    </row>
    <row r="38" ht="15" customHeight="1">
      <c r="A38" t="inlineStr">
        <is>
          <t>A 62951-2025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46326</v>
      </c>
      <c r="F38" t="inlineStr">
        <is>
          <t>NORRBOTTENS LÄN</t>
        </is>
      </c>
      <c r="G38" t="inlineStr">
        <is>
          <t>ÖVERKALIX</t>
        </is>
      </c>
      <c r="H38" t="inlineStr">
        <is>
          <t>SCA</t>
        </is>
      </c>
      <c r="I38" t="n">
        <v>4.2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Ullticka</t>
        </is>
      </c>
      <c r="W38">
        <f>HYPERLINK("https://klasma.github.io/Logging_2513/artfynd/A 62951-2025 artfynd.xlsx", "A 62951-2025")</f>
        <v/>
      </c>
      <c r="X38">
        <f>HYPERLINK("https://klasma.github.io/Logging_2513/kartor/A 62951-2025 karta.png", "A 62951-2025")</f>
        <v/>
      </c>
      <c r="Y38">
        <f>HYPERLINK("https://klasma.github.io/Logging_2513/kartor_geotiff/A 62951-2025 georefererad karta.tif", "A 62951-2025")</f>
        <v/>
      </c>
      <c r="AA38">
        <f>HYPERLINK("https://klasma.github.io/Logging_2513/klagomål/A 62951-2025 FSC-klagomål.docx", "A 62951-2025")</f>
        <v/>
      </c>
      <c r="AB38">
        <f>HYPERLINK("https://klasma.github.io/Logging_2513/klagomålsmail/A 62951-2025 FSC-klagomål mail.docx", "A 62951-2025")</f>
        <v/>
      </c>
      <c r="AC38">
        <f>HYPERLINK("https://klasma.github.io/Logging_2513/tillsyn/A 62951-2025 tillsynsbegäran.docx", "A 62951-2025")</f>
        <v/>
      </c>
      <c r="AD38">
        <f>HYPERLINK("https://klasma.github.io/Logging_2513/tillsynsmail/A 62951-2025 tillsynsbegäran mail.docx", "A 62951-2025")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46326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46326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46326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36378-2024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46326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21.5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Lunglav
Fläcknycklar</t>
        </is>
      </c>
      <c r="W42">
        <f>HYPERLINK("https://klasma.github.io/Logging_2513/artfynd/A 36378-2024 artfynd.xlsx", "A 36378-2024")</f>
        <v/>
      </c>
      <c r="X42">
        <f>HYPERLINK("https://klasma.github.io/Logging_2513/kartor/A 36378-2024 karta.png", "A 36378-2024")</f>
        <v/>
      </c>
      <c r="Y42">
        <f>HYPERLINK("https://klasma.github.io/Logging_2513/kartor_geotiff/A 36378-2024 georefererad karta.tif", "A 36378-2024")</f>
        <v/>
      </c>
      <c r="AA42">
        <f>HYPERLINK("https://klasma.github.io/Logging_2513/klagomål/A 36378-2024 FSC-klagomål.docx", "A 36378-2024")</f>
        <v/>
      </c>
      <c r="AB42">
        <f>HYPERLINK("https://klasma.github.io/Logging_2513/klagomålsmail/A 36378-2024 FSC-klagomål mail.docx", "A 36378-2024")</f>
        <v/>
      </c>
      <c r="AC42">
        <f>HYPERLINK("https://klasma.github.io/Logging_2513/tillsyn/A 36378-2024 tillsynsbegäran.docx", "A 36378-2024")</f>
        <v/>
      </c>
      <c r="AD42">
        <f>HYPERLINK("https://klasma.github.io/Logging_2513/tillsynsmail/A 36378-2024 tillsynsbegäran mail.docx", "A 36378-2024")</f>
        <v/>
      </c>
    </row>
    <row r="43" ht="15" customHeight="1">
      <c r="A43" t="inlineStr">
        <is>
          <t>A 36381-2024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46326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26.7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Gammelgransskål
Orre</t>
        </is>
      </c>
      <c r="W43">
        <f>HYPERLINK("https://klasma.github.io/Logging_2513/artfynd/A 36381-2024 artfynd.xlsx", "A 36381-2024")</f>
        <v/>
      </c>
      <c r="X43">
        <f>HYPERLINK("https://klasma.github.io/Logging_2513/kartor/A 36381-2024 karta.png", "A 36381-2024")</f>
        <v/>
      </c>
      <c r="Y43">
        <f>HYPERLINK("https://klasma.github.io/Logging_2513/kartor_geotiff/A 36381-2024 georefererad karta.tif", "A 36381-2024")</f>
        <v/>
      </c>
      <c r="AA43">
        <f>HYPERLINK("https://klasma.github.io/Logging_2513/klagomål/A 36381-2024 FSC-klagomål.docx", "A 36381-2024")</f>
        <v/>
      </c>
      <c r="AB43">
        <f>HYPERLINK("https://klasma.github.io/Logging_2513/klagomålsmail/A 36381-2024 FSC-klagomål mail.docx", "A 36381-2024")</f>
        <v/>
      </c>
      <c r="AC43">
        <f>HYPERLINK("https://klasma.github.io/Logging_2513/tillsyn/A 36381-2024 tillsynsbegäran.docx", "A 36381-2024")</f>
        <v/>
      </c>
      <c r="AD43">
        <f>HYPERLINK("https://klasma.github.io/Logging_2513/tillsynsmail/A 36381-2024 tillsynsbegäran mail.docx", "A 36381-2024")</f>
        <v/>
      </c>
      <c r="AE43">
        <f>HYPERLINK("https://klasma.github.io/Logging_2513/fåglar/A 36381-2024 prioriterade fågelarter.docx", "A 36381-2024")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46326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46326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50691-2024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46326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4.2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Gammelgransskål
Vedticka</t>
        </is>
      </c>
      <c r="W46">
        <f>HYPERLINK("https://klasma.github.io/Logging_2513/artfynd/A 50691-2024 artfynd.xlsx", "A 50691-2024")</f>
        <v/>
      </c>
      <c r="X46">
        <f>HYPERLINK("https://klasma.github.io/Logging_2513/kartor/A 50691-2024 karta.png", "A 50691-2024")</f>
        <v/>
      </c>
      <c r="Y46">
        <f>HYPERLINK("https://klasma.github.io/Logging_2513/kartor_geotiff/A 50691-2024 georefererad karta.tif", "A 50691-2024")</f>
        <v/>
      </c>
      <c r="AA46">
        <f>HYPERLINK("https://klasma.github.io/Logging_2513/klagomål/A 50691-2024 FSC-klagomål.docx", "A 50691-2024")</f>
        <v/>
      </c>
      <c r="AB46">
        <f>HYPERLINK("https://klasma.github.io/Logging_2513/klagomålsmail/A 50691-2024 FSC-klagomål mail.docx", "A 50691-2024")</f>
        <v/>
      </c>
      <c r="AC46">
        <f>HYPERLINK("https://klasma.github.io/Logging_2513/tillsyn/A 50691-2024 tillsynsbegäran.docx", "A 50691-2024")</f>
        <v/>
      </c>
      <c r="AD46">
        <f>HYPERLINK("https://klasma.github.io/Logging_2513/tillsynsmail/A 50691-2024 tillsynsbegäran mail.docx", "A 50691-2024")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46326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46326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46326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46326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46326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46326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46326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46326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37532-2022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44809</v>
      </c>
      <c r="E55" s="1" t="n">
        <v>46326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 taggsvamp</t>
        </is>
      </c>
      <c r="W55">
        <f>HYPERLINK("https://klasma.github.io/Logging_2513/artfynd/A 37532-2022 artfynd.xlsx", "A 37532-2022")</f>
        <v/>
      </c>
      <c r="X55">
        <f>HYPERLINK("https://klasma.github.io/Logging_2513/kartor/A 37532-2022 karta.png", "A 37532-2022")</f>
        <v/>
      </c>
      <c r="Y55">
        <f>HYPERLINK("https://klasma.github.io/Logging_2513/kartor_geotiff/A 37532-2022 georefererad karta.tif", "A 37532-2022")</f>
        <v/>
      </c>
      <c r="AA55">
        <f>HYPERLINK("https://klasma.github.io/Logging_2513/klagomål/A 37532-2022 FSC-klagomål.docx", "A 37532-2022")</f>
        <v/>
      </c>
      <c r="AB55">
        <f>HYPERLINK("https://klasma.github.io/Logging_2513/klagomålsmail/A 37532-2022 FSC-klagomål mail.docx", "A 37532-2022")</f>
        <v/>
      </c>
      <c r="AC55">
        <f>HYPERLINK("https://klasma.github.io/Logging_2513/tillsyn/A 37532-2022 tillsynsbegäran.docx", "A 37532-2022")</f>
        <v/>
      </c>
      <c r="AD55">
        <f>HYPERLINK("https://klasma.github.io/Logging_2513/tillsynsmail/A 37532-2022 tillsynsbegäran mail.docx", "A 37532-2022")</f>
        <v/>
      </c>
    </row>
    <row r="56" ht="15" customHeight="1">
      <c r="A56" t="inlineStr">
        <is>
          <t>A 35602-2025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45859</v>
      </c>
      <c r="E56" s="1" t="n">
        <v>46326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35602-2025 artfynd.xlsx", "A 35602-2025")</f>
        <v/>
      </c>
      <c r="X56">
        <f>HYPERLINK("https://klasma.github.io/Logging_2513/kartor/A 35602-2025 karta.png", "A 35602-2025")</f>
        <v/>
      </c>
      <c r="Y56">
        <f>HYPERLINK("https://klasma.github.io/Logging_2513/kartor_geotiff/A 35602-2025 georefererad karta.tif", "A 35602-2025")</f>
        <v/>
      </c>
      <c r="AA56">
        <f>HYPERLINK("https://klasma.github.io/Logging_2513/klagomål/A 35602-2025 FSC-klagomål.docx", "A 35602-2025")</f>
        <v/>
      </c>
      <c r="AB56">
        <f>HYPERLINK("https://klasma.github.io/Logging_2513/klagomålsmail/A 35602-2025 FSC-klagomål mail.docx", "A 35602-2025")</f>
        <v/>
      </c>
      <c r="AC56">
        <f>HYPERLINK("https://klasma.github.io/Logging_2513/tillsyn/A 35602-2025 tillsynsbegäran.docx", "A 35602-2025")</f>
        <v/>
      </c>
      <c r="AD56">
        <f>HYPERLINK("https://klasma.github.io/Logging_2513/tillsynsmail/A 35602-2025 tillsynsbegäran mail.docx", "A 35602-2025")</f>
        <v/>
      </c>
    </row>
    <row r="57" ht="15" customHeight="1">
      <c r="A57" t="inlineStr">
        <is>
          <t>A 46280-2024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46326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HYPERLINK("https://klasma.github.io/Logging_2513/artfynd/A 46280-2024 artfynd.xlsx", "A 46280-2024")</f>
        <v/>
      </c>
      <c r="X57">
        <f>HYPERLINK("https://klasma.github.io/Logging_2513/kartor/A 46280-2024 karta.png", "A 46280-2024")</f>
        <v/>
      </c>
      <c r="Y57">
        <f>HYPERLINK("https://klasma.github.io/Logging_2513/kartor_geotiff/A 46280-2024 georefererad karta.tif", "A 46280-2024")</f>
        <v/>
      </c>
      <c r="AA57">
        <f>HYPERLINK("https://klasma.github.io/Logging_2513/klagomål/A 46280-2024 FSC-klagomål.docx", "A 46280-2024")</f>
        <v/>
      </c>
      <c r="AB57">
        <f>HYPERLINK("https://klasma.github.io/Logging_2513/klagomålsmail/A 46280-2024 FSC-klagomål mail.docx", "A 46280-2024")</f>
        <v/>
      </c>
      <c r="AC57">
        <f>HYPERLINK("https://klasma.github.io/Logging_2513/tillsyn/A 46280-2024 tillsynsbegäran.docx", "A 46280-2024")</f>
        <v/>
      </c>
      <c r="AD57">
        <f>HYPERLINK("https://klasma.github.io/Logging_2513/tillsynsmail/A 46280-2024 tillsynsbegäran mail.docx", "A 46280-2024")</f>
        <v/>
      </c>
      <c r="AE57">
        <f>HYPERLINK("https://klasma.github.io/Logging_2513/fåglar/A 46280-2024 prioriterade fågelarter.docx", "A 46280-2024")</f>
        <v/>
      </c>
    </row>
    <row r="58" ht="15" customHeight="1">
      <c r="A58" t="inlineStr">
        <is>
          <t>A 46281-2024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45581</v>
      </c>
      <c r="E58" s="1" t="n">
        <v>46326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1.2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HYPERLINK("https://klasma.github.io/Logging_2513/artfynd/A 46281-2024 artfynd.xlsx", "A 46281-2024")</f>
        <v/>
      </c>
      <c r="X58">
        <f>HYPERLINK("https://klasma.github.io/Logging_2513/kartor/A 46281-2024 karta.png", "A 46281-2024")</f>
        <v/>
      </c>
      <c r="Y58">
        <f>HYPERLINK("https://klasma.github.io/Logging_2513/kartor_geotiff/A 46281-2024 georefererad karta.tif", "A 46281-2024")</f>
        <v/>
      </c>
      <c r="AA58">
        <f>HYPERLINK("https://klasma.github.io/Logging_2513/klagomål/A 46281-2024 FSC-klagomål.docx", "A 46281-2024")</f>
        <v/>
      </c>
      <c r="AB58">
        <f>HYPERLINK("https://klasma.github.io/Logging_2513/klagomålsmail/A 46281-2024 FSC-klagomål mail.docx", "A 46281-2024")</f>
        <v/>
      </c>
      <c r="AC58">
        <f>HYPERLINK("https://klasma.github.io/Logging_2513/tillsyn/A 46281-2024 tillsynsbegäran.docx", "A 46281-2024")</f>
        <v/>
      </c>
      <c r="AD58">
        <f>HYPERLINK("https://klasma.github.io/Logging_2513/tillsynsmail/A 46281-2024 tillsynsbegäran mail.docx", "A 46281-2024")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46326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8407-2025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46326</v>
      </c>
      <c r="F60" t="inlineStr">
        <is>
          <t>NORRBOTTENS LÄN</t>
        </is>
      </c>
      <c r="G60" t="inlineStr">
        <is>
          <t>ÖVERKALIX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Tallbit</t>
        </is>
      </c>
      <c r="W60">
        <f>HYPERLINK("https://klasma.github.io/Logging_2513/artfynd/A 8407-2025 artfynd.xlsx", "A 8407-2025")</f>
        <v/>
      </c>
      <c r="X60">
        <f>HYPERLINK("https://klasma.github.io/Logging_2513/kartor/A 8407-2025 karta.png", "A 8407-2025")</f>
        <v/>
      </c>
      <c r="Y60">
        <f>HYPERLINK("https://klasma.github.io/Logging_2513/kartor_geotiff/A 8407-2025 georefererad karta.tif", "A 8407-2025")</f>
        <v/>
      </c>
      <c r="AA60">
        <f>HYPERLINK("https://klasma.github.io/Logging_2513/klagomål/A 8407-2025 FSC-klagomål.docx", "A 8407-2025")</f>
        <v/>
      </c>
      <c r="AB60">
        <f>HYPERLINK("https://klasma.github.io/Logging_2513/klagomålsmail/A 8407-2025 FSC-klagomål mail.docx", "A 8407-2025")</f>
        <v/>
      </c>
      <c r="AC60">
        <f>HYPERLINK("https://klasma.github.io/Logging_2513/tillsyn/A 8407-2025 tillsynsbegäran.docx", "A 8407-2025")</f>
        <v/>
      </c>
      <c r="AD60">
        <f>HYPERLINK("https://klasma.github.io/Logging_2513/tillsynsmail/A 8407-2025 tillsynsbegäran mail.docx", "A 8407-2025")</f>
        <v/>
      </c>
      <c r="AE60">
        <f>HYPERLINK("https://klasma.github.io/Logging_2513/fåglar/A 8407-2025 prioriterade fågelarter.docx", "A 8407-2025")</f>
        <v/>
      </c>
    </row>
    <row r="61" ht="15" customHeight="1">
      <c r="A61" t="inlineStr">
        <is>
          <t>A 71902-2021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46326</v>
      </c>
      <c r="F61" t="inlineStr">
        <is>
          <t>NORRBOTTENS LÄN</t>
        </is>
      </c>
      <c r="G61" t="inlineStr">
        <is>
          <t>ÖVERKALIX</t>
        </is>
      </c>
      <c r="I61" t="n">
        <v>24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HYPERLINK("https://klasma.github.io/Logging_2513/artfynd/A 71902-2021 artfynd.xlsx", "A 71902-2021")</f>
        <v/>
      </c>
      <c r="X61">
        <f>HYPERLINK("https://klasma.github.io/Logging_2513/kartor/A 71902-2021 karta.png", "A 71902-2021")</f>
        <v/>
      </c>
      <c r="Y61">
        <f>HYPERLINK("https://klasma.github.io/Logging_2513/kartor_geotiff/A 71902-2021 georefererad karta.tif", "A 71902-2021")</f>
        <v/>
      </c>
      <c r="AA61">
        <f>HYPERLINK("https://klasma.github.io/Logging_2513/klagomål/A 71902-2021 FSC-klagomål.docx", "A 71902-2021")</f>
        <v/>
      </c>
      <c r="AB61">
        <f>HYPERLINK("https://klasma.github.io/Logging_2513/klagomålsmail/A 71902-2021 FSC-klagomål mail.docx", "A 71902-2021")</f>
        <v/>
      </c>
      <c r="AC61">
        <f>HYPERLINK("https://klasma.github.io/Logging_2513/tillsyn/A 71902-2021 tillsynsbegäran.docx", "A 71902-2021")</f>
        <v/>
      </c>
      <c r="AD61">
        <f>HYPERLINK("https://klasma.github.io/Logging_2513/tillsynsmail/A 71902-2021 tillsynsbegäran mail.docx", "A 71902-2021")</f>
        <v/>
      </c>
      <c r="AE61">
        <f>HYPERLINK("https://klasma.github.io/Logging_2513/fåglar/A 71902-2021 prioriterade fågelarter.docx", "A 71902-2021")</f>
        <v/>
      </c>
    </row>
    <row r="62" ht="15" customHeight="1">
      <c r="A62" t="inlineStr">
        <is>
          <t>A 27087-2026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46187</v>
      </c>
      <c r="E62" s="1" t="n">
        <v>46326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5.1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Talltita</t>
        </is>
      </c>
      <c r="W62">
        <f>HYPERLINK("https://klasma.github.io/Logging_2513/artfynd/A 27087-2026 artfynd.xlsx", "A 27087-2026")</f>
        <v/>
      </c>
      <c r="X62">
        <f>HYPERLINK("https://klasma.github.io/Logging_2513/kartor/A 27087-2026 karta.png", "A 27087-2026")</f>
        <v/>
      </c>
      <c r="Y62">
        <f>HYPERLINK("https://klasma.github.io/Logging_2513/kartor_geotiff/A 27087-2026 georefererad karta.tif", "A 27087-2026")</f>
        <v/>
      </c>
      <c r="AA62">
        <f>HYPERLINK("https://klasma.github.io/Logging_2513/klagomål/A 27087-2026 FSC-klagomål.docx", "A 27087-2026")</f>
        <v/>
      </c>
      <c r="AB62">
        <f>HYPERLINK("https://klasma.github.io/Logging_2513/klagomålsmail/A 27087-2026 FSC-klagomål mail.docx", "A 27087-2026")</f>
        <v/>
      </c>
      <c r="AC62">
        <f>HYPERLINK("https://klasma.github.io/Logging_2513/tillsyn/A 27087-2026 tillsynsbegäran.docx", "A 27087-2026")</f>
        <v/>
      </c>
      <c r="AD62">
        <f>HYPERLINK("https://klasma.github.io/Logging_2513/tillsynsmail/A 27087-2026 tillsynsbegäran mail.docx", "A 27087-2026")</f>
        <v/>
      </c>
      <c r="AE62">
        <f>HYPERLINK("https://klasma.github.io/Logging_2513/fåglar/A 27087-2026 prioriterade fågelarter.docx", "A 27087-2026")</f>
        <v/>
      </c>
    </row>
    <row r="63" ht="15" customHeight="1">
      <c r="A63" t="inlineStr">
        <is>
          <t>A 21777-2024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45442</v>
      </c>
      <c r="E63" s="1" t="n">
        <v>46326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30.5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Lunglav</t>
        </is>
      </c>
      <c r="W63">
        <f>HYPERLINK("https://klasma.github.io/Logging_2513/artfynd/A 21777-2024 artfynd.xlsx", "A 21777-2024")</f>
        <v/>
      </c>
      <c r="X63">
        <f>HYPERLINK("https://klasma.github.io/Logging_2513/kartor/A 21777-2024 karta.png", "A 21777-2024")</f>
        <v/>
      </c>
      <c r="Y63">
        <f>HYPERLINK("https://klasma.github.io/Logging_2513/kartor_geotiff/A 21777-2024 georefererad karta.tif", "A 21777-2024")</f>
        <v/>
      </c>
      <c r="AA63">
        <f>HYPERLINK("https://klasma.github.io/Logging_2513/klagomål/A 21777-2024 FSC-klagomål.docx", "A 21777-2024")</f>
        <v/>
      </c>
      <c r="AB63">
        <f>HYPERLINK("https://klasma.github.io/Logging_2513/klagomålsmail/A 21777-2024 FSC-klagomål mail.docx", "A 21777-2024")</f>
        <v/>
      </c>
      <c r="AC63">
        <f>HYPERLINK("https://klasma.github.io/Logging_2513/tillsyn/A 21777-2024 tillsynsbegäran.docx", "A 21777-2024")</f>
        <v/>
      </c>
      <c r="AD63">
        <f>HYPERLINK("https://klasma.github.io/Logging_2513/tillsynsmail/A 21777-2024 tillsynsbegäran mail.docx", "A 21777-2024")</f>
        <v/>
      </c>
    </row>
    <row r="64" ht="15" customHeight="1">
      <c r="A64" t="inlineStr">
        <is>
          <t>A 25335-2026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46326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46.9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Lunglav</t>
        </is>
      </c>
      <c r="W64">
        <f>HYPERLINK("https://klasma.github.io/Logging_2513/artfynd/A 25335-2026 artfynd.xlsx", "A 25335-2026")</f>
        <v/>
      </c>
      <c r="X64">
        <f>HYPERLINK("https://klasma.github.io/Logging_2513/kartor/A 25335-2026 karta.png", "A 25335-2026")</f>
        <v/>
      </c>
      <c r="Y64">
        <f>HYPERLINK("https://klasma.github.io/Logging_2513/kartor_geotiff/A 25335-2026 georefererad karta.tif", "A 25335-2026")</f>
        <v/>
      </c>
      <c r="AA64">
        <f>HYPERLINK("https://klasma.github.io/Logging_2513/klagomål/A 25335-2026 FSC-klagomål.docx", "A 25335-2026")</f>
        <v/>
      </c>
      <c r="AB64">
        <f>HYPERLINK("https://klasma.github.io/Logging_2513/klagomålsmail/A 25335-2026 FSC-klagomål mail.docx", "A 25335-2026")</f>
        <v/>
      </c>
      <c r="AC64">
        <f>HYPERLINK("https://klasma.github.io/Logging_2513/tillsyn/A 25335-2026 tillsynsbegäran.docx", "A 25335-2026")</f>
        <v/>
      </c>
      <c r="AD64">
        <f>HYPERLINK("https://klasma.github.io/Logging_2513/tillsynsmail/A 25335-2026 tillsynsbegäran mail.docx", "A 25335-2026")</f>
        <v/>
      </c>
    </row>
    <row r="65" ht="15" customHeight="1">
      <c r="A65" t="inlineStr">
        <is>
          <t>A 20949-2026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46326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9.1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HYPERLINK("https://klasma.github.io/Logging_2513/artfynd/A 20949-2026 artfynd.xlsx", "A 20949-2026")</f>
        <v/>
      </c>
      <c r="X65">
        <f>HYPERLINK("https://klasma.github.io/Logging_2513/kartor/A 20949-2026 karta.png", "A 20949-2026")</f>
        <v/>
      </c>
      <c r="Y65">
        <f>HYPERLINK("https://klasma.github.io/Logging_2513/kartor_geotiff/A 20949-2026 georefererad karta.tif", "A 20949-2026")</f>
        <v/>
      </c>
      <c r="AA65">
        <f>HYPERLINK("https://klasma.github.io/Logging_2513/klagomål/A 20949-2026 FSC-klagomål.docx", "A 20949-2026")</f>
        <v/>
      </c>
      <c r="AB65">
        <f>HYPERLINK("https://klasma.github.io/Logging_2513/klagomålsmail/A 20949-2026 FSC-klagomål mail.docx", "A 20949-2026")</f>
        <v/>
      </c>
      <c r="AC65">
        <f>HYPERLINK("https://klasma.github.io/Logging_2513/tillsyn/A 20949-2026 tillsynsbegäran.docx", "A 20949-2026")</f>
        <v/>
      </c>
      <c r="AD65">
        <f>HYPERLINK("https://klasma.github.io/Logging_2513/tillsynsmail/A 20949-2026 tillsynsbegäran mail.docx", "A 20949-2026")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46326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46326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46326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46326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46326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46326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46326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46326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46326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46326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46326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29706-2022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46326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HYPERLINK("https://klasma.github.io/Logging_2513/knärot/A 29706-2022 karta knärot.png", "A 29706-2022")</f>
        <v/>
      </c>
      <c r="AA77">
        <f>HYPERLINK("https://klasma.github.io/Logging_2513/klagomål/A 29706-2022 FSC-klagomål.docx", "A 29706-2022")</f>
        <v/>
      </c>
      <c r="AB77">
        <f>HYPERLINK("https://klasma.github.io/Logging_2513/klagomålsmail/A 29706-2022 FSC-klagomål mail.docx", "A 29706-2022")</f>
        <v/>
      </c>
      <c r="AC77">
        <f>HYPERLINK("https://klasma.github.io/Logging_2513/tillsyn/A 29706-2022 tillsynsbegäran.docx", "A 29706-2022")</f>
        <v/>
      </c>
      <c r="AD77">
        <f>HYPERLINK("https://klasma.github.io/Logging_2513/tillsynsmail/A 29706-2022 tillsynsbegäran mail.docx", "A 29706-2022")</f>
        <v/>
      </c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46326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46326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46326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46326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46326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46326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46326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46326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46326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46326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46326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46326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46326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46326</v>
      </c>
      <c r="F91" t="inlineStr">
        <is>
          <t>NORRBOTTENS LÄN</t>
        </is>
      </c>
      <c r="G91" t="inlineStr">
        <is>
          <t>ÖVERKALIX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44603</v>
      </c>
      <c r="E92" s="1" t="n">
        <v>46326</v>
      </c>
      <c r="F92" t="inlineStr">
        <is>
          <t>NORRBOTTENS LÄN</t>
        </is>
      </c>
      <c r="G92" t="inlineStr">
        <is>
          <t>ÖVERKALIX</t>
        </is>
      </c>
      <c r="H92" t="inlineStr">
        <is>
          <t>Övriga statliga verk och myndigheter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46326</v>
      </c>
      <c r="F93" t="inlineStr">
        <is>
          <t>NORRBOTTENS LÄN</t>
        </is>
      </c>
      <c r="G93" t="inlineStr">
        <is>
          <t>ÖVERKALIX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46326</v>
      </c>
      <c r="F94" t="inlineStr">
        <is>
          <t>NORRBOTTENS LÄN</t>
        </is>
      </c>
      <c r="G94" t="inlineStr">
        <is>
          <t>ÖVERKALIX</t>
        </is>
      </c>
      <c r="I94" t="n">
        <v>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46326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46326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46326</v>
      </c>
      <c r="F97" t="inlineStr">
        <is>
          <t>NORRBOTTENS LÄN</t>
        </is>
      </c>
      <c r="G97" t="inlineStr">
        <is>
          <t>ÖVERKALIX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45518</v>
      </c>
      <c r="E98" s="1" t="n">
        <v>46326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46326</v>
      </c>
      <c r="F99" t="inlineStr">
        <is>
          <t>NORRBOTTENS LÄN</t>
        </is>
      </c>
      <c r="G99" t="inlineStr">
        <is>
          <t>ÖVERKALIX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60417-2024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45643</v>
      </c>
      <c r="E100" s="1" t="n">
        <v>46326</v>
      </c>
      <c r="F100" t="inlineStr">
        <is>
          <t>NORRBOTTENS LÄN</t>
        </is>
      </c>
      <c r="G100" t="inlineStr">
        <is>
          <t>ÖVERKALIX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46326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46326</v>
      </c>
      <c r="F102" t="inlineStr">
        <is>
          <t>NORRBOTTENS LÄN</t>
        </is>
      </c>
      <c r="G102" t="inlineStr">
        <is>
          <t>ÖVERKALIX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44834</v>
      </c>
      <c r="E103" s="1" t="n">
        <v>46326</v>
      </c>
      <c r="F103" t="inlineStr">
        <is>
          <t>NORRBOTTENS LÄN</t>
        </is>
      </c>
      <c r="G103" t="inlineStr">
        <is>
          <t>ÖVERKALIX</t>
        </is>
      </c>
      <c r="I103" t="n">
        <v>13.1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45371</v>
      </c>
      <c r="E104" s="1" t="n">
        <v>46326</v>
      </c>
      <c r="F104" t="inlineStr">
        <is>
          <t>NORRBOTTENS LÄN</t>
        </is>
      </c>
      <c r="G104" t="inlineStr">
        <is>
          <t>ÖVERKALIX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45715</v>
      </c>
      <c r="E105" s="1" t="n">
        <v>46326</v>
      </c>
      <c r="F105" t="inlineStr">
        <is>
          <t>NORRBOTTENS LÄN</t>
        </is>
      </c>
      <c r="G105" t="inlineStr">
        <is>
          <t>ÖVERKALIX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46326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46326</v>
      </c>
      <c r="F107" t="inlineStr">
        <is>
          <t>NORRBOTTENS LÄN</t>
        </is>
      </c>
      <c r="G107" t="inlineStr">
        <is>
          <t>ÖVERKALIX</t>
        </is>
      </c>
      <c r="I107" t="n">
        <v>21.7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46326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46326</v>
      </c>
      <c r="F109" t="inlineStr">
        <is>
          <t>NORRBOTTENS LÄN</t>
        </is>
      </c>
      <c r="G109" t="inlineStr">
        <is>
          <t>ÖVERKALIX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46326</v>
      </c>
      <c r="F110" t="inlineStr">
        <is>
          <t>NORRBOTTENS LÄN</t>
        </is>
      </c>
      <c r="G110" t="inlineStr">
        <is>
          <t>ÖVERKALIX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46326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46326</v>
      </c>
      <c r="F112" t="inlineStr">
        <is>
          <t>NORRBOTTENS LÄN</t>
        </is>
      </c>
      <c r="G112" t="inlineStr">
        <is>
          <t>ÖVERKALIX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46326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46029</v>
      </c>
      <c r="E114" s="1" t="n">
        <v>46326</v>
      </c>
      <c r="F114" t="inlineStr">
        <is>
          <t>NORRBOTTENS LÄN</t>
        </is>
      </c>
      <c r="G114" t="inlineStr">
        <is>
          <t>ÖVERKALIX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46326</v>
      </c>
      <c r="F115" t="inlineStr">
        <is>
          <t>NORRBOTTENS LÄN</t>
        </is>
      </c>
      <c r="G115" t="inlineStr">
        <is>
          <t>ÖVERKALIX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46326</v>
      </c>
      <c r="F116" t="inlineStr">
        <is>
          <t>NORRBOTTENS LÄN</t>
        </is>
      </c>
      <c r="G116" t="inlineStr">
        <is>
          <t>ÖVERKALIX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45460</v>
      </c>
      <c r="E117" s="1" t="n">
        <v>46326</v>
      </c>
      <c r="F117" t="inlineStr">
        <is>
          <t>NORRBOTTENS LÄN</t>
        </is>
      </c>
      <c r="G117" t="inlineStr">
        <is>
          <t>ÖVERKALIX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46326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46326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46326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46326</v>
      </c>
      <c r="F121" t="inlineStr">
        <is>
          <t>NORRBOTTENS LÄN</t>
        </is>
      </c>
      <c r="G121" t="inlineStr">
        <is>
          <t>ÖVERKALIX</t>
        </is>
      </c>
      <c r="I121" t="n">
        <v>11.9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45702</v>
      </c>
      <c r="E122" s="1" t="n">
        <v>46326</v>
      </c>
      <c r="F122" t="inlineStr">
        <is>
          <t>NORRBOTTENS LÄN</t>
        </is>
      </c>
      <c r="G122" t="inlineStr">
        <is>
          <t>ÖVERKALIX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46326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45813</v>
      </c>
      <c r="E124" s="1" t="n">
        <v>46326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46326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45807</v>
      </c>
      <c r="E126" s="1" t="n">
        <v>46326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46326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44886</v>
      </c>
      <c r="E128" s="1" t="n">
        <v>46326</v>
      </c>
      <c r="F128" t="inlineStr">
        <is>
          <t>NORRBOTTENS LÄN</t>
        </is>
      </c>
      <c r="G128" t="inlineStr">
        <is>
          <t>ÖVERKALIX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46326</v>
      </c>
      <c r="F129" t="inlineStr">
        <is>
          <t>NORRBOTTENS LÄN</t>
        </is>
      </c>
      <c r="G129" t="inlineStr">
        <is>
          <t>ÖVERKALIX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46326</v>
      </c>
      <c r="F130" t="inlineStr">
        <is>
          <t>NORRBOTTENS LÄN</t>
        </is>
      </c>
      <c r="G130" t="inlineStr">
        <is>
          <t>ÖVERKALIX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46326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17.2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46326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46326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45429</v>
      </c>
      <c r="E134" s="1" t="n">
        <v>46326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46326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46326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46326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46326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46326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46326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24.4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46326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26535-2025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46326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37.4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45826</v>
      </c>
      <c r="E143" s="1" t="n">
        <v>46326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46326</v>
      </c>
      <c r="F144" t="inlineStr">
        <is>
          <t>NORRBOTTENS LÄN</t>
        </is>
      </c>
      <c r="G144" t="inlineStr">
        <is>
          <t>ÖVERKALIX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46326</v>
      </c>
      <c r="F145" t="inlineStr">
        <is>
          <t>NORRBOTTENS LÄN</t>
        </is>
      </c>
      <c r="G145" t="inlineStr">
        <is>
          <t>ÖVERKALIX</t>
        </is>
      </c>
      <c r="I145" t="n">
        <v>10.4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46326</v>
      </c>
      <c r="F146" t="inlineStr">
        <is>
          <t>NORRBOTTENS LÄN</t>
        </is>
      </c>
      <c r="G146" t="inlineStr">
        <is>
          <t>ÖVERKALIX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46326</v>
      </c>
      <c r="F147" t="inlineStr">
        <is>
          <t>NORRBOTTENS LÄN</t>
        </is>
      </c>
      <c r="G147" t="inlineStr">
        <is>
          <t>ÖVERKALIX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46326</v>
      </c>
      <c r="F148" t="inlineStr">
        <is>
          <t>NORRBOTTENS LÄN</t>
        </is>
      </c>
      <c r="G148" t="inlineStr">
        <is>
          <t>ÖVERKALIX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46326</v>
      </c>
      <c r="F149" t="inlineStr">
        <is>
          <t>NORRBOTTENS LÄN</t>
        </is>
      </c>
      <c r="G149" t="inlineStr">
        <is>
          <t>ÖVERKALIX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46326</v>
      </c>
      <c r="F150" t="inlineStr">
        <is>
          <t>NORRBOTTENS LÄN</t>
        </is>
      </c>
      <c r="G150" t="inlineStr">
        <is>
          <t>ÖVERKALIX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46326</v>
      </c>
      <c r="F151" t="inlineStr">
        <is>
          <t>NORRBOTTENS LÄN</t>
        </is>
      </c>
      <c r="G151" t="inlineStr">
        <is>
          <t>ÖVERKALIX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46326</v>
      </c>
      <c r="F152" t="inlineStr">
        <is>
          <t>NORRBOTTENS LÄN</t>
        </is>
      </c>
      <c r="G152" t="inlineStr">
        <is>
          <t>ÖVERKALIX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72364-2021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44543</v>
      </c>
      <c r="E153" s="1" t="n">
        <v>46326</v>
      </c>
      <c r="F153" t="inlineStr">
        <is>
          <t>NORRBOTTENS LÄN</t>
        </is>
      </c>
      <c r="G153" t="inlineStr">
        <is>
          <t>ÖVERKALIX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46326</v>
      </c>
      <c r="F154" t="inlineStr">
        <is>
          <t>NORRBOTTENS LÄN</t>
        </is>
      </c>
      <c r="G154" t="inlineStr">
        <is>
          <t>ÖVERKALIX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46326</v>
      </c>
      <c r="F155" t="inlineStr">
        <is>
          <t>NORRBOTTENS LÄN</t>
        </is>
      </c>
      <c r="G155" t="inlineStr">
        <is>
          <t>ÖVERKALIX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46326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46326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46326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46326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31744-2025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45834</v>
      </c>
      <c r="E160" s="1" t="n">
        <v>46326</v>
      </c>
      <c r="F160" t="inlineStr">
        <is>
          <t>NORRBOTTENS LÄN</t>
        </is>
      </c>
      <c r="G160" t="inlineStr">
        <is>
          <t>ÖVERKALIX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45835</v>
      </c>
      <c r="E161" s="1" t="n">
        <v>46326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46326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46326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46326</v>
      </c>
      <c r="F164" t="inlineStr">
        <is>
          <t>NORRBOTTENS LÄN</t>
        </is>
      </c>
      <c r="G164" t="inlineStr">
        <is>
          <t>ÖVERKALIX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46326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9.199999999999999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46326</v>
      </c>
      <c r="F166" t="inlineStr">
        <is>
          <t>NORRBOTTENS LÄN</t>
        </is>
      </c>
      <c r="G166" t="inlineStr">
        <is>
          <t>ÖVERKALIX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46326</v>
      </c>
      <c r="F167" t="inlineStr">
        <is>
          <t>NORRBOTTENS LÄN</t>
        </is>
      </c>
      <c r="G167" t="inlineStr">
        <is>
          <t>ÖVERKALIX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46326</v>
      </c>
      <c r="F168" t="inlineStr">
        <is>
          <t>NORRBOTTENS LÄN</t>
        </is>
      </c>
      <c r="G168" t="inlineStr">
        <is>
          <t>ÖVERKALIX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46326</v>
      </c>
      <c r="F169" t="inlineStr">
        <is>
          <t>NORRBOTTENS LÄN</t>
        </is>
      </c>
      <c r="G169" t="inlineStr">
        <is>
          <t>ÖVERKALIX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45712</v>
      </c>
      <c r="E170" s="1" t="n">
        <v>46326</v>
      </c>
      <c r="F170" t="inlineStr">
        <is>
          <t>NORRBOTTENS LÄN</t>
        </is>
      </c>
      <c r="G170" t="inlineStr">
        <is>
          <t>ÖVERKALIX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46326</v>
      </c>
      <c r="F171" t="inlineStr">
        <is>
          <t>NORRBOTTENS LÄN</t>
        </is>
      </c>
      <c r="G171" t="inlineStr">
        <is>
          <t>ÖVERKALIX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46326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44754-2025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45917</v>
      </c>
      <c r="E173" s="1" t="n">
        <v>46326</v>
      </c>
      <c r="F173" t="inlineStr">
        <is>
          <t>NORRBOTTENS LÄN</t>
        </is>
      </c>
      <c r="G173" t="inlineStr">
        <is>
          <t>ÖVERKALIX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46326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34128-2025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45845</v>
      </c>
      <c r="E175" s="1" t="n">
        <v>46326</v>
      </c>
      <c r="F175" t="inlineStr">
        <is>
          <t>NORRBOTTENS LÄN</t>
        </is>
      </c>
      <c r="G175" t="inlineStr">
        <is>
          <t>ÖVERKALIX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46326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10.5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45535-2025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45922</v>
      </c>
      <c r="E177" s="1" t="n">
        <v>46326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46326</v>
      </c>
      <c r="F178" t="inlineStr">
        <is>
          <t>NORRBOTTENS LÄN</t>
        </is>
      </c>
      <c r="G178" t="inlineStr">
        <is>
          <t>ÖVERKALIX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45075</v>
      </c>
      <c r="E179" s="1" t="n">
        <v>46326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46326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44930</v>
      </c>
      <c r="E181" s="1" t="n">
        <v>46326</v>
      </c>
      <c r="F181" t="inlineStr">
        <is>
          <t>NORRBOTTENS LÄN</t>
        </is>
      </c>
      <c r="G181" t="inlineStr">
        <is>
          <t>ÖVERKALIX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46326</v>
      </c>
      <c r="F182" t="inlineStr">
        <is>
          <t>NORRBOTTENS LÄN</t>
        </is>
      </c>
      <c r="G182" t="inlineStr">
        <is>
          <t>ÖVERKALIX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46326</v>
      </c>
      <c r="F183" t="inlineStr">
        <is>
          <t>NORRBOTTENS LÄN</t>
        </is>
      </c>
      <c r="G183" t="inlineStr">
        <is>
          <t>ÖVERKALIX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45869</v>
      </c>
      <c r="E184" s="1" t="n">
        <v>46326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45869</v>
      </c>
      <c r="E185" s="1" t="n">
        <v>46326</v>
      </c>
      <c r="F185" t="inlineStr">
        <is>
          <t>NORRBOTTENS LÄN</t>
        </is>
      </c>
      <c r="G185" t="inlineStr">
        <is>
          <t>ÖVERKALIX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45870</v>
      </c>
      <c r="E186" s="1" t="n">
        <v>46326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45870</v>
      </c>
      <c r="E187" s="1" t="n">
        <v>46326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46326</v>
      </c>
      <c r="F188" t="inlineStr">
        <is>
          <t>NORRBOTTENS LÄN</t>
        </is>
      </c>
      <c r="G188" t="inlineStr">
        <is>
          <t>ÖVERKALIX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46326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45940</v>
      </c>
      <c r="E190" s="1" t="n">
        <v>46326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45428</v>
      </c>
      <c r="E191" s="1" t="n">
        <v>46326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46326</v>
      </c>
      <c r="F192" t="inlineStr">
        <is>
          <t>NORRBOTTENS LÄN</t>
        </is>
      </c>
      <c r="G192" t="inlineStr">
        <is>
          <t>ÖVERKALIX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46326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45882</v>
      </c>
      <c r="E194" s="1" t="n">
        <v>46326</v>
      </c>
      <c r="F194" t="inlineStr">
        <is>
          <t>NORRBOTTENS LÄN</t>
        </is>
      </c>
      <c r="G194" t="inlineStr">
        <is>
          <t>ÖVERKALIX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46326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46326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46326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46326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45882</v>
      </c>
      <c r="E199" s="1" t="n">
        <v>46326</v>
      </c>
      <c r="F199" t="inlineStr">
        <is>
          <t>NORRBOTTENS LÄN</t>
        </is>
      </c>
      <c r="G199" t="inlineStr">
        <is>
          <t>ÖVERKALIX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46326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46326</v>
      </c>
      <c r="F201" t="inlineStr">
        <is>
          <t>NORRBOTTENS LÄN</t>
        </is>
      </c>
      <c r="G201" t="inlineStr">
        <is>
          <t>ÖVERKALIX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44964</v>
      </c>
      <c r="E202" s="1" t="n">
        <v>46326</v>
      </c>
      <c r="F202" t="inlineStr">
        <is>
          <t>NORRBOTTENS LÄN</t>
        </is>
      </c>
      <c r="G202" t="inlineStr">
        <is>
          <t>ÖVERKALIX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46326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51634-2025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45951</v>
      </c>
      <c r="E204" s="1" t="n">
        <v>46326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58764-2023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45251</v>
      </c>
      <c r="E205" s="1" t="n">
        <v>46326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45949</v>
      </c>
      <c r="E206" s="1" t="n">
        <v>46326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45957</v>
      </c>
      <c r="E207" s="1" t="n">
        <v>46326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46326</v>
      </c>
      <c r="F208" t="inlineStr">
        <is>
          <t>NORRBOTTENS LÄN</t>
        </is>
      </c>
      <c r="G208" t="inlineStr">
        <is>
          <t>ÖVERKALIX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45086</v>
      </c>
      <c r="E209" s="1" t="n">
        <v>46326</v>
      </c>
      <c r="F209" t="inlineStr">
        <is>
          <t>NORRBOTTENS LÄN</t>
        </is>
      </c>
      <c r="G209" t="inlineStr">
        <is>
          <t>ÖVERKALIX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52591-2025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45954</v>
      </c>
      <c r="E210" s="1" t="n">
        <v>46326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45767-2023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46326</v>
      </c>
      <c r="F211" t="inlineStr">
        <is>
          <t>NORRBOTTENS LÄN</t>
        </is>
      </c>
      <c r="G211" t="inlineStr">
        <is>
          <t>ÖVERKALIX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46326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45189</v>
      </c>
      <c r="E213" s="1" t="n">
        <v>46326</v>
      </c>
      <c r="F213" t="inlineStr">
        <is>
          <t>NORRBOTTENS LÄN</t>
        </is>
      </c>
      <c r="G213" t="inlineStr">
        <is>
          <t>ÖVERKALIX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45133</v>
      </c>
      <c r="E214" s="1" t="n">
        <v>46326</v>
      </c>
      <c r="F214" t="inlineStr">
        <is>
          <t>NORRBOTTENS LÄN</t>
        </is>
      </c>
      <c r="G214" t="inlineStr">
        <is>
          <t>ÖVERKALIX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46326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46326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46326</v>
      </c>
      <c r="F217" t="inlineStr">
        <is>
          <t>NORRBOTTENS LÄN</t>
        </is>
      </c>
      <c r="G217" t="inlineStr">
        <is>
          <t>ÖVERKALIX</t>
        </is>
      </c>
      <c r="I217" t="n">
        <v>10.8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72809-2021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44546</v>
      </c>
      <c r="E218" s="1" t="n">
        <v>46326</v>
      </c>
      <c r="F218" t="inlineStr">
        <is>
          <t>NORRBOTTENS LÄN</t>
        </is>
      </c>
      <c r="G218" t="inlineStr">
        <is>
          <t>ÖVERKALIX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40155-2024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46326</v>
      </c>
      <c r="F219" t="inlineStr">
        <is>
          <t>NORRBOTTENS LÄN</t>
        </is>
      </c>
      <c r="G219" t="inlineStr">
        <is>
          <t>ÖVERKALIX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46326</v>
      </c>
      <c r="F220" t="inlineStr">
        <is>
          <t>NORRBOTTENS LÄN</t>
        </is>
      </c>
      <c r="G220" t="inlineStr">
        <is>
          <t>ÖVERKALIX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46080</v>
      </c>
      <c r="E221" s="1" t="n">
        <v>46326</v>
      </c>
      <c r="F221" t="inlineStr">
        <is>
          <t>NORRBOTTENS LÄN</t>
        </is>
      </c>
      <c r="G221" t="inlineStr">
        <is>
          <t>ÖVERKALIX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46326</v>
      </c>
      <c r="F222" t="inlineStr">
        <is>
          <t>NORRBOTTENS LÄN</t>
        </is>
      </c>
      <c r="G222" t="inlineStr">
        <is>
          <t>ÖVERKALIX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28343-2025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45818</v>
      </c>
      <c r="E223" s="1" t="n">
        <v>46326</v>
      </c>
      <c r="F223" t="inlineStr">
        <is>
          <t>NORRBOTTENS LÄN</t>
        </is>
      </c>
      <c r="G223" t="inlineStr">
        <is>
          <t>ÖVERKALIX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44502</v>
      </c>
      <c r="E224" s="1" t="n">
        <v>46326</v>
      </c>
      <c r="F224" t="inlineStr">
        <is>
          <t>NORRBOTTENS LÄN</t>
        </is>
      </c>
      <c r="G224" t="inlineStr">
        <is>
          <t>ÖVERKALIX</t>
        </is>
      </c>
      <c r="I224" t="n">
        <v>9.199999999999999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46326</v>
      </c>
      <c r="F225" t="inlineStr">
        <is>
          <t>NORRBOTTENS LÄN</t>
        </is>
      </c>
      <c r="G225" t="inlineStr">
        <is>
          <t>ÖVERKALIX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46326</v>
      </c>
      <c r="F226" t="inlineStr">
        <is>
          <t>NORRBOTTENS LÄN</t>
        </is>
      </c>
      <c r="G226" t="inlineStr">
        <is>
          <t>ÖVERKALIX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46326</v>
      </c>
      <c r="F227" t="inlineStr">
        <is>
          <t>NORRBOTTENS LÄN</t>
        </is>
      </c>
      <c r="G227" t="inlineStr">
        <is>
          <t>ÖVERKALIX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46326</v>
      </c>
      <c r="F228" t="inlineStr">
        <is>
          <t>NORRBOTTENS LÄN</t>
        </is>
      </c>
      <c r="G228" t="inlineStr">
        <is>
          <t>ÖVERKALIX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46326</v>
      </c>
      <c r="F229" t="inlineStr">
        <is>
          <t>NORRBOTTENS LÄN</t>
        </is>
      </c>
      <c r="G229" t="inlineStr">
        <is>
          <t>ÖVERKALIX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46326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44595</v>
      </c>
      <c r="E231" s="1" t="n">
        <v>46326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46326</v>
      </c>
      <c r="F232" t="inlineStr">
        <is>
          <t>NORRBOTTENS LÄN</t>
        </is>
      </c>
      <c r="G232" t="inlineStr">
        <is>
          <t>ÖVERKALIX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57744-2025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45981</v>
      </c>
      <c r="E233" s="1" t="n">
        <v>46326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45315</v>
      </c>
      <c r="E234" s="1" t="n">
        <v>46326</v>
      </c>
      <c r="F234" t="inlineStr">
        <is>
          <t>NORRBOTTENS LÄN</t>
        </is>
      </c>
      <c r="G234" t="inlineStr">
        <is>
          <t>ÖVERKALIX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46326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46326</v>
      </c>
      <c r="F236" t="inlineStr">
        <is>
          <t>NORRBOTTENS LÄN</t>
        </is>
      </c>
      <c r="G236" t="inlineStr">
        <is>
          <t>ÖVERKALIX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45986</v>
      </c>
      <c r="E237" s="1" t="n">
        <v>46326</v>
      </c>
      <c r="F237" t="inlineStr">
        <is>
          <t>NORRBOTTENS LÄN</t>
        </is>
      </c>
      <c r="G237" t="inlineStr">
        <is>
          <t>ÖVERKALIX</t>
        </is>
      </c>
      <c r="I237" t="n">
        <v>16.1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26554-2023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45092</v>
      </c>
      <c r="E238" s="1" t="n">
        <v>46326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46326</v>
      </c>
      <c r="F239" t="inlineStr">
        <is>
          <t>NORRBOTTENS LÄN</t>
        </is>
      </c>
      <c r="G239" t="inlineStr">
        <is>
          <t>ÖVERKALIX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45308</v>
      </c>
      <c r="E240" s="1" t="n">
        <v>46326</v>
      </c>
      <c r="F240" t="inlineStr">
        <is>
          <t>NORRBOTTENS LÄN</t>
        </is>
      </c>
      <c r="G240" t="inlineStr">
        <is>
          <t>ÖVERKALIX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46326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46326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40619-2022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44823</v>
      </c>
      <c r="E243" s="1" t="n">
        <v>46326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40281-2022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44820</v>
      </c>
      <c r="E244" s="1" t="n">
        <v>46326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46326</v>
      </c>
      <c r="F245" t="inlineStr">
        <is>
          <t>NORRBOTTENS LÄN</t>
        </is>
      </c>
      <c r="G245" t="inlineStr">
        <is>
          <t>ÖVERKALIX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46326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45993</v>
      </c>
      <c r="E247" s="1" t="n">
        <v>46326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45321</v>
      </c>
      <c r="E248" s="1" t="n">
        <v>46326</v>
      </c>
      <c r="F248" t="inlineStr">
        <is>
          <t>NORRBOTTENS LÄN</t>
        </is>
      </c>
      <c r="G248" t="inlineStr">
        <is>
          <t>ÖVERKALIX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42407-2022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44830</v>
      </c>
      <c r="E249" s="1" t="n">
        <v>46326</v>
      </c>
      <c r="F249" t="inlineStr">
        <is>
          <t>NORRBOTTENS LÄN</t>
        </is>
      </c>
      <c r="G249" t="inlineStr">
        <is>
          <t>ÖVERKALIX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45463</v>
      </c>
      <c r="E250" s="1" t="n">
        <v>46326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46326</v>
      </c>
      <c r="F251" t="inlineStr">
        <is>
          <t>NORRBOTTENS LÄN</t>
        </is>
      </c>
      <c r="G251" t="inlineStr">
        <is>
          <t>ÖVERKALIX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45996</v>
      </c>
      <c r="E252" s="1" t="n">
        <v>46326</v>
      </c>
      <c r="F252" t="inlineStr">
        <is>
          <t>NORRBOTTENS LÄN</t>
        </is>
      </c>
      <c r="G252" t="inlineStr">
        <is>
          <t>ÖVERKALIX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46326</v>
      </c>
      <c r="F253" t="inlineStr">
        <is>
          <t>NORRBOTTENS LÄN</t>
        </is>
      </c>
      <c r="G253" t="inlineStr">
        <is>
          <t>ÖVERKALIX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46326</v>
      </c>
      <c r="F254" t="inlineStr">
        <is>
          <t>NORRBOTTENS LÄN</t>
        </is>
      </c>
      <c r="G254" t="inlineStr">
        <is>
          <t>ÖVERKALIX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46326</v>
      </c>
      <c r="F255" t="inlineStr">
        <is>
          <t>NORRBOTTENS LÄN</t>
        </is>
      </c>
      <c r="G255" t="inlineStr">
        <is>
          <t>ÖVERKALIX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60909-2025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46326</v>
      </c>
      <c r="F256" t="inlineStr">
        <is>
          <t>NORRBOTTENS LÄN</t>
        </is>
      </c>
      <c r="G256" t="inlineStr">
        <is>
          <t>ÖVERKALIX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46326</v>
      </c>
      <c r="F257" t="inlineStr">
        <is>
          <t>NORRBOTTENS LÄN</t>
        </is>
      </c>
      <c r="G257" t="inlineStr">
        <is>
          <t>ÖVERKALIX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46326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73216-2021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44547</v>
      </c>
      <c r="E259" s="1" t="n">
        <v>46326</v>
      </c>
      <c r="F259" t="inlineStr">
        <is>
          <t>NORRBOTTENS LÄN</t>
        </is>
      </c>
      <c r="G259" t="inlineStr">
        <is>
          <t>ÖVERKALIX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45594</v>
      </c>
      <c r="E260" s="1" t="n">
        <v>46326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46326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45471</v>
      </c>
      <c r="E262" s="1" t="n">
        <v>46326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27057-2024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45471</v>
      </c>
      <c r="E263" s="1" t="n">
        <v>46326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32.6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46326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45807</v>
      </c>
      <c r="E265" s="1" t="n">
        <v>46326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46326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46009</v>
      </c>
      <c r="E267" s="1" t="n">
        <v>46326</v>
      </c>
      <c r="F267" t="inlineStr">
        <is>
          <t>NORRBOTTENS LÄN</t>
        </is>
      </c>
      <c r="G267" t="inlineStr">
        <is>
          <t>ÖVERKALIX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44950</v>
      </c>
      <c r="E268" s="1" t="n">
        <v>46326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45379</v>
      </c>
      <c r="E269" s="1" t="n">
        <v>46326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46326</v>
      </c>
      <c r="F270" t="inlineStr">
        <is>
          <t>NORRBOTTENS LÄN</t>
        </is>
      </c>
      <c r="G270" t="inlineStr">
        <is>
          <t>ÖVERKALIX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63451-2025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46326</v>
      </c>
      <c r="F271" t="inlineStr">
        <is>
          <t>NORRBOTTENS LÄN</t>
        </is>
      </c>
      <c r="G271" t="inlineStr">
        <is>
          <t>ÖVERKALIX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46013</v>
      </c>
      <c r="E272" s="1" t="n">
        <v>46326</v>
      </c>
      <c r="F272" t="inlineStr">
        <is>
          <t>NORRBOTTENS LÄN</t>
        </is>
      </c>
      <c r="G272" t="inlineStr">
        <is>
          <t>ÖVERKALIX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46326</v>
      </c>
      <c r="F273" t="inlineStr">
        <is>
          <t>NORRBOTTENS LÄN</t>
        </is>
      </c>
      <c r="G273" t="inlineStr">
        <is>
          <t>ÖVERKALIX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46326</v>
      </c>
      <c r="F274" t="inlineStr">
        <is>
          <t>NORRBOTTENS LÄN</t>
        </is>
      </c>
      <c r="G274" t="inlineStr">
        <is>
          <t>ÖVERKALIX</t>
        </is>
      </c>
      <c r="I274" t="n">
        <v>9.4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45460</v>
      </c>
      <c r="E275" s="1" t="n">
        <v>46326</v>
      </c>
      <c r="F275" t="inlineStr">
        <is>
          <t>NORRBOTTENS LÄN</t>
        </is>
      </c>
      <c r="G275" t="inlineStr">
        <is>
          <t>ÖVERKALIX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46326</v>
      </c>
      <c r="F276" t="inlineStr">
        <is>
          <t>NORRBOTTENS LÄN</t>
        </is>
      </c>
      <c r="G276" t="inlineStr">
        <is>
          <t>ÖVERKALIX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46326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22.8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46326</v>
      </c>
      <c r="F278" t="inlineStr">
        <is>
          <t>NORRBOTTENS LÄN</t>
        </is>
      </c>
      <c r="G278" t="inlineStr">
        <is>
          <t>ÖVERKALIX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44575</v>
      </c>
      <c r="E279" s="1" t="n">
        <v>46326</v>
      </c>
      <c r="F279" t="inlineStr">
        <is>
          <t>NORRBOTTENS LÄN</t>
        </is>
      </c>
      <c r="G279" t="inlineStr">
        <is>
          <t>ÖVERKALIX</t>
        </is>
      </c>
      <c r="I279" t="n">
        <v>10.4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46326</v>
      </c>
      <c r="F280" t="inlineStr">
        <is>
          <t>NORRBOTTENS LÄN</t>
        </is>
      </c>
      <c r="G280" t="inlineStr">
        <is>
          <t>ÖVERKALIX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46326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46120</v>
      </c>
      <c r="E282" s="1" t="n">
        <v>46326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46326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44797</v>
      </c>
      <c r="E284" s="1" t="n">
        <v>46326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46326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32477-2024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45513</v>
      </c>
      <c r="E286" s="1" t="n">
        <v>46326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30881-2024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45498</v>
      </c>
      <c r="E287" s="1" t="n">
        <v>46326</v>
      </c>
      <c r="F287" t="inlineStr">
        <is>
          <t>NORRBOTTENS LÄN</t>
        </is>
      </c>
      <c r="G287" t="inlineStr">
        <is>
          <t>ÖVERKALIX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45308</v>
      </c>
      <c r="E288" s="1" t="n">
        <v>46326</v>
      </c>
      <c r="F288" t="inlineStr">
        <is>
          <t>NORRBOTTENS LÄN</t>
        </is>
      </c>
      <c r="G288" t="inlineStr">
        <is>
          <t>ÖVERKALIX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46326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46127</v>
      </c>
      <c r="E290" s="1" t="n">
        <v>46326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46326</v>
      </c>
      <c r="F291" t="inlineStr">
        <is>
          <t>NORRBOTTENS LÄN</t>
        </is>
      </c>
      <c r="G291" t="inlineStr">
        <is>
          <t>ÖVERKALIX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46326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19410-2026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46326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46326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47734-2024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45588</v>
      </c>
      <c r="E295" s="1" t="n">
        <v>46326</v>
      </c>
      <c r="F295" t="inlineStr">
        <is>
          <t>NORRBOTTENS LÄN</t>
        </is>
      </c>
      <c r="G295" t="inlineStr">
        <is>
          <t>ÖVERKALIX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46326</v>
      </c>
      <c r="F296" t="inlineStr">
        <is>
          <t>NORRBOTTENS LÄN</t>
        </is>
      </c>
      <c r="G296" t="inlineStr">
        <is>
          <t>ÖVERKALIX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19616-2026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46326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44659</v>
      </c>
      <c r="E298" s="1" t="n">
        <v>46326</v>
      </c>
      <c r="F298" t="inlineStr">
        <is>
          <t>NORRBOTTENS LÄN</t>
        </is>
      </c>
      <c r="G298" t="inlineStr">
        <is>
          <t>ÖVERKALIX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45513</v>
      </c>
      <c r="E299" s="1" t="n">
        <v>46326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45709</v>
      </c>
      <c r="E300" s="1" t="n">
        <v>46326</v>
      </c>
      <c r="F300" t="inlineStr">
        <is>
          <t>NORRBOTTENS LÄN</t>
        </is>
      </c>
      <c r="G300" t="inlineStr">
        <is>
          <t>ÖVERKALIX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45639</v>
      </c>
      <c r="E301" s="1" t="n">
        <v>46326</v>
      </c>
      <c r="F301" t="inlineStr">
        <is>
          <t>NORRBOTTENS LÄN</t>
        </is>
      </c>
      <c r="G301" t="inlineStr">
        <is>
          <t>ÖVERKALIX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42721-2023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45181</v>
      </c>
      <c r="E302" s="1" t="n">
        <v>46326</v>
      </c>
      <c r="F302" t="inlineStr">
        <is>
          <t>NORRBOTTENS LÄN</t>
        </is>
      </c>
      <c r="G302" t="inlineStr">
        <is>
          <t>ÖVERKALIX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45693</v>
      </c>
      <c r="E303" s="1" t="n">
        <v>46326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46326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57870-2022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44899</v>
      </c>
      <c r="E305" s="1" t="n">
        <v>46326</v>
      </c>
      <c r="F305" t="inlineStr">
        <is>
          <t>NORRBOTTENS LÄN</t>
        </is>
      </c>
      <c r="G305" t="inlineStr">
        <is>
          <t>ÖVERKALIX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45709</v>
      </c>
      <c r="E306" s="1" t="n">
        <v>46326</v>
      </c>
      <c r="F306" t="inlineStr">
        <is>
          <t>NORRBOTTENS LÄN</t>
        </is>
      </c>
      <c r="G306" t="inlineStr">
        <is>
          <t>ÖVERKALIX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45540</v>
      </c>
      <c r="E307" s="1" t="n">
        <v>46326</v>
      </c>
      <c r="F307" t="inlineStr">
        <is>
          <t>NORRBOTTENS LÄN</t>
        </is>
      </c>
      <c r="G307" t="inlineStr">
        <is>
          <t>ÖVERKALIX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64524-2023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45281</v>
      </c>
      <c r="E308" s="1" t="n">
        <v>46326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46326</v>
      </c>
      <c r="F309" t="inlineStr">
        <is>
          <t>NORRBOTTENS LÄN</t>
        </is>
      </c>
      <c r="G309" t="inlineStr">
        <is>
          <t>ÖVERKALIX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46326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60463-2024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45643</v>
      </c>
      <c r="E311" s="1" t="n">
        <v>46326</v>
      </c>
      <c r="F311" t="inlineStr">
        <is>
          <t>NORRBOTTENS LÄN</t>
        </is>
      </c>
      <c r="G311" t="inlineStr">
        <is>
          <t>ÖVERKALIX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46326</v>
      </c>
      <c r="F312" t="inlineStr">
        <is>
          <t>NORRBOTTENS LÄN</t>
        </is>
      </c>
      <c r="G312" t="inlineStr">
        <is>
          <t>ÖVERKALIX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19541-2024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45429</v>
      </c>
      <c r="E313" s="1" t="n">
        <v>46326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22.7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44648</v>
      </c>
      <c r="E314" s="1" t="n">
        <v>46326</v>
      </c>
      <c r="F314" t="inlineStr">
        <is>
          <t>NORRBOTTENS LÄN</t>
        </is>
      </c>
      <c r="G314" t="inlineStr">
        <is>
          <t>ÖVERKALIX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46326</v>
      </c>
      <c r="F315" t="inlineStr">
        <is>
          <t>NORRBOTTENS LÄN</t>
        </is>
      </c>
      <c r="G315" t="inlineStr">
        <is>
          <t>ÖVERKALIX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46326</v>
      </c>
      <c r="F316" t="inlineStr">
        <is>
          <t>NORRBOTTENS LÄN</t>
        </is>
      </c>
      <c r="G316" t="inlineStr">
        <is>
          <t>ÖVERKALIX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21299-2024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46326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25692-2024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46326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72623-2021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44546</v>
      </c>
      <c r="E319" s="1" t="n">
        <v>46326</v>
      </c>
      <c r="F319" t="inlineStr">
        <is>
          <t>NORRBOTTENS LÄN</t>
        </is>
      </c>
      <c r="G319" t="inlineStr">
        <is>
          <t>ÖVERKALIX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45548</v>
      </c>
      <c r="E320" s="1" t="n">
        <v>46326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21417-2026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46148</v>
      </c>
      <c r="E321" s="1" t="n">
        <v>46326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21427-2026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46148</v>
      </c>
      <c r="E322" s="1" t="n">
        <v>46326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46148</v>
      </c>
      <c r="E323" s="1" t="n">
        <v>46326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46148</v>
      </c>
      <c r="E324" s="1" t="n">
        <v>46326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21423-2026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46148</v>
      </c>
      <c r="E325" s="1" t="n">
        <v>46326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21424-2026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46148</v>
      </c>
      <c r="E326" s="1" t="n">
        <v>46326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46148</v>
      </c>
      <c r="E327" s="1" t="n">
        <v>46326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46148</v>
      </c>
      <c r="E328" s="1" t="n">
        <v>46326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18.8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46148</v>
      </c>
      <c r="E329" s="1" t="n">
        <v>46326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11.5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45513</v>
      </c>
      <c r="E330" s="1" t="n">
        <v>46326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46326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23.2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45009</v>
      </c>
      <c r="E332" s="1" t="n">
        <v>46326</v>
      </c>
      <c r="F332" t="inlineStr">
        <is>
          <t>NORRBOTTENS LÄN</t>
        </is>
      </c>
      <c r="G332" t="inlineStr">
        <is>
          <t>ÖVERKALIX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45548</v>
      </c>
      <c r="E333" s="1" t="n">
        <v>46326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46326</v>
      </c>
      <c r="F334" t="inlineStr">
        <is>
          <t>NORRBOTTENS LÄN</t>
        </is>
      </c>
      <c r="G334" t="inlineStr">
        <is>
          <t>ÖVERKALIX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44938</v>
      </c>
      <c r="E335" s="1" t="n">
        <v>46326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46326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11.8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45748-2023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46326</v>
      </c>
      <c r="F337" t="inlineStr">
        <is>
          <t>NORRBOTTENS LÄN</t>
        </is>
      </c>
      <c r="G337" t="inlineStr">
        <is>
          <t>ÖVERKALIX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46326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46326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46326</v>
      </c>
      <c r="F340" t="inlineStr">
        <is>
          <t>NORRBOTTENS LÄN</t>
        </is>
      </c>
      <c r="G340" t="inlineStr">
        <is>
          <t>ÖVERKALIX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46326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9.9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46326</v>
      </c>
      <c r="F342" t="inlineStr">
        <is>
          <t>NORRBOTTENS LÄN</t>
        </is>
      </c>
      <c r="G342" t="inlineStr">
        <is>
          <t>ÖVERKALIX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46326</v>
      </c>
      <c r="F343" t="inlineStr">
        <is>
          <t>NORRBOTTENS LÄN</t>
        </is>
      </c>
      <c r="G343" t="inlineStr">
        <is>
          <t>ÖVERKALIX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46326</v>
      </c>
      <c r="F344" t="inlineStr">
        <is>
          <t>NORRBOTTENS LÄN</t>
        </is>
      </c>
      <c r="G344" t="inlineStr">
        <is>
          <t>ÖVERKALIX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46164</v>
      </c>
      <c r="E345" s="1" t="n">
        <v>46326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46326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46326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28372-2025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45818</v>
      </c>
      <c r="E348" s="1" t="n">
        <v>46326</v>
      </c>
      <c r="F348" t="inlineStr">
        <is>
          <t>NORRBOTTENS LÄN</t>
        </is>
      </c>
      <c r="G348" t="inlineStr">
        <is>
          <t>ÖVERKALIX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23942-2026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46326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45950</v>
      </c>
      <c r="E350" s="1" t="n">
        <v>46326</v>
      </c>
      <c r="F350" t="inlineStr">
        <is>
          <t>NORRBOTTENS LÄN</t>
        </is>
      </c>
      <c r="G350" t="inlineStr">
        <is>
          <t>ÖVERKALIX</t>
        </is>
      </c>
      <c r="I350" t="n">
        <v>8.199999999999999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23949-2026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46326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46326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45518</v>
      </c>
      <c r="E353" s="1" t="n">
        <v>46326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46326</v>
      </c>
      <c r="F354" t="inlineStr">
        <is>
          <t>NORRBOTTENS LÄN</t>
        </is>
      </c>
      <c r="G354" t="inlineStr">
        <is>
          <t>ÖVERKALIX</t>
        </is>
      </c>
      <c r="I354" t="n">
        <v>10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46326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28.8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46170</v>
      </c>
      <c r="E356" s="1" t="n">
        <v>46326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46326</v>
      </c>
      <c r="F357" t="inlineStr">
        <is>
          <t>NORRBOTTENS LÄN</t>
        </is>
      </c>
      <c r="G357" t="inlineStr">
        <is>
          <t>ÖVERKALIX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45205</v>
      </c>
      <c r="E358" s="1" t="n">
        <v>46326</v>
      </c>
      <c r="F358" t="inlineStr">
        <is>
          <t>NORRBOTTENS LÄN</t>
        </is>
      </c>
      <c r="G358" t="inlineStr">
        <is>
          <t>ÖVERKALIX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46326</v>
      </c>
      <c r="F359" t="inlineStr">
        <is>
          <t>NORRBOTTENS LÄN</t>
        </is>
      </c>
      <c r="G359" t="inlineStr">
        <is>
          <t>ÖVERKALIX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45334</v>
      </c>
      <c r="E360" s="1" t="n">
        <v>46326</v>
      </c>
      <c r="F360" t="inlineStr">
        <is>
          <t>NORRBOTTENS LÄN</t>
        </is>
      </c>
      <c r="G360" t="inlineStr">
        <is>
          <t>ÖVERKALIX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55227-2024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45621</v>
      </c>
      <c r="E361" s="1" t="n">
        <v>46326</v>
      </c>
      <c r="F361" t="inlineStr">
        <is>
          <t>NORRBOTTENS LÄN</t>
        </is>
      </c>
      <c r="G361" t="inlineStr">
        <is>
          <t>ÖVERKALIX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46326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46326</v>
      </c>
      <c r="F363" t="inlineStr">
        <is>
          <t>NORRBOTTENS LÄN</t>
        </is>
      </c>
      <c r="G363" t="inlineStr">
        <is>
          <t>ÖVERKALIX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46326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45321</v>
      </c>
      <c r="E365" s="1" t="n">
        <v>46326</v>
      </c>
      <c r="F365" t="inlineStr">
        <is>
          <t>NORRBOTTENS LÄN</t>
        </is>
      </c>
      <c r="G365" t="inlineStr">
        <is>
          <t>ÖVERKALIX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46326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46326</v>
      </c>
      <c r="F367" t="inlineStr">
        <is>
          <t>NORRBOTTENS LÄN</t>
        </is>
      </c>
      <c r="G367" t="inlineStr">
        <is>
          <t>ÖVERKALIX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46326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46326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29961-2023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46326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72212-2021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44543</v>
      </c>
      <c r="E371" s="1" t="n">
        <v>46326</v>
      </c>
      <c r="F371" t="inlineStr">
        <is>
          <t>NORRBOTTENS LÄN</t>
        </is>
      </c>
      <c r="G371" t="inlineStr">
        <is>
          <t>ÖVERKALIX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46326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13.8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46326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45404</v>
      </c>
      <c r="E374" s="1" t="n">
        <v>46326</v>
      </c>
      <c r="F374" t="inlineStr">
        <is>
          <t>NORRBOTTENS LÄN</t>
        </is>
      </c>
      <c r="G374" t="inlineStr">
        <is>
          <t>ÖVERKALIX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20580-2024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45436</v>
      </c>
      <c r="E375" s="1" t="n">
        <v>46326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29.9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46326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8.5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46326</v>
      </c>
      <c r="F377" t="inlineStr">
        <is>
          <t>NORRBOTTENS LÄN</t>
        </is>
      </c>
      <c r="G377" t="inlineStr">
        <is>
          <t>ÖVERKALIX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45401</v>
      </c>
      <c r="E378" s="1" t="n">
        <v>46326</v>
      </c>
      <c r="F378" t="inlineStr">
        <is>
          <t>NORRBOTTENS LÄN</t>
        </is>
      </c>
      <c r="G378" t="inlineStr">
        <is>
          <t>ÖVERKALIX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44817</v>
      </c>
      <c r="E379" s="1" t="n">
        <v>46326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8.800000000000001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46326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28210-2026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46196</v>
      </c>
      <c r="E381" s="1" t="n">
        <v>46326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45539</v>
      </c>
      <c r="E382" s="1" t="n">
        <v>46326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6.6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46326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46326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45223</v>
      </c>
      <c r="E385" s="1" t="n">
        <v>46326</v>
      </c>
      <c r="F385" t="inlineStr">
        <is>
          <t>NORRBOTTENS LÄN</t>
        </is>
      </c>
      <c r="G385" t="inlineStr">
        <is>
          <t>ÖVERKALIX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46199</v>
      </c>
      <c r="E386" s="1" t="n">
        <v>46326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46326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45693</v>
      </c>
      <c r="E388" s="1" t="n">
        <v>46326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46326</v>
      </c>
      <c r="F389" t="inlineStr">
        <is>
          <t>NORRBOTTENS LÄN</t>
        </is>
      </c>
      <c r="G389" t="inlineStr">
        <is>
          <t>ÖVERKALIX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55226-2024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45621</v>
      </c>
      <c r="E390" s="1" t="n">
        <v>46326</v>
      </c>
      <c r="F390" t="inlineStr">
        <is>
          <t>NORRBOTTENS LÄN</t>
        </is>
      </c>
      <c r="G390" t="inlineStr">
        <is>
          <t>ÖVERKALIX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46206</v>
      </c>
      <c r="E391" s="1" t="n">
        <v>46326</v>
      </c>
      <c r="F391" t="inlineStr">
        <is>
          <t>NORRBOTTENS LÄN</t>
        </is>
      </c>
      <c r="G391" t="inlineStr">
        <is>
          <t>ÖVERKALIX</t>
        </is>
      </c>
      <c r="I391" t="n">
        <v>22.3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46326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46326</v>
      </c>
      <c r="F393" t="inlineStr">
        <is>
          <t>NORRBOTTENS LÄN</t>
        </is>
      </c>
      <c r="G393" t="inlineStr">
        <is>
          <t>ÖVERKALIX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46326</v>
      </c>
      <c r="F394" t="inlineStr">
        <is>
          <t>NORRBOTTENS LÄN</t>
        </is>
      </c>
      <c r="G394" t="inlineStr">
        <is>
          <t>ÖVERKALIX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29927-2026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46205</v>
      </c>
      <c r="E395" s="1" t="n">
        <v>46326</v>
      </c>
      <c r="F395" t="inlineStr">
        <is>
          <t>NORRBOTTENS LÄN</t>
        </is>
      </c>
      <c r="G395" t="inlineStr">
        <is>
          <t>ÖVERKALIX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29937-2026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46205</v>
      </c>
      <c r="E396" s="1" t="n">
        <v>46326</v>
      </c>
      <c r="F396" t="inlineStr">
        <is>
          <t>NORRBOTTENS LÄN</t>
        </is>
      </c>
      <c r="G396" t="inlineStr">
        <is>
          <t>ÖVERKALIX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30326-2026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46207</v>
      </c>
      <c r="E397" s="1" t="n">
        <v>46326</v>
      </c>
      <c r="F397" t="inlineStr">
        <is>
          <t>NORRBOTTENS LÄN</t>
        </is>
      </c>
      <c r="G397" t="inlineStr">
        <is>
          <t>ÖVERKALIX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30327-2026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46207</v>
      </c>
      <c r="E398" s="1" t="n">
        <v>46326</v>
      </c>
      <c r="F398" t="inlineStr">
        <is>
          <t>NORRBOTTENS LÄN</t>
        </is>
      </c>
      <c r="G398" t="inlineStr">
        <is>
          <t>ÖVERKALIX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30328-2026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46207</v>
      </c>
      <c r="E399" s="1" t="n">
        <v>46326</v>
      </c>
      <c r="F399" t="inlineStr">
        <is>
          <t>NORRBOTTENS LÄN</t>
        </is>
      </c>
      <c r="G399" t="inlineStr">
        <is>
          <t>ÖVERKALIX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46326</v>
      </c>
      <c r="F400" t="inlineStr">
        <is>
          <t>NORRBOTTENS LÄN</t>
        </is>
      </c>
      <c r="G400" t="inlineStr">
        <is>
          <t>ÖVERKALIX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46326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30241-2026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46206</v>
      </c>
      <c r="E402" s="1" t="n">
        <v>46326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46326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58037-2024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46326</v>
      </c>
      <c r="F404" t="inlineStr">
        <is>
          <t>NORRBOTTENS LÄN</t>
        </is>
      </c>
      <c r="G404" t="inlineStr">
        <is>
          <t>ÖVERKALIX</t>
        </is>
      </c>
      <c r="I404" t="n">
        <v>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19985-2025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45771</v>
      </c>
      <c r="E405" s="1" t="n">
        <v>46326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45268</v>
      </c>
      <c r="E406" s="1" t="n">
        <v>46326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27681-2026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46326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48577-2023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45208</v>
      </c>
      <c r="E408" s="1" t="n">
        <v>46326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38941-2024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45548</v>
      </c>
      <c r="E409" s="1" t="n">
        <v>46326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46326</v>
      </c>
      <c r="F410" t="inlineStr">
        <is>
          <t>NORRBOTTENS LÄN</t>
        </is>
      </c>
      <c r="G410" t="inlineStr">
        <is>
          <t>ÖVERKALIX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36839-2023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45153</v>
      </c>
      <c r="E411" s="1" t="n">
        <v>46326</v>
      </c>
      <c r="F411" t="inlineStr">
        <is>
          <t>NORRBOTTENS LÄN</t>
        </is>
      </c>
      <c r="G411" t="inlineStr">
        <is>
          <t>ÖVERKALIX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52976-2024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45611</v>
      </c>
      <c r="E412" s="1" t="n">
        <v>46326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29960-2023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45107</v>
      </c>
      <c r="E413" s="1" t="n">
        <v>46326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45641</v>
      </c>
      <c r="E414" s="1" t="n">
        <v>46326</v>
      </c>
      <c r="F414" t="inlineStr">
        <is>
          <t>NORRBOTTENS LÄN</t>
        </is>
      </c>
      <c r="G414" t="inlineStr">
        <is>
          <t>ÖVERKALIX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46225</v>
      </c>
      <c r="E415" s="1" t="n">
        <v>46326</v>
      </c>
      <c r="F415" t="inlineStr">
        <is>
          <t>NORRBOTTENS LÄN</t>
        </is>
      </c>
      <c r="G415" t="inlineStr">
        <is>
          <t>ÖVERKALIX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46230</v>
      </c>
      <c r="E416" s="1" t="n">
        <v>46326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23324-2023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45076</v>
      </c>
      <c r="E417" s="1" t="n">
        <v>46326</v>
      </c>
      <c r="F417" t="inlineStr">
        <is>
          <t>NORRBOTTENS LÄN</t>
        </is>
      </c>
      <c r="G417" t="inlineStr">
        <is>
          <t>ÖVERKALIX</t>
        </is>
      </c>
      <c r="H417" t="inlineStr">
        <is>
          <t>Övriga statliga verk och myndigheter</t>
        </is>
      </c>
      <c r="I417" t="n">
        <v>38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45429</v>
      </c>
      <c r="E418" s="1" t="n">
        <v>46326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46326</v>
      </c>
      <c r="F419" t="inlineStr">
        <is>
          <t>NORRBOTTENS LÄN</t>
        </is>
      </c>
      <c r="G419" t="inlineStr">
        <is>
          <t>ÖVERKALIX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48561-2024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45593</v>
      </c>
      <c r="E420" s="1" t="n">
        <v>46326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45692</v>
      </c>
      <c r="E421" s="1" t="n">
        <v>46326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46238</v>
      </c>
      <c r="E422" s="1" t="n">
        <v>46326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46287</v>
      </c>
      <c r="E423" s="1" t="n">
        <v>46326</v>
      </c>
      <c r="F423" t="inlineStr">
        <is>
          <t>NORRBOTTENS LÄN</t>
        </is>
      </c>
      <c r="G423" t="inlineStr">
        <is>
          <t>ÖVERKALIX</t>
        </is>
      </c>
      <c r="I423" t="n">
        <v>12.9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46326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46326</v>
      </c>
      <c r="F425" t="inlineStr">
        <is>
          <t>NORRBOTTENS LÄN</t>
        </is>
      </c>
      <c r="G425" t="inlineStr">
        <is>
          <t>ÖVERKALIX</t>
        </is>
      </c>
      <c r="I425" t="n">
        <v>12.5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39203-2026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46326</v>
      </c>
      <c r="F426" t="inlineStr">
        <is>
          <t>NORRBOTTENS LÄN</t>
        </is>
      </c>
      <c r="G426" t="inlineStr">
        <is>
          <t>ÖVERKALIX</t>
        </is>
      </c>
      <c r="I426" t="n">
        <v>9.5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46326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45693</v>
      </c>
      <c r="E428" s="1" t="n">
        <v>46326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39371-2026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46288</v>
      </c>
      <c r="E429" s="1" t="n">
        <v>46326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39471-2026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46288</v>
      </c>
      <c r="E430" s="1" t="n">
        <v>46326</v>
      </c>
      <c r="F430" t="inlineStr">
        <is>
          <t>NORRBOTTENS LÄN</t>
        </is>
      </c>
      <c r="G430" t="inlineStr">
        <is>
          <t>ÖVERKALIX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33284-2026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46246</v>
      </c>
      <c r="E431" s="1" t="n">
        <v>46326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45782</v>
      </c>
      <c r="E432" s="1" t="n">
        <v>46326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45785</v>
      </c>
      <c r="E433" s="1" t="n">
        <v>46326</v>
      </c>
      <c r="F433" t="inlineStr">
        <is>
          <t>NORRBOTTENS LÄN</t>
        </is>
      </c>
      <c r="G433" t="inlineStr">
        <is>
          <t>ÖVERKALIX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46326</v>
      </c>
      <c r="F434" t="inlineStr">
        <is>
          <t>NORRBOTTENS LÄN</t>
        </is>
      </c>
      <c r="G434" t="inlineStr">
        <is>
          <t>ÖVERKALIX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40155-2026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46293</v>
      </c>
      <c r="E435" s="1" t="n">
        <v>46326</v>
      </c>
      <c r="F435" t="inlineStr">
        <is>
          <t>NORRBOTTENS LÄN</t>
        </is>
      </c>
      <c r="G435" t="inlineStr">
        <is>
          <t>ÖVERKALIX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46247</v>
      </c>
      <c r="E436" s="1" t="n">
        <v>46326</v>
      </c>
      <c r="F436" t="inlineStr">
        <is>
          <t>NORRBOTTENS LÄN</t>
        </is>
      </c>
      <c r="G436" t="inlineStr">
        <is>
          <t>ÖVERKALIX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46290</v>
      </c>
      <c r="E437" s="1" t="n">
        <v>46326</v>
      </c>
      <c r="F437" t="inlineStr">
        <is>
          <t>NORRBOTTENS LÄN</t>
        </is>
      </c>
      <c r="G437" t="inlineStr">
        <is>
          <t>ÖVERKALIX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45890</v>
      </c>
      <c r="E438" s="1" t="n">
        <v>46326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13.4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45793</v>
      </c>
      <c r="E439" s="1" t="n">
        <v>46326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45793</v>
      </c>
      <c r="E440" s="1" t="n">
        <v>46326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45793</v>
      </c>
      <c r="E441" s="1" t="n">
        <v>46326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8.5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46295</v>
      </c>
      <c r="E442" s="1" t="n">
        <v>46326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33927-2026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46252</v>
      </c>
      <c r="E443" s="1" t="n">
        <v>46326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24141-2025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45796</v>
      </c>
      <c r="E444" s="1" t="n">
        <v>46326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45796</v>
      </c>
      <c r="E445" s="1" t="n">
        <v>46326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46326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40659-2026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46296</v>
      </c>
      <c r="E447" s="1" t="n">
        <v>46326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27.1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45323</v>
      </c>
      <c r="E448" s="1" t="n">
        <v>46326</v>
      </c>
      <c r="F448" t="inlineStr">
        <is>
          <t>NORRBOTTENS LÄN</t>
        </is>
      </c>
      <c r="G448" t="inlineStr">
        <is>
          <t>ÖVERKALIX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40726-2026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46296</v>
      </c>
      <c r="E449" s="1" t="n">
        <v>46326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46326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46326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46326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33.7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46326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9.199999999999999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46326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41497-2026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46301</v>
      </c>
      <c r="E455" s="1" t="n">
        <v>46326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41508-2026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46301</v>
      </c>
      <c r="E456" s="1" t="n">
        <v>46326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46301</v>
      </c>
      <c r="E457" s="1" t="n">
        <v>46326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46326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41940-2026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46303</v>
      </c>
      <c r="E459" s="1" t="n">
        <v>46326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35228-2026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46260</v>
      </c>
      <c r="E460" s="1" t="n">
        <v>46326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35235-2026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46260</v>
      </c>
      <c r="E461" s="1" t="n">
        <v>46326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46260</v>
      </c>
      <c r="E462" s="1" t="n">
        <v>46326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35191-2026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46260</v>
      </c>
      <c r="E463" s="1" t="n">
        <v>46326</v>
      </c>
      <c r="F463" t="inlineStr">
        <is>
          <t>NORRBOTTENS LÄN</t>
        </is>
      </c>
      <c r="G463" t="inlineStr">
        <is>
          <t>ÖVERKALIX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42152-2026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46304</v>
      </c>
      <c r="E464" s="1" t="n">
        <v>46326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46326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42349-2026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46307</v>
      </c>
      <c r="E466" s="1" t="n">
        <v>46326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20.1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42151-2026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46304</v>
      </c>
      <c r="E467" s="1" t="n">
        <v>46326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42109-2026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46304</v>
      </c>
      <c r="E468" s="1" t="n">
        <v>46326</v>
      </c>
      <c r="F468" t="inlineStr">
        <is>
          <t>NORRBOTTENS LÄN</t>
        </is>
      </c>
      <c r="G468" t="inlineStr">
        <is>
          <t>ÖVERKALIX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46266</v>
      </c>
      <c r="E469" s="1" t="n">
        <v>46326</v>
      </c>
      <c r="F469" t="inlineStr">
        <is>
          <t>NORRBOTTENS LÄN</t>
        </is>
      </c>
      <c r="G469" t="inlineStr">
        <is>
          <t>ÖVERKALIX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46266</v>
      </c>
      <c r="E470" s="1" t="n">
        <v>46326</v>
      </c>
      <c r="F470" t="inlineStr">
        <is>
          <t>NORRBOTTENS LÄN</t>
        </is>
      </c>
      <c r="G470" t="inlineStr">
        <is>
          <t>ÖVERKALIX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46309</v>
      </c>
      <c r="E471" s="1" t="n">
        <v>46326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42490-2026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46308</v>
      </c>
      <c r="E472" s="1" t="n">
        <v>46326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46326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42977-2026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46310</v>
      </c>
      <c r="E474" s="1" t="n">
        <v>46326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46314</v>
      </c>
      <c r="E475" s="1" t="n">
        <v>46326</v>
      </c>
      <c r="F475" t="inlineStr">
        <is>
          <t>NORRBOTTENS LÄN</t>
        </is>
      </c>
      <c r="G475" t="inlineStr">
        <is>
          <t>ÖVERKALIX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46272</v>
      </c>
      <c r="E476" s="1" t="n">
        <v>46326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20.5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36570-2026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46326</v>
      </c>
      <c r="F477" t="inlineStr">
        <is>
          <t>NORRBOTTENS LÄN</t>
        </is>
      </c>
      <c r="G477" t="inlineStr">
        <is>
          <t>ÖVERKALIX</t>
        </is>
      </c>
      <c r="I477" t="n">
        <v>8.300000000000001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43250-2026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46314</v>
      </c>
      <c r="E478" s="1" t="n">
        <v>46326</v>
      </c>
      <c r="F478" t="inlineStr">
        <is>
          <t>NORRBOTTENS LÄN</t>
        </is>
      </c>
      <c r="G478" t="inlineStr">
        <is>
          <t>ÖVERKALIX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43832-2026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46316</v>
      </c>
      <c r="E479" s="1" t="n">
        <v>46326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43676-2026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46316</v>
      </c>
      <c r="E480" s="1" t="n">
        <v>46326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46316</v>
      </c>
      <c r="E481" s="1" t="n">
        <v>46326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46318</v>
      </c>
      <c r="E482" s="1" t="n">
        <v>46326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46318</v>
      </c>
      <c r="E483" s="1" t="n">
        <v>46326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26.5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44208-2026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46318</v>
      </c>
      <c r="E484" s="1" t="n">
        <v>46326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10.8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42488-2026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46308</v>
      </c>
      <c r="E485" s="1" t="n">
        <v>46326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SCA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37683-2026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46278</v>
      </c>
      <c r="E486" s="1" t="n">
        <v>46326</v>
      </c>
      <c r="F486" t="inlineStr">
        <is>
          <t>NORRBOTTENS LÄN</t>
        </is>
      </c>
      <c r="G486" t="inlineStr">
        <is>
          <t>ÖVERKALIX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46280</v>
      </c>
      <c r="E487" s="1" t="n">
        <v>46326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38134-2026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46281</v>
      </c>
      <c r="E488" s="1" t="n">
        <v>46326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SCA</t>
        </is>
      </c>
      <c r="I488" t="n">
        <v>20.1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46326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SCA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46281</v>
      </c>
      <c r="E490" s="1" t="n">
        <v>46326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8.9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55857-2024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45622</v>
      </c>
      <c r="E491" s="1" t="n">
        <v>46326</v>
      </c>
      <c r="F491" t="inlineStr">
        <is>
          <t>NORRBOTTENS LÄN</t>
        </is>
      </c>
      <c r="G491" t="inlineStr">
        <is>
          <t>ÖVERKALIX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3721-2022</t>
        </is>
      </c>
      <c r="B492" t="inlineStr">
        <is>
          <t>samrådsanmälan</t>
        </is>
      </c>
      <c r="C492" t="inlineStr">
        <is>
          <t>Skogsbilväg</t>
        </is>
      </c>
      <c r="D492" s="1" t="n">
        <v>44741</v>
      </c>
      <c r="E492" s="1" t="n">
        <v>46326</v>
      </c>
      <c r="F492" t="inlineStr">
        <is>
          <t>NORRBOTTENS LÄN</t>
        </is>
      </c>
      <c r="G492" t="inlineStr">
        <is>
          <t>ÖVERKALIX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2792-2024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45485</v>
      </c>
      <c r="E493" s="1" t="n">
        <v>46326</v>
      </c>
      <c r="F493" t="inlineStr">
        <is>
          <t>NORRBOTTENS LÄN</t>
        </is>
      </c>
      <c r="G493" t="inlineStr">
        <is>
          <t>ÖVERKALIX</t>
        </is>
      </c>
      <c r="H493" t="inlineStr">
        <is>
          <t>Sveaskog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2700-2024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45482</v>
      </c>
      <c r="E494" s="1" t="n">
        <v>46326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Sveaskog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4734-2024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45607</v>
      </c>
      <c r="E495" s="1" t="n">
        <v>46326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1178-2025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45756</v>
      </c>
      <c r="E496" s="1" t="n">
        <v>46326</v>
      </c>
      <c r="F496" t="inlineStr">
        <is>
          <t>NORRBOTTENS LÄN</t>
        </is>
      </c>
      <c r="G496" t="inlineStr">
        <is>
          <t>ÖVERKALIX</t>
        </is>
      </c>
      <c r="I496" t="n">
        <v>39.9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1667-2025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45800</v>
      </c>
      <c r="E497" s="1" t="n">
        <v>46326</v>
      </c>
      <c r="F497" t="inlineStr">
        <is>
          <t>NORRBOTTENS LÄN</t>
        </is>
      </c>
      <c r="G497" t="inlineStr">
        <is>
          <t>ÖVERKALIX</t>
        </is>
      </c>
      <c r="H497" t="inlineStr">
        <is>
          <t>SCA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>
      <c r="A498" t="inlineStr">
        <is>
          <t>S 50-2026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46030</v>
      </c>
      <c r="E498" s="1" t="n">
        <v>46326</v>
      </c>
      <c r="F498" t="inlineStr">
        <is>
          <t>NORRBOTTENS LÄN</t>
        </is>
      </c>
      <c r="G498" t="inlineStr">
        <is>
          <t>ÖVERKALIX</t>
        </is>
      </c>
      <c r="H498" t="inlineStr">
        <is>
          <t>Sveaskog</t>
        </is>
      </c>
      <c r="I498" t="n">
        <v>9.800000000000001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2026-10-31T03:24:39Z</dcterms:created>
  <dcterms:modified xmlns:dcterms="http://purl.org/dc/terms/" xmlns:xsi="http://www.w3.org/2001/XMLSchema-instance" xsi:type="dcterms:W3CDTF">2026-10-31T03:24:40Z</dcterms:modified>
</cp:coreProperties>
</file>