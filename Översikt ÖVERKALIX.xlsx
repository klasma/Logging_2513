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45294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45294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45294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45294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67415-2020</t>
        </is>
      </c>
      <c r="B6" s="1" t="n">
        <v>44181</v>
      </c>
      <c r="C6" s="1" t="n">
        <v>45294</v>
      </c>
      <c r="D6" t="inlineStr">
        <is>
          <t>NORRBOTTENS LÄN</t>
        </is>
      </c>
      <c r="E6" t="inlineStr">
        <is>
          <t>ÖVERKALIX</t>
        </is>
      </c>
      <c r="G6" t="n">
        <v>6.9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Garnlav
Vedflamlav
Revlummer</t>
        </is>
      </c>
      <c r="S6">
        <f>HYPERLINK("https://klasma.github.io/Logging_2513/artfynd/A 67415-2020 artfynd.xlsx", "A 67415-2020")</f>
        <v/>
      </c>
      <c r="T6">
        <f>HYPERLINK("https://klasma.github.io/Logging_2513/kartor/A 67415-2020 karta.png", "A 67415-2020")</f>
        <v/>
      </c>
      <c r="V6">
        <f>HYPERLINK("https://klasma.github.io/Logging_2513/klagomål/A 67415-2020 FSC-klagomål.docx", "A 67415-2020")</f>
        <v/>
      </c>
      <c r="W6">
        <f>HYPERLINK("https://klasma.github.io/Logging_2513/klagomålsmail/A 67415-2020 FSC-klagomål mail.docx", "A 67415-2020")</f>
        <v/>
      </c>
      <c r="X6">
        <f>HYPERLINK("https://klasma.github.io/Logging_2513/tillsyn/A 67415-2020 tillsynsbegäran.docx", "A 67415-2020")</f>
        <v/>
      </c>
      <c r="Y6">
        <f>HYPERLINK("https://klasma.github.io/Logging_2513/tillsynsmail/A 67415-2020 tillsynsbegäran mail.docx", "A 67415-2020")</f>
        <v/>
      </c>
    </row>
    <row r="7" ht="15" customHeight="1">
      <c r="A7" t="inlineStr">
        <is>
          <t>A 18165-2019</t>
        </is>
      </c>
      <c r="B7" s="1" t="n">
        <v>43558</v>
      </c>
      <c r="C7" s="1" t="n">
        <v>45294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61.9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Mattlummer
Revlummer</t>
        </is>
      </c>
      <c r="S7">
        <f>HYPERLINK("https://klasma.github.io/Logging_2513/artfynd/A 18165-2019 artfynd.xlsx", "A 18165-2019")</f>
        <v/>
      </c>
      <c r="T7">
        <f>HYPERLINK("https://klasma.github.io/Logging_2513/kartor/A 18165-2019 karta.png", "A 18165-2019")</f>
        <v/>
      </c>
      <c r="V7">
        <f>HYPERLINK("https://klasma.github.io/Logging_2513/klagomål/A 18165-2019 FSC-klagomål.docx", "A 18165-2019")</f>
        <v/>
      </c>
      <c r="W7">
        <f>HYPERLINK("https://klasma.github.io/Logging_2513/klagomålsmail/A 18165-2019 FSC-klagomål mail.docx", "A 18165-2019")</f>
        <v/>
      </c>
      <c r="X7">
        <f>HYPERLINK("https://klasma.github.io/Logging_2513/tillsyn/A 18165-2019 tillsynsbegäran.docx", "A 18165-2019")</f>
        <v/>
      </c>
      <c r="Y7">
        <f>HYPERLINK("https://klasma.github.io/Logging_2513/tillsynsmail/A 18165-2019 tillsynsbegäran mail.docx", "A 18165-2019")</f>
        <v/>
      </c>
    </row>
    <row r="8" ht="15" customHeight="1">
      <c r="A8" t="inlineStr">
        <is>
          <t>A 31744-2019</t>
        </is>
      </c>
      <c r="B8" s="1" t="n">
        <v>43642</v>
      </c>
      <c r="C8" s="1" t="n">
        <v>45294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Gammelgransskål
Granticka
Violmussling</t>
        </is>
      </c>
      <c r="S8">
        <f>HYPERLINK("https://klasma.github.io/Logging_2513/artfynd/A 31744-2019 artfynd.xlsx", "A 31744-2019")</f>
        <v/>
      </c>
      <c r="T8">
        <f>HYPERLINK("https://klasma.github.io/Logging_2513/kartor/A 31744-2019 karta.png", "A 31744-2019")</f>
        <v/>
      </c>
      <c r="V8">
        <f>HYPERLINK("https://klasma.github.io/Logging_2513/klagomål/A 31744-2019 FSC-klagomål.docx", "A 31744-2019")</f>
        <v/>
      </c>
      <c r="W8">
        <f>HYPERLINK("https://klasma.github.io/Logging_2513/klagomålsmail/A 31744-2019 FSC-klagomål mail.docx", "A 31744-2019")</f>
        <v/>
      </c>
      <c r="X8">
        <f>HYPERLINK("https://klasma.github.io/Logging_2513/tillsyn/A 31744-2019 tillsynsbegäran.docx", "A 31744-2019")</f>
        <v/>
      </c>
      <c r="Y8">
        <f>HYPERLINK("https://klasma.github.io/Logging_2513/tillsynsmail/A 31744-2019 tillsynsbegäran mail.docx", "A 31744-2019")</f>
        <v/>
      </c>
    </row>
    <row r="9" ht="15" customHeight="1">
      <c r="A9" t="inlineStr">
        <is>
          <t>A 60554-2021</t>
        </is>
      </c>
      <c r="B9" s="1" t="n">
        <v>44496</v>
      </c>
      <c r="C9" s="1" t="n">
        <v>45294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7.4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Tretåig hackspett
Veckticka
Luddlav</t>
        </is>
      </c>
      <c r="S9">
        <f>HYPERLINK("https://klasma.github.io/Logging_2513/artfynd/A 60554-2021 artfynd.xlsx", "A 60554-2021")</f>
        <v/>
      </c>
      <c r="T9">
        <f>HYPERLINK("https://klasma.github.io/Logging_2513/kartor/A 60554-2021 karta.png", "A 60554-2021")</f>
        <v/>
      </c>
      <c r="V9">
        <f>HYPERLINK("https://klasma.github.io/Logging_2513/klagomål/A 60554-2021 FSC-klagomål.docx", "A 60554-2021")</f>
        <v/>
      </c>
      <c r="W9">
        <f>HYPERLINK("https://klasma.github.io/Logging_2513/klagomålsmail/A 60554-2021 FSC-klagomål mail.docx", "A 60554-2021")</f>
        <v/>
      </c>
      <c r="X9">
        <f>HYPERLINK("https://klasma.github.io/Logging_2513/tillsyn/A 60554-2021 tillsynsbegäran.docx", "A 60554-2021")</f>
        <v/>
      </c>
      <c r="Y9">
        <f>HYPERLINK("https://klasma.github.io/Logging_2513/tillsynsmail/A 60554-2021 tillsynsbegäran mail.docx", "A 60554-2021")</f>
        <v/>
      </c>
    </row>
    <row r="10" ht="15" customHeight="1">
      <c r="A10" t="inlineStr">
        <is>
          <t>A 38022-2022</t>
        </is>
      </c>
      <c r="B10" s="1" t="n">
        <v>44811</v>
      </c>
      <c r="C10" s="1" t="n">
        <v>45294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Blå taggsvamp
Orange taggsvamp
Dropptaggsvamp</t>
        </is>
      </c>
      <c r="S10">
        <f>HYPERLINK("https://klasma.github.io/Logging_2513/artfynd/A 38022-2022 artfynd.xlsx", "A 38022-2022")</f>
        <v/>
      </c>
      <c r="T10">
        <f>HYPERLINK("https://klasma.github.io/Logging_2513/kartor/A 38022-2022 karta.png", "A 38022-2022")</f>
        <v/>
      </c>
      <c r="V10">
        <f>HYPERLINK("https://klasma.github.io/Logging_2513/klagomål/A 38022-2022 FSC-klagomål.docx", "A 38022-2022")</f>
        <v/>
      </c>
      <c r="W10">
        <f>HYPERLINK("https://klasma.github.io/Logging_2513/klagomålsmail/A 38022-2022 FSC-klagomål mail.docx", "A 38022-2022")</f>
        <v/>
      </c>
      <c r="X10">
        <f>HYPERLINK("https://klasma.github.io/Logging_2513/tillsyn/A 38022-2022 tillsynsbegäran.docx", "A 38022-2022")</f>
        <v/>
      </c>
      <c r="Y10">
        <f>HYPERLINK("https://klasma.github.io/Logging_2513/tillsynsmail/A 38022-2022 tillsynsbegäran mail.docx", "A 38022-2022")</f>
        <v/>
      </c>
    </row>
    <row r="11" ht="15" customHeight="1">
      <c r="A11" t="inlineStr">
        <is>
          <t>A 63693-2019</t>
        </is>
      </c>
      <c r="B11" s="1" t="n">
        <v>43789</v>
      </c>
      <c r="C11" s="1" t="n">
        <v>45294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10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Doftticka
Knärot</t>
        </is>
      </c>
      <c r="S11">
        <f>HYPERLINK("https://klasma.github.io/Logging_2513/artfynd/A 63693-2019 artfynd.xlsx", "A 63693-2019")</f>
        <v/>
      </c>
      <c r="T11">
        <f>HYPERLINK("https://klasma.github.io/Logging_2513/kartor/A 63693-2019 karta.png", "A 63693-2019")</f>
        <v/>
      </c>
      <c r="U11">
        <f>HYPERLINK("https://klasma.github.io/Logging_2513/knärot/A 63693-2019 karta knärot.png", "A 63693-2019")</f>
        <v/>
      </c>
      <c r="V11">
        <f>HYPERLINK("https://klasma.github.io/Logging_2513/klagomål/A 63693-2019 FSC-klagomål.docx", "A 63693-2019")</f>
        <v/>
      </c>
      <c r="W11">
        <f>HYPERLINK("https://klasma.github.io/Logging_2513/klagomålsmail/A 63693-2019 FSC-klagomål mail.docx", "A 63693-2019")</f>
        <v/>
      </c>
      <c r="X11">
        <f>HYPERLINK("https://klasma.github.io/Logging_2513/tillsyn/A 63693-2019 tillsynsbegäran.docx", "A 63693-2019")</f>
        <v/>
      </c>
      <c r="Y11">
        <f>HYPERLINK("https://klasma.github.io/Logging_2513/tillsynsmail/A 63693-2019 tillsynsbegäran mail.docx", "A 63693-2019")</f>
        <v/>
      </c>
    </row>
    <row r="12" ht="15" customHeight="1">
      <c r="A12" t="inlineStr">
        <is>
          <t>A 13143-2020</t>
        </is>
      </c>
      <c r="B12" s="1" t="n">
        <v>43901</v>
      </c>
      <c r="C12" s="1" t="n">
        <v>45294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40.5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HYPERLINK("https://klasma.github.io/Logging_2513/artfynd/A 13143-2020 artfynd.xlsx", "A 13143-2020")</f>
        <v/>
      </c>
      <c r="T12">
        <f>HYPERLINK("https://klasma.github.io/Logging_2513/kartor/A 13143-2020 karta.png", "A 13143-2020")</f>
        <v/>
      </c>
      <c r="V12">
        <f>HYPERLINK("https://klasma.github.io/Logging_2513/klagomål/A 13143-2020 FSC-klagomål.docx", "A 13143-2020")</f>
        <v/>
      </c>
      <c r="W12">
        <f>HYPERLINK("https://klasma.github.io/Logging_2513/klagomålsmail/A 13143-2020 FSC-klagomål mail.docx", "A 13143-2020")</f>
        <v/>
      </c>
      <c r="X12">
        <f>HYPERLINK("https://klasma.github.io/Logging_2513/tillsyn/A 13143-2020 tillsynsbegäran.docx", "A 13143-2020")</f>
        <v/>
      </c>
      <c r="Y12">
        <f>HYPERLINK("https://klasma.github.io/Logging_2513/tillsynsmail/A 13143-2020 tillsynsbegäran mail.docx", "A 13143-2020")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45294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45294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45294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15139-2022</t>
        </is>
      </c>
      <c r="B16" s="1" t="n">
        <v>44658</v>
      </c>
      <c r="C16" s="1" t="n">
        <v>45294</v>
      </c>
      <c r="D16" t="inlineStr">
        <is>
          <t>NORRBOTTENS LÄN</t>
        </is>
      </c>
      <c r="E16" t="inlineStr">
        <is>
          <t>ÖVERKALIX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Blågrå svartspik
Vedflamlav</t>
        </is>
      </c>
      <c r="S16">
        <f>HYPERLINK("https://klasma.github.io/Logging_2513/artfynd/A 15139-2022 artfynd.xlsx", "A 15139-2022")</f>
        <v/>
      </c>
      <c r="T16">
        <f>HYPERLINK("https://klasma.github.io/Logging_2513/kartor/A 15139-2022 karta.png", "A 15139-2022")</f>
        <v/>
      </c>
      <c r="V16">
        <f>HYPERLINK("https://klasma.github.io/Logging_2513/klagomål/A 15139-2022 FSC-klagomål.docx", "A 15139-2022")</f>
        <v/>
      </c>
      <c r="W16">
        <f>HYPERLINK("https://klasma.github.io/Logging_2513/klagomålsmail/A 15139-2022 FSC-klagomål mail.docx", "A 15139-2022")</f>
        <v/>
      </c>
      <c r="X16">
        <f>HYPERLINK("https://klasma.github.io/Logging_2513/tillsyn/A 15139-2022 tillsynsbegäran.docx", "A 15139-2022")</f>
        <v/>
      </c>
      <c r="Y16">
        <f>HYPERLINK("https://klasma.github.io/Logging_2513/tillsynsmail/A 15139-2022 tillsynsbegäran mail.docx", "A 15139-2022")</f>
        <v/>
      </c>
    </row>
    <row r="17" ht="15" customHeight="1">
      <c r="A17" t="inlineStr">
        <is>
          <t>A 24767-2022</t>
        </is>
      </c>
      <c r="B17" s="1" t="n">
        <v>44728</v>
      </c>
      <c r="C17" s="1" t="n">
        <v>45294</v>
      </c>
      <c r="D17" t="inlineStr">
        <is>
          <t>NORRBOTTENS LÄN</t>
        </is>
      </c>
      <c r="E17" t="inlineStr">
        <is>
          <t>ÖVERKALIX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Lapphumla
Grön flodtrollslända</t>
        </is>
      </c>
      <c r="S17">
        <f>HYPERLINK("https://klasma.github.io/Logging_2513/artfynd/A 24767-2022 artfynd.xlsx", "A 24767-2022")</f>
        <v/>
      </c>
      <c r="T17">
        <f>HYPERLINK("https://klasma.github.io/Logging_2513/kartor/A 24767-2022 karta.png", "A 24767-2022")</f>
        <v/>
      </c>
      <c r="V17">
        <f>HYPERLINK("https://klasma.github.io/Logging_2513/klagomål/A 24767-2022 FSC-klagomål.docx", "A 24767-2022")</f>
        <v/>
      </c>
      <c r="W17">
        <f>HYPERLINK("https://klasma.github.io/Logging_2513/klagomålsmail/A 24767-2022 FSC-klagomål mail.docx", "A 24767-2022")</f>
        <v/>
      </c>
      <c r="X17">
        <f>HYPERLINK("https://klasma.github.io/Logging_2513/tillsyn/A 24767-2022 tillsynsbegäran.docx", "A 24767-2022")</f>
        <v/>
      </c>
      <c r="Y17">
        <f>HYPERLINK("https://klasma.github.io/Logging_2513/tillsynsmail/A 24767-2022 tillsynsbegäran mail.docx", "A 24767-2022")</f>
        <v/>
      </c>
    </row>
    <row r="18" ht="15" customHeight="1">
      <c r="A18" t="inlineStr">
        <is>
          <t>A 60480-2022</t>
        </is>
      </c>
      <c r="B18" s="1" t="n">
        <v>44911</v>
      </c>
      <c r="C18" s="1" t="n">
        <v>45294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Nordtagging</t>
        </is>
      </c>
      <c r="S18">
        <f>HYPERLINK("https://klasma.github.io/Logging_2513/artfynd/A 60480-2022 artfynd.xlsx", "A 60480-2022")</f>
        <v/>
      </c>
      <c r="T18">
        <f>HYPERLINK("https://klasma.github.io/Logging_2513/kartor/A 60480-2022 karta.png", "A 60480-2022")</f>
        <v/>
      </c>
      <c r="V18">
        <f>HYPERLINK("https://klasma.github.io/Logging_2513/klagomål/A 60480-2022 FSC-klagomål.docx", "A 60480-2022")</f>
        <v/>
      </c>
      <c r="W18">
        <f>HYPERLINK("https://klasma.github.io/Logging_2513/klagomålsmail/A 60480-2022 FSC-klagomål mail.docx", "A 60480-2022")</f>
        <v/>
      </c>
      <c r="X18">
        <f>HYPERLINK("https://klasma.github.io/Logging_2513/tillsyn/A 60480-2022 tillsynsbegäran.docx", "A 60480-2022")</f>
        <v/>
      </c>
      <c r="Y18">
        <f>HYPERLINK("https://klasma.github.io/Logging_2513/tillsynsmail/A 60480-2022 tillsynsbegäran mail.docx", "A 60480-2022")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45294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47696-2023</t>
        </is>
      </c>
      <c r="B20" s="1" t="n">
        <v>45198</v>
      </c>
      <c r="C20" s="1" t="n">
        <v>45294</v>
      </c>
      <c r="D20" t="inlineStr">
        <is>
          <t>NORRBOTTENS LÄN</t>
        </is>
      </c>
      <c r="E20" t="inlineStr">
        <is>
          <t>ÖVERKALIX</t>
        </is>
      </c>
      <c r="G20" t="n">
        <v>10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Tallgråticka
Skrovlig taggsvamp</t>
        </is>
      </c>
      <c r="S20">
        <f>HYPERLINK("https://klasma.github.io/Logging_2513/artfynd/A 47696-2023 artfynd.xlsx", "A 47696-2023")</f>
        <v/>
      </c>
      <c r="T20">
        <f>HYPERLINK("https://klasma.github.io/Logging_2513/kartor/A 47696-2023 karta.png", "A 47696-2023")</f>
        <v/>
      </c>
      <c r="V20">
        <f>HYPERLINK("https://klasma.github.io/Logging_2513/klagomål/A 47696-2023 FSC-klagomål.docx", "A 47696-2023")</f>
        <v/>
      </c>
      <c r="W20">
        <f>HYPERLINK("https://klasma.github.io/Logging_2513/klagomålsmail/A 47696-2023 FSC-klagomål mail.docx", "A 47696-2023")</f>
        <v/>
      </c>
      <c r="X20">
        <f>HYPERLINK("https://klasma.github.io/Logging_2513/tillsyn/A 47696-2023 tillsynsbegäran.docx", "A 47696-2023")</f>
        <v/>
      </c>
      <c r="Y20">
        <f>HYPERLINK("https://klasma.github.io/Logging_2513/tillsynsmail/A 47696-2023 tillsynsbegäran mail.docx", "A 47696-2023")</f>
        <v/>
      </c>
    </row>
    <row r="21" ht="15" customHeight="1">
      <c r="A21" t="inlineStr">
        <is>
          <t>A 68016-2018</t>
        </is>
      </c>
      <c r="B21" s="1" t="n">
        <v>43441</v>
      </c>
      <c r="C21" s="1" t="n">
        <v>45294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HYPERLINK("https://klasma.github.io/Logging_2513/artfynd/A 68016-2018 artfynd.xlsx", "A 68016-2018")</f>
        <v/>
      </c>
      <c r="T21">
        <f>HYPERLINK("https://klasma.github.io/Logging_2513/kartor/A 68016-2018 karta.png", "A 68016-2018")</f>
        <v/>
      </c>
      <c r="V21">
        <f>HYPERLINK("https://klasma.github.io/Logging_2513/klagomål/A 68016-2018 FSC-klagomål.docx", "A 68016-2018")</f>
        <v/>
      </c>
      <c r="W21">
        <f>HYPERLINK("https://klasma.github.io/Logging_2513/klagomålsmail/A 68016-2018 FSC-klagomål mail.docx", "A 68016-2018")</f>
        <v/>
      </c>
      <c r="X21">
        <f>HYPERLINK("https://klasma.github.io/Logging_2513/tillsyn/A 68016-2018 tillsynsbegäran.docx", "A 68016-2018")</f>
        <v/>
      </c>
      <c r="Y21">
        <f>HYPERLINK("https://klasma.github.io/Logging_2513/tillsynsmail/A 68016-2018 tillsynsbegäran mail.docx", "A 68016-2018")</f>
        <v/>
      </c>
    </row>
    <row r="22" ht="15" customHeight="1">
      <c r="A22" t="inlineStr">
        <is>
          <t>A 36333-2019</t>
        </is>
      </c>
      <c r="B22" s="1" t="n">
        <v>43661</v>
      </c>
      <c r="C22" s="1" t="n">
        <v>45294</v>
      </c>
      <c r="D22" t="inlineStr">
        <is>
          <t>NORRBOTTENS LÄN</t>
        </is>
      </c>
      <c r="E22" t="inlineStr">
        <is>
          <t>ÖVERKALIX</t>
        </is>
      </c>
      <c r="G22" t="n">
        <v>87.90000000000001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HYPERLINK("https://klasma.github.io/Logging_2513/artfynd/A 36333-2019 artfynd.xlsx", "A 36333-2019")</f>
        <v/>
      </c>
      <c r="T22">
        <f>HYPERLINK("https://klasma.github.io/Logging_2513/kartor/A 36333-2019 karta.png", "A 36333-2019")</f>
        <v/>
      </c>
      <c r="V22">
        <f>HYPERLINK("https://klasma.github.io/Logging_2513/klagomål/A 36333-2019 FSC-klagomål.docx", "A 36333-2019")</f>
        <v/>
      </c>
      <c r="W22">
        <f>HYPERLINK("https://klasma.github.io/Logging_2513/klagomålsmail/A 36333-2019 FSC-klagomål mail.docx", "A 36333-2019")</f>
        <v/>
      </c>
      <c r="X22">
        <f>HYPERLINK("https://klasma.github.io/Logging_2513/tillsyn/A 36333-2019 tillsynsbegäran.docx", "A 36333-2019")</f>
        <v/>
      </c>
      <c r="Y22">
        <f>HYPERLINK("https://klasma.github.io/Logging_2513/tillsynsmail/A 36333-2019 tillsynsbegäran mail.docx", "A 36333-2019")</f>
        <v/>
      </c>
    </row>
    <row r="23" ht="15" customHeight="1">
      <c r="A23" t="inlineStr">
        <is>
          <t>A 58502-2019</t>
        </is>
      </c>
      <c r="B23" s="1" t="n">
        <v>43766</v>
      </c>
      <c r="C23" s="1" t="n">
        <v>45294</v>
      </c>
      <c r="D23" t="inlineStr">
        <is>
          <t>NORRBOTTENS LÄN</t>
        </is>
      </c>
      <c r="E23" t="inlineStr">
        <is>
          <t>ÖVERKALIX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HYPERLINK("https://klasma.github.io/Logging_2513/artfynd/A 58502-2019 artfynd.xlsx", "A 58502-2019")</f>
        <v/>
      </c>
      <c r="T23">
        <f>HYPERLINK("https://klasma.github.io/Logging_2513/kartor/A 58502-2019 karta.png", "A 58502-2019")</f>
        <v/>
      </c>
      <c r="V23">
        <f>HYPERLINK("https://klasma.github.io/Logging_2513/klagomål/A 58502-2019 FSC-klagomål.docx", "A 58502-2019")</f>
        <v/>
      </c>
      <c r="W23">
        <f>HYPERLINK("https://klasma.github.io/Logging_2513/klagomålsmail/A 58502-2019 FSC-klagomål mail.docx", "A 58502-2019")</f>
        <v/>
      </c>
      <c r="X23">
        <f>HYPERLINK("https://klasma.github.io/Logging_2513/tillsyn/A 58502-2019 tillsynsbegäran.docx", "A 58502-2019")</f>
        <v/>
      </c>
      <c r="Y23">
        <f>HYPERLINK("https://klasma.github.io/Logging_2513/tillsynsmail/A 58502-2019 tillsynsbegäran mail.docx", "A 58502-2019")</f>
        <v/>
      </c>
    </row>
    <row r="24" ht="15" customHeight="1">
      <c r="A24" t="inlineStr">
        <is>
          <t>A 13142-2020</t>
        </is>
      </c>
      <c r="B24" s="1" t="n">
        <v>43901</v>
      </c>
      <c r="C24" s="1" t="n">
        <v>45294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HYPERLINK("https://klasma.github.io/Logging_2513/artfynd/A 13142-2020 artfynd.xlsx", "A 13142-2020")</f>
        <v/>
      </c>
      <c r="T24">
        <f>HYPERLINK("https://klasma.github.io/Logging_2513/kartor/A 13142-2020 karta.png", "A 13142-2020")</f>
        <v/>
      </c>
      <c r="V24">
        <f>HYPERLINK("https://klasma.github.io/Logging_2513/klagomål/A 13142-2020 FSC-klagomål.docx", "A 13142-2020")</f>
        <v/>
      </c>
      <c r="W24">
        <f>HYPERLINK("https://klasma.github.io/Logging_2513/klagomålsmail/A 13142-2020 FSC-klagomål mail.docx", "A 13142-2020")</f>
        <v/>
      </c>
      <c r="X24">
        <f>HYPERLINK("https://klasma.github.io/Logging_2513/tillsyn/A 13142-2020 tillsynsbegäran.docx", "A 13142-2020")</f>
        <v/>
      </c>
      <c r="Y24">
        <f>HYPERLINK("https://klasma.github.io/Logging_2513/tillsynsmail/A 13142-2020 tillsynsbegäran mail.docx", "A 13142-2020")</f>
        <v/>
      </c>
    </row>
    <row r="25" ht="15" customHeight="1">
      <c r="A25" t="inlineStr">
        <is>
          <t>A 43680-2021</t>
        </is>
      </c>
      <c r="B25" s="1" t="n">
        <v>44433</v>
      </c>
      <c r="C25" s="1" t="n">
        <v>45294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HYPERLINK("https://klasma.github.io/Logging_2513/artfynd/A 43680-2021 artfynd.xlsx", "A 43680-2021")</f>
        <v/>
      </c>
      <c r="T25">
        <f>HYPERLINK("https://klasma.github.io/Logging_2513/kartor/A 43680-2021 karta.png", "A 43680-2021")</f>
        <v/>
      </c>
      <c r="V25">
        <f>HYPERLINK("https://klasma.github.io/Logging_2513/klagomål/A 43680-2021 FSC-klagomål.docx", "A 43680-2021")</f>
        <v/>
      </c>
      <c r="W25">
        <f>HYPERLINK("https://klasma.github.io/Logging_2513/klagomålsmail/A 43680-2021 FSC-klagomål mail.docx", "A 43680-2021")</f>
        <v/>
      </c>
      <c r="X25">
        <f>HYPERLINK("https://klasma.github.io/Logging_2513/tillsyn/A 43680-2021 tillsynsbegäran.docx", "A 43680-2021")</f>
        <v/>
      </c>
      <c r="Y25">
        <f>HYPERLINK("https://klasma.github.io/Logging_2513/tillsynsmail/A 43680-2021 tillsynsbegäran mail.docx", "A 43680-2021")</f>
        <v/>
      </c>
    </row>
    <row r="26" ht="15" customHeight="1">
      <c r="A26" t="inlineStr">
        <is>
          <t>A 60546-2021</t>
        </is>
      </c>
      <c r="B26" s="1" t="n">
        <v>44496</v>
      </c>
      <c r="C26" s="1" t="n">
        <v>45294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Koralltaggsvamp</t>
        </is>
      </c>
      <c r="S26">
        <f>HYPERLINK("https://klasma.github.io/Logging_2513/artfynd/A 60546-2021 artfynd.xlsx", "A 60546-2021")</f>
        <v/>
      </c>
      <c r="T26">
        <f>HYPERLINK("https://klasma.github.io/Logging_2513/kartor/A 60546-2021 karta.png", "A 60546-2021")</f>
        <v/>
      </c>
      <c r="V26">
        <f>HYPERLINK("https://klasma.github.io/Logging_2513/klagomål/A 60546-2021 FSC-klagomål.docx", "A 60546-2021")</f>
        <v/>
      </c>
      <c r="W26">
        <f>HYPERLINK("https://klasma.github.io/Logging_2513/klagomålsmail/A 60546-2021 FSC-klagomål mail.docx", "A 60546-2021")</f>
        <v/>
      </c>
      <c r="X26">
        <f>HYPERLINK("https://klasma.github.io/Logging_2513/tillsyn/A 60546-2021 tillsynsbegäran.docx", "A 60546-2021")</f>
        <v/>
      </c>
      <c r="Y26">
        <f>HYPERLINK("https://klasma.github.io/Logging_2513/tillsynsmail/A 60546-2021 tillsynsbegäran mail.docx", "A 60546-2021")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45294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14904-2022</t>
        </is>
      </c>
      <c r="B28" s="1" t="n">
        <v>44656</v>
      </c>
      <c r="C28" s="1" t="n">
        <v>45294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72.2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HYPERLINK("https://klasma.github.io/Logging_2513/artfynd/A 14904-2022 artfynd.xlsx", "A 14904-2022")</f>
        <v/>
      </c>
      <c r="T28">
        <f>HYPERLINK("https://klasma.github.io/Logging_2513/kartor/A 14904-2022 karta.png", "A 14904-2022")</f>
        <v/>
      </c>
      <c r="V28">
        <f>HYPERLINK("https://klasma.github.io/Logging_2513/klagomål/A 14904-2022 FSC-klagomål.docx", "A 14904-2022")</f>
        <v/>
      </c>
      <c r="W28">
        <f>HYPERLINK("https://klasma.github.io/Logging_2513/klagomålsmail/A 14904-2022 FSC-klagomål mail.docx", "A 14904-2022")</f>
        <v/>
      </c>
      <c r="X28">
        <f>HYPERLINK("https://klasma.github.io/Logging_2513/tillsyn/A 14904-2022 tillsynsbegäran.docx", "A 14904-2022")</f>
        <v/>
      </c>
      <c r="Y28">
        <f>HYPERLINK("https://klasma.github.io/Logging_2513/tillsynsmail/A 14904-2022 tillsynsbegäran mail.docx", "A 14904-2022")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45294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25651-2022</t>
        </is>
      </c>
      <c r="B30" s="1" t="n">
        <v>44732</v>
      </c>
      <c r="C30" s="1" t="n">
        <v>45294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HYPERLINK("https://klasma.github.io/Logging_2513/artfynd/A 25651-2022 artfynd.xlsx", "A 25651-2022")</f>
        <v/>
      </c>
      <c r="T30">
        <f>HYPERLINK("https://klasma.github.io/Logging_2513/kartor/A 25651-2022 karta.png", "A 25651-2022")</f>
        <v/>
      </c>
      <c r="V30">
        <f>HYPERLINK("https://klasma.github.io/Logging_2513/klagomål/A 25651-2022 FSC-klagomål.docx", "A 25651-2022")</f>
        <v/>
      </c>
      <c r="W30">
        <f>HYPERLINK("https://klasma.github.io/Logging_2513/klagomålsmail/A 25651-2022 FSC-klagomål mail.docx", "A 25651-2022")</f>
        <v/>
      </c>
      <c r="X30">
        <f>HYPERLINK("https://klasma.github.io/Logging_2513/tillsyn/A 25651-2022 tillsynsbegäran.docx", "A 25651-2022")</f>
        <v/>
      </c>
      <c r="Y30">
        <f>HYPERLINK("https://klasma.github.io/Logging_2513/tillsynsmail/A 25651-2022 tillsynsbegäran mail.docx", "A 25651-2022")</f>
        <v/>
      </c>
    </row>
    <row r="31" ht="15" customHeight="1">
      <c r="A31" t="inlineStr">
        <is>
          <t>A 37532-2022</t>
        </is>
      </c>
      <c r="B31" s="1" t="n">
        <v>44809</v>
      </c>
      <c r="C31" s="1" t="n">
        <v>45294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40265-2023</t>
        </is>
      </c>
      <c r="B32" s="1" t="n">
        <v>45169</v>
      </c>
      <c r="C32" s="1" t="n">
        <v>45294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HYPERLINK("https://klasma.github.io/Logging_2513/artfynd/A 40265-2023 artfynd.xlsx", "A 40265-2023")</f>
        <v/>
      </c>
      <c r="T32">
        <f>HYPERLINK("https://klasma.github.io/Logging_2513/kartor/A 40265-2023 karta.png", "A 40265-2023")</f>
        <v/>
      </c>
      <c r="V32">
        <f>HYPERLINK("https://klasma.github.io/Logging_2513/klagomål/A 40265-2023 FSC-klagomål.docx", "A 40265-2023")</f>
        <v/>
      </c>
      <c r="W32">
        <f>HYPERLINK("https://klasma.github.io/Logging_2513/klagomålsmail/A 40265-2023 FSC-klagomål mail.docx", "A 40265-2023")</f>
        <v/>
      </c>
      <c r="X32">
        <f>HYPERLINK("https://klasma.github.io/Logging_2513/tillsyn/A 40265-2023 tillsynsbegäran.docx", "A 40265-2023")</f>
        <v/>
      </c>
      <c r="Y32">
        <f>HYPERLINK("https://klasma.github.io/Logging_2513/tillsynsmail/A 40265-2023 tillsynsbegäran mail.docx", "A 40265-2023")</f>
        <v/>
      </c>
    </row>
    <row r="33" ht="15" customHeight="1">
      <c r="A33" t="inlineStr">
        <is>
          <t>A 40263-2023</t>
        </is>
      </c>
      <c r="B33" s="1" t="n">
        <v>45169</v>
      </c>
      <c r="C33" s="1" t="n">
        <v>45294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40263-2023 artfynd.xlsx", "A 40263-2023")</f>
        <v/>
      </c>
      <c r="T33">
        <f>HYPERLINK("https://klasma.github.io/Logging_2513/kartor/A 40263-2023 karta.png", "A 40263-2023")</f>
        <v/>
      </c>
      <c r="V33">
        <f>HYPERLINK("https://klasma.github.io/Logging_2513/klagomål/A 40263-2023 FSC-klagomål.docx", "A 40263-2023")</f>
        <v/>
      </c>
      <c r="W33">
        <f>HYPERLINK("https://klasma.github.io/Logging_2513/klagomålsmail/A 40263-2023 FSC-klagomål mail.docx", "A 40263-2023")</f>
        <v/>
      </c>
      <c r="X33">
        <f>HYPERLINK("https://klasma.github.io/Logging_2513/tillsyn/A 40263-2023 tillsynsbegäran.docx", "A 40263-2023")</f>
        <v/>
      </c>
      <c r="Y33">
        <f>HYPERLINK("https://klasma.github.io/Logging_2513/tillsynsmail/A 40263-2023 tillsynsbegäran mail.docx", "A 40263-2023")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45294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37780-2018</t>
        </is>
      </c>
      <c r="B35" s="1" t="n">
        <v>43335</v>
      </c>
      <c r="C35" s="1" t="n">
        <v>45294</v>
      </c>
      <c r="D35" t="inlineStr">
        <is>
          <t>NORRBOTTENS LÄN</t>
        </is>
      </c>
      <c r="E35" t="inlineStr">
        <is>
          <t>ÖVERKALIX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39237-2018</t>
        </is>
      </c>
      <c r="B36" s="1" t="n">
        <v>43339</v>
      </c>
      <c r="C36" s="1" t="n">
        <v>45294</v>
      </c>
      <c r="D36" t="inlineStr">
        <is>
          <t>NORRBOTTENS LÄN</t>
        </is>
      </c>
      <c r="E36" t="inlineStr">
        <is>
          <t>ÖVERKALIX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38506-2018</t>
        </is>
      </c>
      <c r="B37" s="1" t="n">
        <v>43339</v>
      </c>
      <c r="C37" s="1" t="n">
        <v>45294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30.7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39027-2018</t>
        </is>
      </c>
      <c r="B38" s="1" t="n">
        <v>43340</v>
      </c>
      <c r="C38" s="1" t="n">
        <v>45294</v>
      </c>
      <c r="D38" t="inlineStr">
        <is>
          <t>NORRBOTTENS LÄN</t>
        </is>
      </c>
      <c r="E38" t="inlineStr">
        <is>
          <t>ÖVERKALIX</t>
        </is>
      </c>
      <c r="G38" t="n">
        <v>24.9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39559-2018</t>
        </is>
      </c>
      <c r="B39" s="1" t="n">
        <v>43341</v>
      </c>
      <c r="C39" s="1" t="n">
        <v>45294</v>
      </c>
      <c r="D39" t="inlineStr">
        <is>
          <t>NORRBOTTENS LÄN</t>
        </is>
      </c>
      <c r="E39" t="inlineStr">
        <is>
          <t>ÖVERKALIX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40942-2018</t>
        </is>
      </c>
      <c r="B40" s="1" t="n">
        <v>43346</v>
      </c>
      <c r="C40" s="1" t="n">
        <v>45294</v>
      </c>
      <c r="D40" t="inlineStr">
        <is>
          <t>NORRBOTTENS LÄN</t>
        </is>
      </c>
      <c r="E40" t="inlineStr">
        <is>
          <t>ÖVERKALIX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54013-2018</t>
        </is>
      </c>
      <c r="B41" s="1" t="n">
        <v>43390</v>
      </c>
      <c r="C41" s="1" t="n">
        <v>45294</v>
      </c>
      <c r="D41" t="inlineStr">
        <is>
          <t>NORRBOTTENS LÄN</t>
        </is>
      </c>
      <c r="E41" t="inlineStr">
        <is>
          <t>ÖVERKALIX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58356-2018</t>
        </is>
      </c>
      <c r="B42" s="1" t="n">
        <v>43398</v>
      </c>
      <c r="C42" s="1" t="n">
        <v>45294</v>
      </c>
      <c r="D42" t="inlineStr">
        <is>
          <t>NORRBOTTENS LÄN</t>
        </is>
      </c>
      <c r="E42" t="inlineStr">
        <is>
          <t>ÖVERKALIX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58345-2018</t>
        </is>
      </c>
      <c r="B43" s="1" t="n">
        <v>43398</v>
      </c>
      <c r="C43" s="1" t="n">
        <v>45294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59039-2018</t>
        </is>
      </c>
      <c r="B44" s="1" t="n">
        <v>43402</v>
      </c>
      <c r="C44" s="1" t="n">
        <v>45294</v>
      </c>
      <c r="D44" t="inlineStr">
        <is>
          <t>NORRBOTTENS LÄN</t>
        </is>
      </c>
      <c r="E44" t="inlineStr">
        <is>
          <t>ÖVERKALIX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59043-2018</t>
        </is>
      </c>
      <c r="B45" s="1" t="n">
        <v>43402</v>
      </c>
      <c r="C45" s="1" t="n">
        <v>45294</v>
      </c>
      <c r="D45" t="inlineStr">
        <is>
          <t>NORRBOTTENS LÄN</t>
        </is>
      </c>
      <c r="E45" t="inlineStr">
        <is>
          <t>ÖVERKALIX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59424-2018</t>
        </is>
      </c>
      <c r="B46" s="1" t="n">
        <v>43418</v>
      </c>
      <c r="C46" s="1" t="n">
        <v>45294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64056-2018</t>
        </is>
      </c>
      <c r="B47" s="1" t="n">
        <v>43419</v>
      </c>
      <c r="C47" s="1" t="n">
        <v>45294</v>
      </c>
      <c r="D47" t="inlineStr">
        <is>
          <t>NORRBOTTENS LÄN</t>
        </is>
      </c>
      <c r="E47" t="inlineStr">
        <is>
          <t>ÖVERKALIX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63486-2018</t>
        </is>
      </c>
      <c r="B48" s="1" t="n">
        <v>43427</v>
      </c>
      <c r="C48" s="1" t="n">
        <v>45294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83.90000000000001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63482-2018</t>
        </is>
      </c>
      <c r="B49" s="1" t="n">
        <v>43427</v>
      </c>
      <c r="C49" s="1" t="n">
        <v>45294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67948-2018</t>
        </is>
      </c>
      <c r="B50" s="1" t="n">
        <v>43437</v>
      </c>
      <c r="C50" s="1" t="n">
        <v>45294</v>
      </c>
      <c r="D50" t="inlineStr">
        <is>
          <t>NORRBOTTENS LÄN</t>
        </is>
      </c>
      <c r="E50" t="inlineStr">
        <is>
          <t>ÖVERKALIX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67944-2018</t>
        </is>
      </c>
      <c r="B51" s="1" t="n">
        <v>43437</v>
      </c>
      <c r="C51" s="1" t="n">
        <v>45294</v>
      </c>
      <c r="D51" t="inlineStr">
        <is>
          <t>NORRBOTTENS LÄN</t>
        </is>
      </c>
      <c r="E51" t="inlineStr">
        <is>
          <t>ÖVERKALIX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69821-2018</t>
        </is>
      </c>
      <c r="B52" s="1" t="n">
        <v>43444</v>
      </c>
      <c r="C52" s="1" t="n">
        <v>45294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69541-2018</t>
        </is>
      </c>
      <c r="B53" s="1" t="n">
        <v>43444</v>
      </c>
      <c r="C53" s="1" t="n">
        <v>45294</v>
      </c>
      <c r="D53" t="inlineStr">
        <is>
          <t>NORRBOTTENS LÄN</t>
        </is>
      </c>
      <c r="E53" t="inlineStr">
        <is>
          <t>ÖVERKALIX</t>
        </is>
      </c>
      <c r="G53" t="n">
        <v>15.5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72333-2018</t>
        </is>
      </c>
      <c r="B54" s="1" t="n">
        <v>43460</v>
      </c>
      <c r="C54" s="1" t="n">
        <v>45294</v>
      </c>
      <c r="D54" t="inlineStr">
        <is>
          <t>NORRBOTTENS LÄN</t>
        </is>
      </c>
      <c r="E54" t="inlineStr">
        <is>
          <t>ÖVERKALIX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72332-2018</t>
        </is>
      </c>
      <c r="B55" s="1" t="n">
        <v>43460</v>
      </c>
      <c r="C55" s="1" t="n">
        <v>45294</v>
      </c>
      <c r="D55" t="inlineStr">
        <is>
          <t>NORRBOTTENS LÄN</t>
        </is>
      </c>
      <c r="E55" t="inlineStr">
        <is>
          <t>ÖVERKALIX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88-2019</t>
        </is>
      </c>
      <c r="B56" s="1" t="n">
        <v>43467</v>
      </c>
      <c r="C56" s="1" t="n">
        <v>45294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85-2019</t>
        </is>
      </c>
      <c r="B57" s="1" t="n">
        <v>43467</v>
      </c>
      <c r="C57" s="1" t="n">
        <v>45294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20.1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117-2019</t>
        </is>
      </c>
      <c r="B58" s="1" t="n">
        <v>43467</v>
      </c>
      <c r="C58" s="1" t="n">
        <v>45294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3801-2019</t>
        </is>
      </c>
      <c r="B59" s="1" t="n">
        <v>43475</v>
      </c>
      <c r="C59" s="1" t="n">
        <v>45294</v>
      </c>
      <c r="D59" t="inlineStr">
        <is>
          <t>NORRBOTTENS LÄN</t>
        </is>
      </c>
      <c r="E59" t="inlineStr">
        <is>
          <t>ÖVERKALIX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3740-2019</t>
        </is>
      </c>
      <c r="B60" s="1" t="n">
        <v>43481</v>
      </c>
      <c r="C60" s="1" t="n">
        <v>45294</v>
      </c>
      <c r="D60" t="inlineStr">
        <is>
          <t>NORRBOTTENS LÄN</t>
        </is>
      </c>
      <c r="E60" t="inlineStr">
        <is>
          <t>ÖVERKALIX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5518-2019</t>
        </is>
      </c>
      <c r="B61" s="1" t="n">
        <v>43489</v>
      </c>
      <c r="C61" s="1" t="n">
        <v>45294</v>
      </c>
      <c r="D61" t="inlineStr">
        <is>
          <t>NORRBOTTENS LÄN</t>
        </is>
      </c>
      <c r="E61" t="inlineStr">
        <is>
          <t>ÖVERKALIX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10495-2019</t>
        </is>
      </c>
      <c r="B62" s="1" t="n">
        <v>43511</v>
      </c>
      <c r="C62" s="1" t="n">
        <v>45294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10398-2019</t>
        </is>
      </c>
      <c r="B63" s="1" t="n">
        <v>43511</v>
      </c>
      <c r="C63" s="1" t="n">
        <v>45294</v>
      </c>
      <c r="D63" t="inlineStr">
        <is>
          <t>NORRBOTTENS LÄN</t>
        </is>
      </c>
      <c r="E63" t="inlineStr">
        <is>
          <t>ÖVERKALIX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14520-2019</t>
        </is>
      </c>
      <c r="B64" s="1" t="n">
        <v>43535</v>
      </c>
      <c r="C64" s="1" t="n">
        <v>45294</v>
      </c>
      <c r="D64" t="inlineStr">
        <is>
          <t>NORRBOTTENS LÄN</t>
        </is>
      </c>
      <c r="E64" t="inlineStr">
        <is>
          <t>ÖVERKALIX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18173-2019</t>
        </is>
      </c>
      <c r="B65" s="1" t="n">
        <v>43558</v>
      </c>
      <c r="C65" s="1" t="n">
        <v>45294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20310-2019</t>
        </is>
      </c>
      <c r="B66" s="1" t="n">
        <v>43570</v>
      </c>
      <c r="C66" s="1" t="n">
        <v>45294</v>
      </c>
      <c r="D66" t="inlineStr">
        <is>
          <t>NORRBOTTENS LÄN</t>
        </is>
      </c>
      <c r="E66" t="inlineStr">
        <is>
          <t>ÖVERKALIX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28768-2019</t>
        </is>
      </c>
      <c r="B67" s="1" t="n">
        <v>43616</v>
      </c>
      <c r="C67" s="1" t="n">
        <v>45294</v>
      </c>
      <c r="D67" t="inlineStr">
        <is>
          <t>NORRBOTTENS LÄN</t>
        </is>
      </c>
      <c r="E67" t="inlineStr">
        <is>
          <t>ÖVERKALIX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31427-2019</t>
        </is>
      </c>
      <c r="B68" s="1" t="n">
        <v>43636</v>
      </c>
      <c r="C68" s="1" t="n">
        <v>45294</v>
      </c>
      <c r="D68" t="inlineStr">
        <is>
          <t>NORRBOTTENS LÄN</t>
        </is>
      </c>
      <c r="E68" t="inlineStr">
        <is>
          <t>ÖVERKALIX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38325-2019</t>
        </is>
      </c>
      <c r="B69" s="1" t="n">
        <v>43684</v>
      </c>
      <c r="C69" s="1" t="n">
        <v>45294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38326-2019</t>
        </is>
      </c>
      <c r="B70" s="1" t="n">
        <v>43684</v>
      </c>
      <c r="C70" s="1" t="n">
        <v>45294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38433-2019</t>
        </is>
      </c>
      <c r="B71" s="1" t="n">
        <v>43685</v>
      </c>
      <c r="C71" s="1" t="n">
        <v>45294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39008-2019</t>
        </is>
      </c>
      <c r="B72" s="1" t="n">
        <v>43689</v>
      </c>
      <c r="C72" s="1" t="n">
        <v>45294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39013-2019</t>
        </is>
      </c>
      <c r="B73" s="1" t="n">
        <v>43689</v>
      </c>
      <c r="C73" s="1" t="n">
        <v>45294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39007-2019</t>
        </is>
      </c>
      <c r="B74" s="1" t="n">
        <v>43689</v>
      </c>
      <c r="C74" s="1" t="n">
        <v>45294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40146-2019</t>
        </is>
      </c>
      <c r="B75" s="1" t="n">
        <v>43693</v>
      </c>
      <c r="C75" s="1" t="n">
        <v>45294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40115-2019</t>
        </is>
      </c>
      <c r="B76" s="1" t="n">
        <v>43693</v>
      </c>
      <c r="C76" s="1" t="n">
        <v>45294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40260-2019</t>
        </is>
      </c>
      <c r="B77" s="1" t="n">
        <v>43695</v>
      </c>
      <c r="C77" s="1" t="n">
        <v>45294</v>
      </c>
      <c r="D77" t="inlineStr">
        <is>
          <t>NORRBOTTENS LÄN</t>
        </is>
      </c>
      <c r="E77" t="inlineStr">
        <is>
          <t>ÖVERKALIX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45294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45294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45294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45294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45294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45294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45294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45294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45294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45294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45294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45294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45294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45294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45294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45294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45294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45294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45294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45294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45294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45294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45294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45294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45294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45294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45294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45294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45294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45294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45294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45294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45294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45294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45294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45294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45294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45294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45294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45294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45294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45294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45294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45294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45294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45294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45294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45294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45294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45294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45294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45294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20515-2020</t>
        </is>
      </c>
      <c r="B130" s="1" t="n">
        <v>43945</v>
      </c>
      <c r="C130" s="1" t="n">
        <v>45294</v>
      </c>
      <c r="D130" t="inlineStr">
        <is>
          <t>NORRBOTTENS LÄN</t>
        </is>
      </c>
      <c r="E130" t="inlineStr">
        <is>
          <t>ÖVERKALIX</t>
        </is>
      </c>
      <c r="G130" t="n">
        <v>23.3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21544-2020</t>
        </is>
      </c>
      <c r="B131" s="1" t="n">
        <v>43945</v>
      </c>
      <c r="C131" s="1" t="n">
        <v>45294</v>
      </c>
      <c r="D131" t="inlineStr">
        <is>
          <t>NORRBOTTENS LÄN</t>
        </is>
      </c>
      <c r="E131" t="inlineStr">
        <is>
          <t>ÖVERKALIX</t>
        </is>
      </c>
      <c r="G131" t="n">
        <v>23.7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20430-2020</t>
        </is>
      </c>
      <c r="B132" s="1" t="n">
        <v>43945</v>
      </c>
      <c r="C132" s="1" t="n">
        <v>45294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21968-2020</t>
        </is>
      </c>
      <c r="B133" s="1" t="n">
        <v>43958</v>
      </c>
      <c r="C133" s="1" t="n">
        <v>45294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23639-2020</t>
        </is>
      </c>
      <c r="B134" s="1" t="n">
        <v>43969</v>
      </c>
      <c r="C134" s="1" t="n">
        <v>45294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24354-2020</t>
        </is>
      </c>
      <c r="B135" s="1" t="n">
        <v>43976</v>
      </c>
      <c r="C135" s="1" t="n">
        <v>45294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24660-2020</t>
        </is>
      </c>
      <c r="B136" s="1" t="n">
        <v>43977</v>
      </c>
      <c r="C136" s="1" t="n">
        <v>45294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26866-2020</t>
        </is>
      </c>
      <c r="B137" s="1" t="n">
        <v>43987</v>
      </c>
      <c r="C137" s="1" t="n">
        <v>45294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26795-2020</t>
        </is>
      </c>
      <c r="B138" s="1" t="n">
        <v>43990</v>
      </c>
      <c r="C138" s="1" t="n">
        <v>45294</v>
      </c>
      <c r="D138" t="inlineStr">
        <is>
          <t>NORRBOTTENS LÄN</t>
        </is>
      </c>
      <c r="E138" t="inlineStr">
        <is>
          <t>ÖVERKALIX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27092-2020</t>
        </is>
      </c>
      <c r="B139" s="1" t="n">
        <v>43991</v>
      </c>
      <c r="C139" s="1" t="n">
        <v>45294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30971-2020</t>
        </is>
      </c>
      <c r="B140" s="1" t="n">
        <v>44011</v>
      </c>
      <c r="C140" s="1" t="n">
        <v>45294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31065-2020</t>
        </is>
      </c>
      <c r="B141" s="1" t="n">
        <v>44012</v>
      </c>
      <c r="C141" s="1" t="n">
        <v>45294</v>
      </c>
      <c r="D141" t="inlineStr">
        <is>
          <t>NORRBOTTENS LÄN</t>
        </is>
      </c>
      <c r="E141" t="inlineStr">
        <is>
          <t>ÖVERKALIX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33704-2020</t>
        </is>
      </c>
      <c r="B142" s="1" t="n">
        <v>44026</v>
      </c>
      <c r="C142" s="1" t="n">
        <v>45294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33718-2020</t>
        </is>
      </c>
      <c r="B143" s="1" t="n">
        <v>44026</v>
      </c>
      <c r="C143" s="1" t="n">
        <v>45294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33713-2020</t>
        </is>
      </c>
      <c r="B144" s="1" t="n">
        <v>44026</v>
      </c>
      <c r="C144" s="1" t="n">
        <v>45294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34664-2020</t>
        </is>
      </c>
      <c r="B145" s="1" t="n">
        <v>44034</v>
      </c>
      <c r="C145" s="1" t="n">
        <v>45294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36649-2020</t>
        </is>
      </c>
      <c r="B146" s="1" t="n">
        <v>44051</v>
      </c>
      <c r="C146" s="1" t="n">
        <v>45294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43453-2020</t>
        </is>
      </c>
      <c r="B147" s="1" t="n">
        <v>44082</v>
      </c>
      <c r="C147" s="1" t="n">
        <v>45294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43661-2020</t>
        </is>
      </c>
      <c r="B148" s="1" t="n">
        <v>44082</v>
      </c>
      <c r="C148" s="1" t="n">
        <v>45294</v>
      </c>
      <c r="D148" t="inlineStr">
        <is>
          <t>NORRBOTTENS LÄN</t>
        </is>
      </c>
      <c r="E148" t="inlineStr">
        <is>
          <t>ÖVERKALIX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43836-2020</t>
        </is>
      </c>
      <c r="B149" s="1" t="n">
        <v>44082</v>
      </c>
      <c r="C149" s="1" t="n">
        <v>45294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45361-2020</t>
        </is>
      </c>
      <c r="B150" s="1" t="n">
        <v>44085</v>
      </c>
      <c r="C150" s="1" t="n">
        <v>45294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46372-2020</t>
        </is>
      </c>
      <c r="B151" s="1" t="n">
        <v>44092</v>
      </c>
      <c r="C151" s="1" t="n">
        <v>45294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48585-2020</t>
        </is>
      </c>
      <c r="B152" s="1" t="n">
        <v>44098</v>
      </c>
      <c r="C152" s="1" t="n">
        <v>45294</v>
      </c>
      <c r="D152" t="inlineStr">
        <is>
          <t>NORRBOTTENS LÄN</t>
        </is>
      </c>
      <c r="E152" t="inlineStr">
        <is>
          <t>ÖVERKALIX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53747-2020</t>
        </is>
      </c>
      <c r="B153" s="1" t="n">
        <v>44124</v>
      </c>
      <c r="C153" s="1" t="n">
        <v>45294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60602-2020</t>
        </is>
      </c>
      <c r="B154" s="1" t="n">
        <v>44153</v>
      </c>
      <c r="C154" s="1" t="n">
        <v>45294</v>
      </c>
      <c r="D154" t="inlineStr">
        <is>
          <t>NORRBOTTENS LÄN</t>
        </is>
      </c>
      <c r="E154" t="inlineStr">
        <is>
          <t>ÖVERKALIX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62022-2020</t>
        </is>
      </c>
      <c r="B155" s="1" t="n">
        <v>44159</v>
      </c>
      <c r="C155" s="1" t="n">
        <v>45294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62241-2020</t>
        </is>
      </c>
      <c r="B156" s="1" t="n">
        <v>44160</v>
      </c>
      <c r="C156" s="1" t="n">
        <v>45294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67584-2020</t>
        </is>
      </c>
      <c r="B157" s="1" t="n">
        <v>44181</v>
      </c>
      <c r="C157" s="1" t="n">
        <v>45294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68189-2020</t>
        </is>
      </c>
      <c r="B158" s="1" t="n">
        <v>44182</v>
      </c>
      <c r="C158" s="1" t="n">
        <v>45294</v>
      </c>
      <c r="D158" t="inlineStr">
        <is>
          <t>NORRBOTTENS LÄN</t>
        </is>
      </c>
      <c r="E158" t="inlineStr">
        <is>
          <t>ÖVERKALIX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69529-2020</t>
        </is>
      </c>
      <c r="B159" s="1" t="n">
        <v>44194</v>
      </c>
      <c r="C159" s="1" t="n">
        <v>45294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69534-2020</t>
        </is>
      </c>
      <c r="B160" s="1" t="n">
        <v>44194</v>
      </c>
      <c r="C160" s="1" t="n">
        <v>45294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1481-2021</t>
        </is>
      </c>
      <c r="B161" s="1" t="n">
        <v>44208</v>
      </c>
      <c r="C161" s="1" t="n">
        <v>45294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7744-2021</t>
        </is>
      </c>
      <c r="B162" s="1" t="n">
        <v>44242</v>
      </c>
      <c r="C162" s="1" t="n">
        <v>45294</v>
      </c>
      <c r="D162" t="inlineStr">
        <is>
          <t>NORRBOTTENS LÄN</t>
        </is>
      </c>
      <c r="E162" t="inlineStr">
        <is>
          <t>ÖVERKALIX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8224-2021</t>
        </is>
      </c>
      <c r="B163" s="1" t="n">
        <v>44244</v>
      </c>
      <c r="C163" s="1" t="n">
        <v>45294</v>
      </c>
      <c r="D163" t="inlineStr">
        <is>
          <t>NORRBOTTENS LÄN</t>
        </is>
      </c>
      <c r="E163" t="inlineStr">
        <is>
          <t>ÖVERKALIX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15075-2021</t>
        </is>
      </c>
      <c r="B164" s="1" t="n">
        <v>44281</v>
      </c>
      <c r="C164" s="1" t="n">
        <v>45294</v>
      </c>
      <c r="D164" t="inlineStr">
        <is>
          <t>NORRBOTTENS LÄN</t>
        </is>
      </c>
      <c r="E164" t="inlineStr">
        <is>
          <t>ÖVERKALIX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19802-2021</t>
        </is>
      </c>
      <c r="B165" s="1" t="n">
        <v>44312</v>
      </c>
      <c r="C165" s="1" t="n">
        <v>45294</v>
      </c>
      <c r="D165" t="inlineStr">
        <is>
          <t>NORRBOTTENS LÄN</t>
        </is>
      </c>
      <c r="E165" t="inlineStr">
        <is>
          <t>ÖVERKALIX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23067-2021</t>
        </is>
      </c>
      <c r="B166" s="1" t="n">
        <v>44330</v>
      </c>
      <c r="C166" s="1" t="n">
        <v>45294</v>
      </c>
      <c r="D166" t="inlineStr">
        <is>
          <t>NORRBOTTENS LÄN</t>
        </is>
      </c>
      <c r="E166" t="inlineStr">
        <is>
          <t>ÖVERKALIX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23065-2021</t>
        </is>
      </c>
      <c r="B167" s="1" t="n">
        <v>44330</v>
      </c>
      <c r="C167" s="1" t="n">
        <v>45294</v>
      </c>
      <c r="D167" t="inlineStr">
        <is>
          <t>NORRBOTTENS LÄN</t>
        </is>
      </c>
      <c r="E167" t="inlineStr">
        <is>
          <t>ÖVERKALIX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23073-2021</t>
        </is>
      </c>
      <c r="B168" s="1" t="n">
        <v>44330</v>
      </c>
      <c r="C168" s="1" t="n">
        <v>45294</v>
      </c>
      <c r="D168" t="inlineStr">
        <is>
          <t>NORRBOTTENS LÄN</t>
        </is>
      </c>
      <c r="E168" t="inlineStr">
        <is>
          <t>ÖVERKALIX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25070-2021</t>
        </is>
      </c>
      <c r="B169" s="1" t="n">
        <v>44341</v>
      </c>
      <c r="C169" s="1" t="n">
        <v>45294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26362-2021</t>
        </is>
      </c>
      <c r="B170" s="1" t="n">
        <v>44347</v>
      </c>
      <c r="C170" s="1" t="n">
        <v>45294</v>
      </c>
      <c r="D170" t="inlineStr">
        <is>
          <t>NORRBOTTENS LÄN</t>
        </is>
      </c>
      <c r="E170" t="inlineStr">
        <is>
          <t>ÖVERKALIX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26644-2021</t>
        </is>
      </c>
      <c r="B171" s="1" t="n">
        <v>44348</v>
      </c>
      <c r="C171" s="1" t="n">
        <v>45294</v>
      </c>
      <c r="D171" t="inlineStr">
        <is>
          <t>NORRBOTTENS LÄN</t>
        </is>
      </c>
      <c r="E171" t="inlineStr">
        <is>
          <t>ÖVERKALIX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26885-2021</t>
        </is>
      </c>
      <c r="B172" s="1" t="n">
        <v>44349</v>
      </c>
      <c r="C172" s="1" t="n">
        <v>45294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28364-2021</t>
        </is>
      </c>
      <c r="B173" s="1" t="n">
        <v>44356</v>
      </c>
      <c r="C173" s="1" t="n">
        <v>45294</v>
      </c>
      <c r="D173" t="inlineStr">
        <is>
          <t>NORRBOTTENS LÄN</t>
        </is>
      </c>
      <c r="E173" t="inlineStr">
        <is>
          <t>ÖVERKALIX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28487-2021</t>
        </is>
      </c>
      <c r="B174" s="1" t="n">
        <v>44356</v>
      </c>
      <c r="C174" s="1" t="n">
        <v>45294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29268-2021</t>
        </is>
      </c>
      <c r="B175" s="1" t="n">
        <v>44361</v>
      </c>
      <c r="C175" s="1" t="n">
        <v>45294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29757-2021</t>
        </is>
      </c>
      <c r="B176" s="1" t="n">
        <v>44362</v>
      </c>
      <c r="C176" s="1" t="n">
        <v>45294</v>
      </c>
      <c r="D176" t="inlineStr">
        <is>
          <t>NORRBOTTENS LÄN</t>
        </is>
      </c>
      <c r="E176" t="inlineStr">
        <is>
          <t>ÖVERKALIX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29775-2021</t>
        </is>
      </c>
      <c r="B177" s="1" t="n">
        <v>44362</v>
      </c>
      <c r="C177" s="1" t="n">
        <v>45294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30673-2021</t>
        </is>
      </c>
      <c r="B178" s="1" t="n">
        <v>44365</v>
      </c>
      <c r="C178" s="1" t="n">
        <v>45294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30672-2021</t>
        </is>
      </c>
      <c r="B179" s="1" t="n">
        <v>44365</v>
      </c>
      <c r="C179" s="1" t="n">
        <v>45294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32521-2021</t>
        </is>
      </c>
      <c r="B180" s="1" t="n">
        <v>44374</v>
      </c>
      <c r="C180" s="1" t="n">
        <v>45294</v>
      </c>
      <c r="D180" t="inlineStr">
        <is>
          <t>NORRBOTTENS LÄN</t>
        </is>
      </c>
      <c r="E180" t="inlineStr">
        <is>
          <t>ÖVERKALIX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36896-2021</t>
        </is>
      </c>
      <c r="B181" s="1" t="n">
        <v>44393</v>
      </c>
      <c r="C181" s="1" t="n">
        <v>45294</v>
      </c>
      <c r="D181" t="inlineStr">
        <is>
          <t>NORRBOTTENS LÄN</t>
        </is>
      </c>
      <c r="E181" t="inlineStr">
        <is>
          <t>ÖVERKALIX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36921-2021</t>
        </is>
      </c>
      <c r="B182" s="1" t="n">
        <v>44393</v>
      </c>
      <c r="C182" s="1" t="n">
        <v>45294</v>
      </c>
      <c r="D182" t="inlineStr">
        <is>
          <t>NORRBOTTENS LÄN</t>
        </is>
      </c>
      <c r="E182" t="inlineStr">
        <is>
          <t>ÖVERKALIX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39459-2021</t>
        </is>
      </c>
      <c r="B183" s="1" t="n">
        <v>44414</v>
      </c>
      <c r="C183" s="1" t="n">
        <v>45294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40026-2021</t>
        </is>
      </c>
      <c r="B184" s="1" t="n">
        <v>44417</v>
      </c>
      <c r="C184" s="1" t="n">
        <v>45294</v>
      </c>
      <c r="D184" t="inlineStr">
        <is>
          <t>NORRBOTTENS LÄN</t>
        </is>
      </c>
      <c r="E184" t="inlineStr">
        <is>
          <t>ÖVERKALIX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39974-2021</t>
        </is>
      </c>
      <c r="B185" s="1" t="n">
        <v>44417</v>
      </c>
      <c r="C185" s="1" t="n">
        <v>45294</v>
      </c>
      <c r="D185" t="inlineStr">
        <is>
          <t>NORRBOTTENS LÄN</t>
        </is>
      </c>
      <c r="E185" t="inlineStr">
        <is>
          <t>ÖVERKALIX</t>
        </is>
      </c>
      <c r="G185" t="n">
        <v>21.6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41541-2021</t>
        </is>
      </c>
      <c r="B186" s="1" t="n">
        <v>44424</v>
      </c>
      <c r="C186" s="1" t="n">
        <v>45294</v>
      </c>
      <c r="D186" t="inlineStr">
        <is>
          <t>NORRBOTTENS LÄN</t>
        </is>
      </c>
      <c r="E186" t="inlineStr">
        <is>
          <t>ÖVERKALIX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41691-2021</t>
        </is>
      </c>
      <c r="B187" s="1" t="n">
        <v>44424</v>
      </c>
      <c r="C187" s="1" t="n">
        <v>45294</v>
      </c>
      <c r="D187" t="inlineStr">
        <is>
          <t>NORRBOTTENS LÄN</t>
        </is>
      </c>
      <c r="E187" t="inlineStr">
        <is>
          <t>ÖVERKALIX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41706-2021</t>
        </is>
      </c>
      <c r="B188" s="1" t="n">
        <v>44424</v>
      </c>
      <c r="C188" s="1" t="n">
        <v>45294</v>
      </c>
      <c r="D188" t="inlineStr">
        <is>
          <t>NORRBOTTENS LÄN</t>
        </is>
      </c>
      <c r="E188" t="inlineStr">
        <is>
          <t>ÖVERKALIX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41839-2021</t>
        </is>
      </c>
      <c r="B189" s="1" t="n">
        <v>44425</v>
      </c>
      <c r="C189" s="1" t="n">
        <v>45294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42123-2021</t>
        </is>
      </c>
      <c r="B190" s="1" t="n">
        <v>44426</v>
      </c>
      <c r="C190" s="1" t="n">
        <v>45294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43433-2021</t>
        </is>
      </c>
      <c r="B191" s="1" t="n">
        <v>44432</v>
      </c>
      <c r="C191" s="1" t="n">
        <v>45294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43673-2021</t>
        </is>
      </c>
      <c r="B192" s="1" t="n">
        <v>44433</v>
      </c>
      <c r="C192" s="1" t="n">
        <v>45294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43687-2021</t>
        </is>
      </c>
      <c r="B193" s="1" t="n">
        <v>44433</v>
      </c>
      <c r="C193" s="1" t="n">
        <v>45294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44370-2021</t>
        </is>
      </c>
      <c r="B194" s="1" t="n">
        <v>44435</v>
      </c>
      <c r="C194" s="1" t="n">
        <v>45294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44309-2021</t>
        </is>
      </c>
      <c r="B195" s="1" t="n">
        <v>44435</v>
      </c>
      <c r="C195" s="1" t="n">
        <v>45294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44306-2021</t>
        </is>
      </c>
      <c r="B196" s="1" t="n">
        <v>44435</v>
      </c>
      <c r="C196" s="1" t="n">
        <v>45294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44530-2021</t>
        </is>
      </c>
      <c r="B197" s="1" t="n">
        <v>44435</v>
      </c>
      <c r="C197" s="1" t="n">
        <v>45294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44798-2021</t>
        </is>
      </c>
      <c r="B198" s="1" t="n">
        <v>44438</v>
      </c>
      <c r="C198" s="1" t="n">
        <v>45294</v>
      </c>
      <c r="D198" t="inlineStr">
        <is>
          <t>NORRBOTTENS LÄN</t>
        </is>
      </c>
      <c r="E198" t="inlineStr">
        <is>
          <t>ÖVERKALIX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44830-2021</t>
        </is>
      </c>
      <c r="B199" s="1" t="n">
        <v>44438</v>
      </c>
      <c r="C199" s="1" t="n">
        <v>45294</v>
      </c>
      <c r="D199" t="inlineStr">
        <is>
          <t>NORRBOTTENS LÄN</t>
        </is>
      </c>
      <c r="E199" t="inlineStr">
        <is>
          <t>ÖVERKALIX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46790-2021</t>
        </is>
      </c>
      <c r="B200" s="1" t="n">
        <v>44445</v>
      </c>
      <c r="C200" s="1" t="n">
        <v>45294</v>
      </c>
      <c r="D200" t="inlineStr">
        <is>
          <t>NORRBOTTENS LÄN</t>
        </is>
      </c>
      <c r="E200" t="inlineStr">
        <is>
          <t>ÖVERKALIX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46945-2021</t>
        </is>
      </c>
      <c r="B201" s="1" t="n">
        <v>44446</v>
      </c>
      <c r="C201" s="1" t="n">
        <v>45294</v>
      </c>
      <c r="D201" t="inlineStr">
        <is>
          <t>NORRBOTTENS LÄN</t>
        </is>
      </c>
      <c r="E201" t="inlineStr">
        <is>
          <t>ÖVERKALIX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47629-2021</t>
        </is>
      </c>
      <c r="B202" s="1" t="n">
        <v>44448</v>
      </c>
      <c r="C202" s="1" t="n">
        <v>45294</v>
      </c>
      <c r="D202" t="inlineStr">
        <is>
          <t>NORRBOTTENS LÄN</t>
        </is>
      </c>
      <c r="E202" t="inlineStr">
        <is>
          <t>ÖVERKALIX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51022-2021</t>
        </is>
      </c>
      <c r="B203" s="1" t="n">
        <v>44460</v>
      </c>
      <c r="C203" s="1" t="n">
        <v>45294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52869-2021</t>
        </is>
      </c>
      <c r="B204" s="1" t="n">
        <v>44466</v>
      </c>
      <c r="C204" s="1" t="n">
        <v>45294</v>
      </c>
      <c r="D204" t="inlineStr">
        <is>
          <t>NORRBOTTENS LÄN</t>
        </is>
      </c>
      <c r="E204" t="inlineStr">
        <is>
          <t>ÖVERKALIX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52713-2021</t>
        </is>
      </c>
      <c r="B205" s="1" t="n">
        <v>44467</v>
      </c>
      <c r="C205" s="1" t="n">
        <v>45294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53322-2021</t>
        </is>
      </c>
      <c r="B206" s="1" t="n">
        <v>44466</v>
      </c>
      <c r="C206" s="1" t="n">
        <v>45294</v>
      </c>
      <c r="D206" t="inlineStr">
        <is>
          <t>NORRBOTTENS LÄN</t>
        </is>
      </c>
      <c r="E206" t="inlineStr">
        <is>
          <t>ÖVERKALIX</t>
        </is>
      </c>
      <c r="G206" t="n">
        <v>19.4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53328-2021</t>
        </is>
      </c>
      <c r="B207" s="1" t="n">
        <v>44466</v>
      </c>
      <c r="C207" s="1" t="n">
        <v>45294</v>
      </c>
      <c r="D207" t="inlineStr">
        <is>
          <t>NORRBOTTENS LÄN</t>
        </is>
      </c>
      <c r="E207" t="inlineStr">
        <is>
          <t>ÖVERKALIX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53849-2021</t>
        </is>
      </c>
      <c r="B208" s="1" t="n">
        <v>44469</v>
      </c>
      <c r="C208" s="1" t="n">
        <v>45294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54143-2021</t>
        </is>
      </c>
      <c r="B209" s="1" t="n">
        <v>44469</v>
      </c>
      <c r="C209" s="1" t="n">
        <v>45294</v>
      </c>
      <c r="D209" t="inlineStr">
        <is>
          <t>NORRBOTTENS LÄN</t>
        </is>
      </c>
      <c r="E209" t="inlineStr">
        <is>
          <t>ÖVERKALIX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56076-2021</t>
        </is>
      </c>
      <c r="B210" s="1" t="n">
        <v>44477</v>
      </c>
      <c r="C210" s="1" t="n">
        <v>45294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57754-2021</t>
        </is>
      </c>
      <c r="B211" s="1" t="n">
        <v>44484</v>
      </c>
      <c r="C211" s="1" t="n">
        <v>45294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57759-2021</t>
        </is>
      </c>
      <c r="B212" s="1" t="n">
        <v>44484</v>
      </c>
      <c r="C212" s="1" t="n">
        <v>45294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59927-2021</t>
        </is>
      </c>
      <c r="B213" s="1" t="n">
        <v>44494</v>
      </c>
      <c r="C213" s="1" t="n">
        <v>45294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62259-2021</t>
        </is>
      </c>
      <c r="B214" s="1" t="n">
        <v>44501</v>
      </c>
      <c r="C214" s="1" t="n">
        <v>45294</v>
      </c>
      <c r="D214" t="inlineStr">
        <is>
          <t>NORRBOTTENS LÄN</t>
        </is>
      </c>
      <c r="E214" t="inlineStr">
        <is>
          <t>ÖVERKALIX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62269-2021</t>
        </is>
      </c>
      <c r="B215" s="1" t="n">
        <v>44502</v>
      </c>
      <c r="C215" s="1" t="n">
        <v>45294</v>
      </c>
      <c r="D215" t="inlineStr">
        <is>
          <t>NORRBOTTENS LÄN</t>
        </is>
      </c>
      <c r="E215" t="inlineStr">
        <is>
          <t>ÖVERKALIX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62654-2021</t>
        </is>
      </c>
      <c r="B216" s="1" t="n">
        <v>44503</v>
      </c>
      <c r="C216" s="1" t="n">
        <v>45294</v>
      </c>
      <c r="D216" t="inlineStr">
        <is>
          <t>NORRBOTTENS LÄN</t>
        </is>
      </c>
      <c r="E216" t="inlineStr">
        <is>
          <t>ÖVERKALIX</t>
        </is>
      </c>
      <c r="G216" t="n">
        <v>28.3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63594-2021</t>
        </is>
      </c>
      <c r="B217" s="1" t="n">
        <v>44508</v>
      </c>
      <c r="C217" s="1" t="n">
        <v>45294</v>
      </c>
      <c r="D217" t="inlineStr">
        <is>
          <t>NORRBOTTENS LÄN</t>
        </is>
      </c>
      <c r="E217" t="inlineStr">
        <is>
          <t>ÖVERKALIX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64304-2021</t>
        </is>
      </c>
      <c r="B218" s="1" t="n">
        <v>44510</v>
      </c>
      <c r="C218" s="1" t="n">
        <v>45294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69110-2021</t>
        </is>
      </c>
      <c r="B219" s="1" t="n">
        <v>44530</v>
      </c>
      <c r="C219" s="1" t="n">
        <v>45294</v>
      </c>
      <c r="D219" t="inlineStr">
        <is>
          <t>NORRBOTTENS LÄN</t>
        </is>
      </c>
      <c r="E219" t="inlineStr">
        <is>
          <t>ÖVERKALIX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69405-2021</t>
        </is>
      </c>
      <c r="B220" s="1" t="n">
        <v>44531</v>
      </c>
      <c r="C220" s="1" t="n">
        <v>45294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71902-2021</t>
        </is>
      </c>
      <c r="B221" s="1" t="n">
        <v>44539</v>
      </c>
      <c r="C221" s="1" t="n">
        <v>45294</v>
      </c>
      <c r="D221" t="inlineStr">
        <is>
          <t>NORRBOTTENS LÄN</t>
        </is>
      </c>
      <c r="E221" t="inlineStr">
        <is>
          <t>ÖVERKALIX</t>
        </is>
      </c>
      <c r="G221" t="n">
        <v>24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72364-2021</t>
        </is>
      </c>
      <c r="B222" s="1" t="n">
        <v>44543</v>
      </c>
      <c r="C222" s="1" t="n">
        <v>45294</v>
      </c>
      <c r="D222" t="inlineStr">
        <is>
          <t>NORRBOTTENS LÄN</t>
        </is>
      </c>
      <c r="E222" t="inlineStr">
        <is>
          <t>ÖVERKALIX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72550-2021</t>
        </is>
      </c>
      <c r="B223" s="1" t="n">
        <v>44546</v>
      </c>
      <c r="C223" s="1" t="n">
        <v>45294</v>
      </c>
      <c r="D223" t="inlineStr">
        <is>
          <t>NORRBOTTENS LÄN</t>
        </is>
      </c>
      <c r="E223" t="inlineStr">
        <is>
          <t>ÖVERKALIX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72601-2021</t>
        </is>
      </c>
      <c r="B224" s="1" t="n">
        <v>44546</v>
      </c>
      <c r="C224" s="1" t="n">
        <v>45294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72616-2021</t>
        </is>
      </c>
      <c r="B225" s="1" t="n">
        <v>44546</v>
      </c>
      <c r="C225" s="1" t="n">
        <v>45294</v>
      </c>
      <c r="D225" t="inlineStr">
        <is>
          <t>NORRBOTTENS LÄN</t>
        </is>
      </c>
      <c r="E225" t="inlineStr">
        <is>
          <t>ÖVERKALIX</t>
        </is>
      </c>
      <c r="G225" t="n">
        <v>26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72623-2021</t>
        </is>
      </c>
      <c r="B226" s="1" t="n">
        <v>44546</v>
      </c>
      <c r="C226" s="1" t="n">
        <v>45294</v>
      </c>
      <c r="D226" t="inlineStr">
        <is>
          <t>NORRBOTTENS LÄN</t>
        </is>
      </c>
      <c r="E226" t="inlineStr">
        <is>
          <t>ÖVERKALIX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72809-2021</t>
        </is>
      </c>
      <c r="B227" s="1" t="n">
        <v>44546</v>
      </c>
      <c r="C227" s="1" t="n">
        <v>45294</v>
      </c>
      <c r="D227" t="inlineStr">
        <is>
          <t>NORRBOTTENS LÄN</t>
        </is>
      </c>
      <c r="E227" t="inlineStr">
        <is>
          <t>ÖVERKALIX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72877-2021</t>
        </is>
      </c>
      <c r="B228" s="1" t="n">
        <v>44547</v>
      </c>
      <c r="C228" s="1" t="n">
        <v>45294</v>
      </c>
      <c r="D228" t="inlineStr">
        <is>
          <t>NORRBOTTENS LÄN</t>
        </is>
      </c>
      <c r="E228" t="inlineStr">
        <is>
          <t>ÖVERKALIX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73216-2021</t>
        </is>
      </c>
      <c r="B229" s="1" t="n">
        <v>44547</v>
      </c>
      <c r="C229" s="1" t="n">
        <v>45294</v>
      </c>
      <c r="D229" t="inlineStr">
        <is>
          <t>NORRBOTTENS LÄN</t>
        </is>
      </c>
      <c r="E229" t="inlineStr">
        <is>
          <t>ÖVERKALIX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73221-2021</t>
        </is>
      </c>
      <c r="B230" s="1" t="n">
        <v>44547</v>
      </c>
      <c r="C230" s="1" t="n">
        <v>45294</v>
      </c>
      <c r="D230" t="inlineStr">
        <is>
          <t>NORRBOTTENS LÄN</t>
        </is>
      </c>
      <c r="E230" t="inlineStr">
        <is>
          <t>ÖVERKALIX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73348-2021</t>
        </is>
      </c>
      <c r="B231" s="1" t="n">
        <v>44550</v>
      </c>
      <c r="C231" s="1" t="n">
        <v>45294</v>
      </c>
      <c r="D231" t="inlineStr">
        <is>
          <t>NORRBOTTENS LÄN</t>
        </is>
      </c>
      <c r="E231" t="inlineStr">
        <is>
          <t>ÖVERKALIX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73757-2021</t>
        </is>
      </c>
      <c r="B232" s="1" t="n">
        <v>44551</v>
      </c>
      <c r="C232" s="1" t="n">
        <v>45294</v>
      </c>
      <c r="D232" t="inlineStr">
        <is>
          <t>NORRBOTTENS LÄN</t>
        </is>
      </c>
      <c r="E232" t="inlineStr">
        <is>
          <t>ÖVERKALIX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73759-2021</t>
        </is>
      </c>
      <c r="B233" s="1" t="n">
        <v>44551</v>
      </c>
      <c r="C233" s="1" t="n">
        <v>45294</v>
      </c>
      <c r="D233" t="inlineStr">
        <is>
          <t>NORRBOTTENS LÄN</t>
        </is>
      </c>
      <c r="E233" t="inlineStr">
        <is>
          <t>ÖVERKALIX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1525-2022</t>
        </is>
      </c>
      <c r="B234" s="1" t="n">
        <v>44573</v>
      </c>
      <c r="C234" s="1" t="n">
        <v>45294</v>
      </c>
      <c r="D234" t="inlineStr">
        <is>
          <t>NORRBOTTENS LÄN</t>
        </is>
      </c>
      <c r="E234" t="inlineStr">
        <is>
          <t>ÖVERKALIX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1944-2022</t>
        </is>
      </c>
      <c r="B235" s="1" t="n">
        <v>44575</v>
      </c>
      <c r="C235" s="1" t="n">
        <v>45294</v>
      </c>
      <c r="D235" t="inlineStr">
        <is>
          <t>NORRBOTTENS LÄN</t>
        </is>
      </c>
      <c r="E235" t="inlineStr">
        <is>
          <t>ÖVERKALIX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3174-2022</t>
        </is>
      </c>
      <c r="B236" s="1" t="n">
        <v>44582</v>
      </c>
      <c r="C236" s="1" t="n">
        <v>45294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3233-2022</t>
        </is>
      </c>
      <c r="B237" s="1" t="n">
        <v>44582</v>
      </c>
      <c r="C237" s="1" t="n">
        <v>45294</v>
      </c>
      <c r="D237" t="inlineStr">
        <is>
          <t>NORRBOTTENS LÄN</t>
        </is>
      </c>
      <c r="E237" t="inlineStr">
        <is>
          <t>ÖVERKALIX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5646-2022</t>
        </is>
      </c>
      <c r="B238" s="1" t="n">
        <v>44595</v>
      </c>
      <c r="C238" s="1" t="n">
        <v>45294</v>
      </c>
      <c r="D238" t="inlineStr">
        <is>
          <t>NORRBOTTENS LÄN</t>
        </is>
      </c>
      <c r="E238" t="inlineStr">
        <is>
          <t>ÖVERKALIX</t>
        </is>
      </c>
      <c r="G238" t="n">
        <v>24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5653-2022</t>
        </is>
      </c>
      <c r="B239" s="1" t="n">
        <v>44595</v>
      </c>
      <c r="C239" s="1" t="n">
        <v>45294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6514-2022</t>
        </is>
      </c>
      <c r="B240" s="1" t="n">
        <v>44601</v>
      </c>
      <c r="C240" s="1" t="n">
        <v>45294</v>
      </c>
      <c r="D240" t="inlineStr">
        <is>
          <t>NORRBOTTENS LÄN</t>
        </is>
      </c>
      <c r="E240" t="inlineStr">
        <is>
          <t>ÖVERKALIX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6641-2022</t>
        </is>
      </c>
      <c r="B241" s="1" t="n">
        <v>44601</v>
      </c>
      <c r="C241" s="1" t="n">
        <v>45294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6907-2022</t>
        </is>
      </c>
      <c r="B242" s="1" t="n">
        <v>44602</v>
      </c>
      <c r="C242" s="1" t="n">
        <v>45294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6916-2022</t>
        </is>
      </c>
      <c r="B243" s="1" t="n">
        <v>44602</v>
      </c>
      <c r="C243" s="1" t="n">
        <v>45294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7039-2022</t>
        </is>
      </c>
      <c r="B244" s="1" t="n">
        <v>44603</v>
      </c>
      <c r="C244" s="1" t="n">
        <v>45294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Övriga statliga verk och myndigheter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7677-2022</t>
        </is>
      </c>
      <c r="B245" s="1" t="n">
        <v>44607</v>
      </c>
      <c r="C245" s="1" t="n">
        <v>45294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7692-2022</t>
        </is>
      </c>
      <c r="B246" s="1" t="n">
        <v>44607</v>
      </c>
      <c r="C246" s="1" t="n">
        <v>45294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7949-2022</t>
        </is>
      </c>
      <c r="B247" s="1" t="n">
        <v>44608</v>
      </c>
      <c r="C247" s="1" t="n">
        <v>45294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8727-2022</t>
        </is>
      </c>
      <c r="B248" s="1" t="n">
        <v>44613</v>
      </c>
      <c r="C248" s="1" t="n">
        <v>45294</v>
      </c>
      <c r="D248" t="inlineStr">
        <is>
          <t>NORRBOTTENS LÄN</t>
        </is>
      </c>
      <c r="E248" t="inlineStr">
        <is>
          <t>ÖVERKALIX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10553-2022</t>
        </is>
      </c>
      <c r="B249" s="1" t="n">
        <v>44623</v>
      </c>
      <c r="C249" s="1" t="n">
        <v>45294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10930-2022</t>
        </is>
      </c>
      <c r="B250" s="1" t="n">
        <v>44627</v>
      </c>
      <c r="C250" s="1" t="n">
        <v>45294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13463-2022</t>
        </is>
      </c>
      <c r="B251" s="1" t="n">
        <v>44645</v>
      </c>
      <c r="C251" s="1" t="n">
        <v>45294</v>
      </c>
      <c r="D251" t="inlineStr">
        <is>
          <t>NORRBOTTENS LÄN</t>
        </is>
      </c>
      <c r="E251" t="inlineStr">
        <is>
          <t>ÖVERKALIX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13467-2022</t>
        </is>
      </c>
      <c r="B252" s="1" t="n">
        <v>44645</v>
      </c>
      <c r="C252" s="1" t="n">
        <v>45294</v>
      </c>
      <c r="D252" t="inlineStr">
        <is>
          <t>NORRBOTTENS LÄN</t>
        </is>
      </c>
      <c r="E252" t="inlineStr">
        <is>
          <t>ÖVERKALIX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13465-2022</t>
        </is>
      </c>
      <c r="B253" s="1" t="n">
        <v>44645</v>
      </c>
      <c r="C253" s="1" t="n">
        <v>45294</v>
      </c>
      <c r="D253" t="inlineStr">
        <is>
          <t>NORRBOTTENS LÄN</t>
        </is>
      </c>
      <c r="E253" t="inlineStr">
        <is>
          <t>ÖVERKALIX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13717-2022</t>
        </is>
      </c>
      <c r="B254" s="1" t="n">
        <v>44648</v>
      </c>
      <c r="C254" s="1" t="n">
        <v>45294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14685-2022</t>
        </is>
      </c>
      <c r="B255" s="1" t="n">
        <v>44656</v>
      </c>
      <c r="C255" s="1" t="n">
        <v>45294</v>
      </c>
      <c r="D255" t="inlineStr">
        <is>
          <t>NORRBOTTENS LÄN</t>
        </is>
      </c>
      <c r="E255" t="inlineStr">
        <is>
          <t>ÖVERKALIX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15133-2022</t>
        </is>
      </c>
      <c r="B256" s="1" t="n">
        <v>44658</v>
      </c>
      <c r="C256" s="1" t="n">
        <v>45294</v>
      </c>
      <c r="D256" t="inlineStr">
        <is>
          <t>NORRBOTTENS LÄN</t>
        </is>
      </c>
      <c r="E256" t="inlineStr">
        <is>
          <t>ÖVERKALIX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15301-2022</t>
        </is>
      </c>
      <c r="B257" s="1" t="n">
        <v>44659</v>
      </c>
      <c r="C257" s="1" t="n">
        <v>45294</v>
      </c>
      <c r="D257" t="inlineStr">
        <is>
          <t>NORRBOTTENS LÄN</t>
        </is>
      </c>
      <c r="E257" t="inlineStr">
        <is>
          <t>ÖVERKALIX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15926-2022</t>
        </is>
      </c>
      <c r="B258" s="1" t="n">
        <v>44664</v>
      </c>
      <c r="C258" s="1" t="n">
        <v>45294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17850-2022</t>
        </is>
      </c>
      <c r="B259" s="1" t="n">
        <v>44683</v>
      </c>
      <c r="C259" s="1" t="n">
        <v>45294</v>
      </c>
      <c r="D259" t="inlineStr">
        <is>
          <t>NORRBOTTENS LÄN</t>
        </is>
      </c>
      <c r="E259" t="inlineStr">
        <is>
          <t>ÖVERKALIX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20242-2022</t>
        </is>
      </c>
      <c r="B260" s="1" t="n">
        <v>44698</v>
      </c>
      <c r="C260" s="1" t="n">
        <v>45294</v>
      </c>
      <c r="D260" t="inlineStr">
        <is>
          <t>NORRBOTTENS LÄN</t>
        </is>
      </c>
      <c r="E260" t="inlineStr">
        <is>
          <t>ÖVERKALIX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20335-2022</t>
        </is>
      </c>
      <c r="B261" s="1" t="n">
        <v>44698</v>
      </c>
      <c r="C261" s="1" t="n">
        <v>45294</v>
      </c>
      <c r="D261" t="inlineStr">
        <is>
          <t>NORRBOTTENS LÄN</t>
        </is>
      </c>
      <c r="E261" t="inlineStr">
        <is>
          <t>ÖVERKALIX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21847-2022</t>
        </is>
      </c>
      <c r="B262" s="1" t="n">
        <v>44711</v>
      </c>
      <c r="C262" s="1" t="n">
        <v>45294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22977-2022</t>
        </is>
      </c>
      <c r="B263" s="1" t="n">
        <v>44717</v>
      </c>
      <c r="C263" s="1" t="n">
        <v>45294</v>
      </c>
      <c r="D263" t="inlineStr">
        <is>
          <t>NORRBOTTENS LÄN</t>
        </is>
      </c>
      <c r="E263" t="inlineStr">
        <is>
          <t>ÖVERKALIX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22976-2022</t>
        </is>
      </c>
      <c r="B264" s="1" t="n">
        <v>44717</v>
      </c>
      <c r="C264" s="1" t="n">
        <v>45294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22988-2022</t>
        </is>
      </c>
      <c r="B265" s="1" t="n">
        <v>44718</v>
      </c>
      <c r="C265" s="1" t="n">
        <v>45294</v>
      </c>
      <c r="D265" t="inlineStr">
        <is>
          <t>NORRBOTTENS LÄN</t>
        </is>
      </c>
      <c r="E265" t="inlineStr">
        <is>
          <t>ÖVERKALIX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24866-2022</t>
        </is>
      </c>
      <c r="B266" s="1" t="n">
        <v>44728</v>
      </c>
      <c r="C266" s="1" t="n">
        <v>45294</v>
      </c>
      <c r="D266" t="inlineStr">
        <is>
          <t>NORRBOTTENS LÄN</t>
        </is>
      </c>
      <c r="E266" t="inlineStr">
        <is>
          <t>ÖVERKALIX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27225-2022</t>
        </is>
      </c>
      <c r="B267" s="1" t="n">
        <v>44741</v>
      </c>
      <c r="C267" s="1" t="n">
        <v>45294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27230-2022</t>
        </is>
      </c>
      <c r="B268" s="1" t="n">
        <v>44741</v>
      </c>
      <c r="C268" s="1" t="n">
        <v>45294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28225-2022</t>
        </is>
      </c>
      <c r="B269" s="1" t="n">
        <v>44746</v>
      </c>
      <c r="C269" s="1" t="n">
        <v>45294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29712-2022</t>
        </is>
      </c>
      <c r="B270" s="1" t="n">
        <v>44755</v>
      </c>
      <c r="C270" s="1" t="n">
        <v>45294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29706-2022</t>
        </is>
      </c>
      <c r="B271" s="1" t="n">
        <v>44755</v>
      </c>
      <c r="C271" s="1" t="n">
        <v>45294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HYPERLINK("https://klasma.github.io/Logging_2513/knärot/A 29706-2022 karta knärot.png", "A 29706-2022")</f>
        <v/>
      </c>
      <c r="V271">
        <f>HYPERLINK("https://klasma.github.io/Logging_2513/klagomål/A 29706-2022 FSC-klagomål.docx", "A 29706-2022")</f>
        <v/>
      </c>
      <c r="W271">
        <f>HYPERLINK("https://klasma.github.io/Logging_2513/klagomålsmail/A 29706-2022 FSC-klagomål mail.docx", "A 29706-2022")</f>
        <v/>
      </c>
      <c r="X271">
        <f>HYPERLINK("https://klasma.github.io/Logging_2513/tillsyn/A 29706-2022 tillsynsbegäran.docx", "A 29706-2022")</f>
        <v/>
      </c>
      <c r="Y271">
        <f>HYPERLINK("https://klasma.github.io/Logging_2513/tillsynsmail/A 29706-2022 tillsynsbegäran mail.docx", "A 29706-2022")</f>
        <v/>
      </c>
    </row>
    <row r="272" ht="15" customHeight="1">
      <c r="A272" t="inlineStr">
        <is>
          <t>A 29709-2022</t>
        </is>
      </c>
      <c r="B272" s="1" t="n">
        <v>44755</v>
      </c>
      <c r="C272" s="1" t="n">
        <v>45294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31456-2022</t>
        </is>
      </c>
      <c r="B273" s="1" t="n">
        <v>44775</v>
      </c>
      <c r="C273" s="1" t="n">
        <v>45294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32091-2022</t>
        </is>
      </c>
      <c r="B274" s="1" t="n">
        <v>44778</v>
      </c>
      <c r="C274" s="1" t="n">
        <v>45294</v>
      </c>
      <c r="D274" t="inlineStr">
        <is>
          <t>NORRBOTTENS LÄN</t>
        </is>
      </c>
      <c r="E274" t="inlineStr">
        <is>
          <t>ÖVERKALIX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32724-2022</t>
        </is>
      </c>
      <c r="B275" s="1" t="n">
        <v>44783</v>
      </c>
      <c r="C275" s="1" t="n">
        <v>45294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33100-2022</t>
        </is>
      </c>
      <c r="B276" s="1" t="n">
        <v>44785</v>
      </c>
      <c r="C276" s="1" t="n">
        <v>45294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33497-2022</t>
        </is>
      </c>
      <c r="B277" s="1" t="n">
        <v>44789</v>
      </c>
      <c r="C277" s="1" t="n">
        <v>45294</v>
      </c>
      <c r="D277" t="inlineStr">
        <is>
          <t>NORRBOTTENS LÄN</t>
        </is>
      </c>
      <c r="E277" t="inlineStr">
        <is>
          <t>ÖVERKALIX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34261-2022</t>
        </is>
      </c>
      <c r="B278" s="1" t="n">
        <v>44791</v>
      </c>
      <c r="C278" s="1" t="n">
        <v>45294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34713-2022</t>
        </is>
      </c>
      <c r="B279" s="1" t="n">
        <v>44795</v>
      </c>
      <c r="C279" s="1" t="n">
        <v>45294</v>
      </c>
      <c r="D279" t="inlineStr">
        <is>
          <t>NORRBOTTENS LÄN</t>
        </is>
      </c>
      <c r="E279" t="inlineStr">
        <is>
          <t>ÖVERKALIX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34801-2022</t>
        </is>
      </c>
      <c r="B280" s="1" t="n">
        <v>44796</v>
      </c>
      <c r="C280" s="1" t="n">
        <v>45294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34802-2022</t>
        </is>
      </c>
      <c r="B281" s="1" t="n">
        <v>44796</v>
      </c>
      <c r="C281" s="1" t="n">
        <v>45294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35169-2022</t>
        </is>
      </c>
      <c r="B282" s="1" t="n">
        <v>44797</v>
      </c>
      <c r="C282" s="1" t="n">
        <v>45294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35170-2022</t>
        </is>
      </c>
      <c r="B283" s="1" t="n">
        <v>44797</v>
      </c>
      <c r="C283" s="1" t="n">
        <v>45294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35167-2022</t>
        </is>
      </c>
      <c r="B284" s="1" t="n">
        <v>44797</v>
      </c>
      <c r="C284" s="1" t="n">
        <v>45294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35414-2022</t>
        </is>
      </c>
      <c r="B285" s="1" t="n">
        <v>44798</v>
      </c>
      <c r="C285" s="1" t="n">
        <v>45294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35420-2022</t>
        </is>
      </c>
      <c r="B286" s="1" t="n">
        <v>44798</v>
      </c>
      <c r="C286" s="1" t="n">
        <v>45294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37236-2022</t>
        </is>
      </c>
      <c r="B287" s="1" t="n">
        <v>44806</v>
      </c>
      <c r="C287" s="1" t="n">
        <v>45294</v>
      </c>
      <c r="D287" t="inlineStr">
        <is>
          <t>NORRBOTTENS LÄN</t>
        </is>
      </c>
      <c r="E287" t="inlineStr">
        <is>
          <t>ÖVERKALIX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38667-2022</t>
        </is>
      </c>
      <c r="B288" s="1" t="n">
        <v>44814</v>
      </c>
      <c r="C288" s="1" t="n">
        <v>45294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19.3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39405-2022</t>
        </is>
      </c>
      <c r="B289" s="1" t="n">
        <v>44817</v>
      </c>
      <c r="C289" s="1" t="n">
        <v>45294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39403-2022</t>
        </is>
      </c>
      <c r="B290" s="1" t="n">
        <v>44817</v>
      </c>
      <c r="C290" s="1" t="n">
        <v>45294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39938-2022</t>
        </is>
      </c>
      <c r="B291" s="1" t="n">
        <v>44820</v>
      </c>
      <c r="C291" s="1" t="n">
        <v>45294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39927-2022</t>
        </is>
      </c>
      <c r="B292" s="1" t="n">
        <v>44820</v>
      </c>
      <c r="C292" s="1" t="n">
        <v>45294</v>
      </c>
      <c r="D292" t="inlineStr">
        <is>
          <t>NORRBOTTENS LÄN</t>
        </is>
      </c>
      <c r="E292" t="inlineStr">
        <is>
          <t>ÖVERKALIX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40260-2022</t>
        </is>
      </c>
      <c r="B293" s="1" t="n">
        <v>44820</v>
      </c>
      <c r="C293" s="1" t="n">
        <v>45294</v>
      </c>
      <c r="D293" t="inlineStr">
        <is>
          <t>NORRBOTTENS LÄN</t>
        </is>
      </c>
      <c r="E293" t="inlineStr">
        <is>
          <t>ÖVERKALIX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40281-2022</t>
        </is>
      </c>
      <c r="B294" s="1" t="n">
        <v>44821</v>
      </c>
      <c r="C294" s="1" t="n">
        <v>45294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40619-2022</t>
        </is>
      </c>
      <c r="B295" s="1" t="n">
        <v>44824</v>
      </c>
      <c r="C295" s="1" t="n">
        <v>45294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42407-2022</t>
        </is>
      </c>
      <c r="B296" s="1" t="n">
        <v>44830</v>
      </c>
      <c r="C296" s="1" t="n">
        <v>45294</v>
      </c>
      <c r="D296" t="inlineStr">
        <is>
          <t>NORRBOTTENS LÄN</t>
        </is>
      </c>
      <c r="E296" t="inlineStr">
        <is>
          <t>ÖVERKALIX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43042-2022</t>
        </is>
      </c>
      <c r="B297" s="1" t="n">
        <v>44833</v>
      </c>
      <c r="C297" s="1" t="n">
        <v>45294</v>
      </c>
      <c r="D297" t="inlineStr">
        <is>
          <t>NORRBOTTENS LÄN</t>
        </is>
      </c>
      <c r="E297" t="inlineStr">
        <is>
          <t>ÖVERKALIX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43314-2022</t>
        </is>
      </c>
      <c r="B298" s="1" t="n">
        <v>44834</v>
      </c>
      <c r="C298" s="1" t="n">
        <v>45294</v>
      </c>
      <c r="D298" t="inlineStr">
        <is>
          <t>NORRBOTTENS LÄN</t>
        </is>
      </c>
      <c r="E298" t="inlineStr">
        <is>
          <t>ÖVERKALIX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43327-2022</t>
        </is>
      </c>
      <c r="B299" s="1" t="n">
        <v>44834</v>
      </c>
      <c r="C299" s="1" t="n">
        <v>45294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45281-2022</t>
        </is>
      </c>
      <c r="B300" s="1" t="n">
        <v>44844</v>
      </c>
      <c r="C300" s="1" t="n">
        <v>45294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46347-2022</t>
        </is>
      </c>
      <c r="B301" s="1" t="n">
        <v>44847</v>
      </c>
      <c r="C301" s="1" t="n">
        <v>45294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46622-2022</t>
        </is>
      </c>
      <c r="B302" s="1" t="n">
        <v>44849</v>
      </c>
      <c r="C302" s="1" t="n">
        <v>45294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48501-2022</t>
        </is>
      </c>
      <c r="B303" s="1" t="n">
        <v>44859</v>
      </c>
      <c r="C303" s="1" t="n">
        <v>45294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49843-2022</t>
        </is>
      </c>
      <c r="B304" s="1" t="n">
        <v>44862</v>
      </c>
      <c r="C304" s="1" t="n">
        <v>45294</v>
      </c>
      <c r="D304" t="inlineStr">
        <is>
          <t>NORRBOTTENS LÄN</t>
        </is>
      </c>
      <c r="E304" t="inlineStr">
        <is>
          <t>ÖVERKALIX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50238-2022</t>
        </is>
      </c>
      <c r="B305" s="1" t="n">
        <v>44865</v>
      </c>
      <c r="C305" s="1" t="n">
        <v>45294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52026-2022</t>
        </is>
      </c>
      <c r="B306" s="1" t="n">
        <v>44872</v>
      </c>
      <c r="C306" s="1" t="n">
        <v>45294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52027-2022</t>
        </is>
      </c>
      <c r="B307" s="1" t="n">
        <v>44872</v>
      </c>
      <c r="C307" s="1" t="n">
        <v>45294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52993-2022</t>
        </is>
      </c>
      <c r="B308" s="1" t="n">
        <v>44875</v>
      </c>
      <c r="C308" s="1" t="n">
        <v>45294</v>
      </c>
      <c r="D308" t="inlineStr">
        <is>
          <t>NORRBOTTENS LÄN</t>
        </is>
      </c>
      <c r="E308" t="inlineStr">
        <is>
          <t>ÖVERKALIX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54414-2022</t>
        </is>
      </c>
      <c r="B309" s="1" t="n">
        <v>44879</v>
      </c>
      <c r="C309" s="1" t="n">
        <v>45294</v>
      </c>
      <c r="D309" t="inlineStr">
        <is>
          <t>NORRBOTTENS LÄN</t>
        </is>
      </c>
      <c r="E309" t="inlineStr">
        <is>
          <t>ÖVERKALIX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54380-2022</t>
        </is>
      </c>
      <c r="B310" s="1" t="n">
        <v>44879</v>
      </c>
      <c r="C310" s="1" t="n">
        <v>45294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53732-2022</t>
        </is>
      </c>
      <c r="B311" s="1" t="n">
        <v>44880</v>
      </c>
      <c r="C311" s="1" t="n">
        <v>45294</v>
      </c>
      <c r="D311" t="inlineStr">
        <is>
          <t>NORRBOTTENS LÄN</t>
        </is>
      </c>
      <c r="E311" t="inlineStr">
        <is>
          <t>ÖVERKALIX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55687-2022</t>
        </is>
      </c>
      <c r="B312" s="1" t="n">
        <v>44883</v>
      </c>
      <c r="C312" s="1" t="n">
        <v>45294</v>
      </c>
      <c r="D312" t="inlineStr">
        <is>
          <t>NORRBOTTENS LÄN</t>
        </is>
      </c>
      <c r="E312" t="inlineStr">
        <is>
          <t>ÖVERKALIX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55684-2022</t>
        </is>
      </c>
      <c r="B313" s="1" t="n">
        <v>44883</v>
      </c>
      <c r="C313" s="1" t="n">
        <v>45294</v>
      </c>
      <c r="D313" t="inlineStr">
        <is>
          <t>NORRBOTTENS LÄN</t>
        </is>
      </c>
      <c r="E313" t="inlineStr">
        <is>
          <t>ÖVERKALIX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55203-2022</t>
        </is>
      </c>
      <c r="B314" s="1" t="n">
        <v>44886</v>
      </c>
      <c r="C314" s="1" t="n">
        <v>45294</v>
      </c>
      <c r="D314" t="inlineStr">
        <is>
          <t>NORRBOTTENS LÄN</t>
        </is>
      </c>
      <c r="E314" t="inlineStr">
        <is>
          <t>ÖVERKALIX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55772-2022</t>
        </is>
      </c>
      <c r="B315" s="1" t="n">
        <v>44886</v>
      </c>
      <c r="C315" s="1" t="n">
        <v>45294</v>
      </c>
      <c r="D315" t="inlineStr">
        <is>
          <t>NORRBOTTENS LÄN</t>
        </is>
      </c>
      <c r="E315" t="inlineStr">
        <is>
          <t>ÖVERKALIX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55761-2022</t>
        </is>
      </c>
      <c r="B316" s="1" t="n">
        <v>44886</v>
      </c>
      <c r="C316" s="1" t="n">
        <v>45294</v>
      </c>
      <c r="D316" t="inlineStr">
        <is>
          <t>NORRBOTTENS LÄN</t>
        </is>
      </c>
      <c r="E316" t="inlineStr">
        <is>
          <t>ÖVERKALIX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57688-2022</t>
        </is>
      </c>
      <c r="B317" s="1" t="n">
        <v>44886</v>
      </c>
      <c r="C317" s="1" t="n">
        <v>45294</v>
      </c>
      <c r="D317" t="inlineStr">
        <is>
          <t>NORRBOTTENS LÄN</t>
        </is>
      </c>
      <c r="E317" t="inlineStr">
        <is>
          <t>ÖVERKALIX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56402-2022</t>
        </is>
      </c>
      <c r="B318" s="1" t="n">
        <v>44890</v>
      </c>
      <c r="C318" s="1" t="n">
        <v>45294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56416-2022</t>
        </is>
      </c>
      <c r="B319" s="1" t="n">
        <v>44890</v>
      </c>
      <c r="C319" s="1" t="n">
        <v>45294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56985-2022</t>
        </is>
      </c>
      <c r="B320" s="1" t="n">
        <v>44894</v>
      </c>
      <c r="C320" s="1" t="n">
        <v>45294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56983-2022</t>
        </is>
      </c>
      <c r="B321" s="1" t="n">
        <v>44894</v>
      </c>
      <c r="C321" s="1" t="n">
        <v>45294</v>
      </c>
      <c r="D321" t="inlineStr">
        <is>
          <t>NORRBOTTENS LÄN</t>
        </is>
      </c>
      <c r="E321" t="inlineStr">
        <is>
          <t>ÖVERKALIX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57836-2022</t>
        </is>
      </c>
      <c r="B322" s="1" t="n">
        <v>44897</v>
      </c>
      <c r="C322" s="1" t="n">
        <v>45294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59310-2022</t>
        </is>
      </c>
      <c r="B323" s="1" t="n">
        <v>44897</v>
      </c>
      <c r="C323" s="1" t="n">
        <v>45294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57870-2022</t>
        </is>
      </c>
      <c r="B324" s="1" t="n">
        <v>44899</v>
      </c>
      <c r="C324" s="1" t="n">
        <v>45294</v>
      </c>
      <c r="D324" t="inlineStr">
        <is>
          <t>NORRBOTTENS LÄN</t>
        </is>
      </c>
      <c r="E324" t="inlineStr">
        <is>
          <t>ÖVERKALIX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57884-2022</t>
        </is>
      </c>
      <c r="B325" s="1" t="n">
        <v>44899</v>
      </c>
      <c r="C325" s="1" t="n">
        <v>45294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58319-2022</t>
        </is>
      </c>
      <c r="B326" s="1" t="n">
        <v>44901</v>
      </c>
      <c r="C326" s="1" t="n">
        <v>45294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59907-2022</t>
        </is>
      </c>
      <c r="B327" s="1" t="n">
        <v>44908</v>
      </c>
      <c r="C327" s="1" t="n">
        <v>45294</v>
      </c>
      <c r="D327" t="inlineStr">
        <is>
          <t>NORRBOTTENS LÄN</t>
        </is>
      </c>
      <c r="E327" t="inlineStr">
        <is>
          <t>ÖVERKALIX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60400-2022</t>
        </is>
      </c>
      <c r="B328" s="1" t="n">
        <v>44910</v>
      </c>
      <c r="C328" s="1" t="n">
        <v>45294</v>
      </c>
      <c r="D328" t="inlineStr">
        <is>
          <t>NORRBOTTENS LÄN</t>
        </is>
      </c>
      <c r="E328" t="inlineStr">
        <is>
          <t>ÖVERKALIX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60725-2022</t>
        </is>
      </c>
      <c r="B329" s="1" t="n">
        <v>44913</v>
      </c>
      <c r="C329" s="1" t="n">
        <v>45294</v>
      </c>
      <c r="D329" t="inlineStr">
        <is>
          <t>NORRBOTTENS LÄN</t>
        </is>
      </c>
      <c r="E329" t="inlineStr">
        <is>
          <t>ÖVERKALIX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62646-2022</t>
        </is>
      </c>
      <c r="B330" s="1" t="n">
        <v>44925</v>
      </c>
      <c r="C330" s="1" t="n">
        <v>45294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62626-2022</t>
        </is>
      </c>
      <c r="B331" s="1" t="n">
        <v>44925</v>
      </c>
      <c r="C331" s="1" t="n">
        <v>45294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550-2023</t>
        </is>
      </c>
      <c r="B332" s="1" t="n">
        <v>44930</v>
      </c>
      <c r="C332" s="1" t="n">
        <v>45294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1867-2023</t>
        </is>
      </c>
      <c r="B333" s="1" t="n">
        <v>44938</v>
      </c>
      <c r="C333" s="1" t="n">
        <v>45294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3695-2023</t>
        </is>
      </c>
      <c r="B334" s="1" t="n">
        <v>44950</v>
      </c>
      <c r="C334" s="1" t="n">
        <v>45294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3694-2023</t>
        </is>
      </c>
      <c r="B335" s="1" t="n">
        <v>44950</v>
      </c>
      <c r="C335" s="1" t="n">
        <v>45294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5157-2023</t>
        </is>
      </c>
      <c r="B336" s="1" t="n">
        <v>44958</v>
      </c>
      <c r="C336" s="1" t="n">
        <v>45294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5453-2023</t>
        </is>
      </c>
      <c r="B337" s="1" t="n">
        <v>44959</v>
      </c>
      <c r="C337" s="1" t="n">
        <v>45294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5705-2023</t>
        </is>
      </c>
      <c r="B338" s="1" t="n">
        <v>44960</v>
      </c>
      <c r="C338" s="1" t="n">
        <v>45294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5703-2023</t>
        </is>
      </c>
      <c r="B339" s="1" t="n">
        <v>44960</v>
      </c>
      <c r="C339" s="1" t="n">
        <v>45294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6122-2023</t>
        </is>
      </c>
      <c r="B340" s="1" t="n">
        <v>44964</v>
      </c>
      <c r="C340" s="1" t="n">
        <v>45294</v>
      </c>
      <c r="D340" t="inlineStr">
        <is>
          <t>NORRBOTTENS LÄN</t>
        </is>
      </c>
      <c r="E340" t="inlineStr">
        <is>
          <t>ÖVERKALIX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6939-2023</t>
        </is>
      </c>
      <c r="B341" s="1" t="n">
        <v>44964</v>
      </c>
      <c r="C341" s="1" t="n">
        <v>45294</v>
      </c>
      <c r="D341" t="inlineStr">
        <is>
          <t>NORRBOTTENS LÄN</t>
        </is>
      </c>
      <c r="E341" t="inlineStr">
        <is>
          <t>ÖVERKALIX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6917-2023</t>
        </is>
      </c>
      <c r="B342" s="1" t="n">
        <v>44964</v>
      </c>
      <c r="C342" s="1" t="n">
        <v>45294</v>
      </c>
      <c r="D342" t="inlineStr">
        <is>
          <t>NORRBOTTENS LÄN</t>
        </is>
      </c>
      <c r="E342" t="inlineStr">
        <is>
          <t>ÖVERKALIX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6469-2023</t>
        </is>
      </c>
      <c r="B343" s="1" t="n">
        <v>44965</v>
      </c>
      <c r="C343" s="1" t="n">
        <v>45294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6591-2023</t>
        </is>
      </c>
      <c r="B344" s="1" t="n">
        <v>44966</v>
      </c>
      <c r="C344" s="1" t="n">
        <v>45294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7448-2023</t>
        </is>
      </c>
      <c r="B345" s="1" t="n">
        <v>44966</v>
      </c>
      <c r="C345" s="1" t="n">
        <v>45294</v>
      </c>
      <c r="D345" t="inlineStr">
        <is>
          <t>NORRBOTTENS LÄN</t>
        </is>
      </c>
      <c r="E345" t="inlineStr">
        <is>
          <t>ÖVERKALIX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7477-2023</t>
        </is>
      </c>
      <c r="B346" s="1" t="n">
        <v>44966</v>
      </c>
      <c r="C346" s="1" t="n">
        <v>45294</v>
      </c>
      <c r="D346" t="inlineStr">
        <is>
          <t>NORRBOTTENS LÄN</t>
        </is>
      </c>
      <c r="E346" t="inlineStr">
        <is>
          <t>ÖVERKALIX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7234-2023</t>
        </is>
      </c>
      <c r="B347" s="1" t="n">
        <v>44970</v>
      </c>
      <c r="C347" s="1" t="n">
        <v>45294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8026-2023</t>
        </is>
      </c>
      <c r="B348" s="1" t="n">
        <v>44973</v>
      </c>
      <c r="C348" s="1" t="n">
        <v>45294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10707-2023</t>
        </is>
      </c>
      <c r="B349" s="1" t="n">
        <v>44984</v>
      </c>
      <c r="C349" s="1" t="n">
        <v>45294</v>
      </c>
      <c r="D349" t="inlineStr">
        <is>
          <t>NORRBOTTENS LÄN</t>
        </is>
      </c>
      <c r="E349" t="inlineStr">
        <is>
          <t>ÖVERKALIX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10711-2023</t>
        </is>
      </c>
      <c r="B350" s="1" t="n">
        <v>44984</v>
      </c>
      <c r="C350" s="1" t="n">
        <v>45294</v>
      </c>
      <c r="D350" t="inlineStr">
        <is>
          <t>NORRBOTTENS LÄN</t>
        </is>
      </c>
      <c r="E350" t="inlineStr">
        <is>
          <t>ÖVERKALIX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10720-2023</t>
        </is>
      </c>
      <c r="B351" s="1" t="n">
        <v>44984</v>
      </c>
      <c r="C351" s="1" t="n">
        <v>45294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11919-2023</t>
        </is>
      </c>
      <c r="B352" s="1" t="n">
        <v>44993</v>
      </c>
      <c r="C352" s="1" t="n">
        <v>45294</v>
      </c>
      <c r="D352" t="inlineStr">
        <is>
          <t>NORRBOTTENS LÄN</t>
        </is>
      </c>
      <c r="E352" t="inlineStr">
        <is>
          <t>ÖVERKALIX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11915-2023</t>
        </is>
      </c>
      <c r="B353" s="1" t="n">
        <v>44993</v>
      </c>
      <c r="C353" s="1" t="n">
        <v>45294</v>
      </c>
      <c r="D353" t="inlineStr">
        <is>
          <t>NORRBOTTENS LÄN</t>
        </is>
      </c>
      <c r="E353" t="inlineStr">
        <is>
          <t>ÖVERKALIX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12035-2023</t>
        </is>
      </c>
      <c r="B354" s="1" t="n">
        <v>44995</v>
      </c>
      <c r="C354" s="1" t="n">
        <v>45294</v>
      </c>
      <c r="D354" t="inlineStr">
        <is>
          <t>NORRBOTTENS LÄN</t>
        </is>
      </c>
      <c r="E354" t="inlineStr">
        <is>
          <t>ÖVERKALIX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13372-2023</t>
        </is>
      </c>
      <c r="B355" s="1" t="n">
        <v>45005</v>
      </c>
      <c r="C355" s="1" t="n">
        <v>45294</v>
      </c>
      <c r="D355" t="inlineStr">
        <is>
          <t>NORRBOTTENS LÄN</t>
        </is>
      </c>
      <c r="E355" t="inlineStr">
        <is>
          <t>ÖVERKALIX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14255-2023</t>
        </is>
      </c>
      <c r="B356" s="1" t="n">
        <v>45009</v>
      </c>
      <c r="C356" s="1" t="n">
        <v>45294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21562-2023</t>
        </is>
      </c>
      <c r="B357" s="1" t="n">
        <v>45061</v>
      </c>
      <c r="C357" s="1" t="n">
        <v>45294</v>
      </c>
      <c r="D357" t="inlineStr">
        <is>
          <t>NORRBOTTENS LÄN</t>
        </is>
      </c>
      <c r="E357" t="inlineStr">
        <is>
          <t>ÖVERKALIX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21515-2023</t>
        </is>
      </c>
      <c r="B358" s="1" t="n">
        <v>45063</v>
      </c>
      <c r="C358" s="1" t="n">
        <v>45294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21514-2023</t>
        </is>
      </c>
      <c r="B359" s="1" t="n">
        <v>45063</v>
      </c>
      <c r="C359" s="1" t="n">
        <v>45294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21559-2023</t>
        </is>
      </c>
      <c r="B360" s="1" t="n">
        <v>45063</v>
      </c>
      <c r="C360" s="1" t="n">
        <v>45294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22470-2023</t>
        </is>
      </c>
      <c r="B361" s="1" t="n">
        <v>45070</v>
      </c>
      <c r="C361" s="1" t="n">
        <v>45294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22768-2023</t>
        </is>
      </c>
      <c r="B362" s="1" t="n">
        <v>45072</v>
      </c>
      <c r="C362" s="1" t="n">
        <v>45294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36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23292-2023</t>
        </is>
      </c>
      <c r="B363" s="1" t="n">
        <v>45075</v>
      </c>
      <c r="C363" s="1" t="n">
        <v>45294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23293-2023</t>
        </is>
      </c>
      <c r="B364" s="1" t="n">
        <v>45076</v>
      </c>
      <c r="C364" s="1" t="n">
        <v>45294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23302-2023</t>
        </is>
      </c>
      <c r="B365" s="1" t="n">
        <v>45075</v>
      </c>
      <c r="C365" s="1" t="n">
        <v>45294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23324-2023</t>
        </is>
      </c>
      <c r="B366" s="1" t="n">
        <v>45076</v>
      </c>
      <c r="C366" s="1" t="n">
        <v>45294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Övriga statliga verk och myndigheter</t>
        </is>
      </c>
      <c r="G366" t="n">
        <v>38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23964-2023</t>
        </is>
      </c>
      <c r="B367" s="1" t="n">
        <v>45078</v>
      </c>
      <c r="C367" s="1" t="n">
        <v>45294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24050-2023</t>
        </is>
      </c>
      <c r="B368" s="1" t="n">
        <v>45079</v>
      </c>
      <c r="C368" s="1" t="n">
        <v>45294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24892-2023</t>
        </is>
      </c>
      <c r="B369" s="1" t="n">
        <v>45078</v>
      </c>
      <c r="C369" s="1" t="n">
        <v>45294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24760-2023</t>
        </is>
      </c>
      <c r="B370" s="1" t="n">
        <v>45084</v>
      </c>
      <c r="C370" s="1" t="n">
        <v>45294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24865-2023</t>
        </is>
      </c>
      <c r="B371" s="1" t="n">
        <v>45085</v>
      </c>
      <c r="C371" s="1" t="n">
        <v>45294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26140-2023</t>
        </is>
      </c>
      <c r="B372" s="1" t="n">
        <v>45086</v>
      </c>
      <c r="C372" s="1" t="n">
        <v>45294</v>
      </c>
      <c r="D372" t="inlineStr">
        <is>
          <t>NORRBOTTENS LÄN</t>
        </is>
      </c>
      <c r="E372" t="inlineStr">
        <is>
          <t>ÖVERKALIX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26552-2023</t>
        </is>
      </c>
      <c r="B373" s="1" t="n">
        <v>45092</v>
      </c>
      <c r="C373" s="1" t="n">
        <v>45294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26554-2023</t>
        </is>
      </c>
      <c r="B374" s="1" t="n">
        <v>45092</v>
      </c>
      <c r="C374" s="1" t="n">
        <v>45294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27062-2023</t>
        </is>
      </c>
      <c r="B375" s="1" t="n">
        <v>45096</v>
      </c>
      <c r="C375" s="1" t="n">
        <v>45294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27066-2023</t>
        </is>
      </c>
      <c r="B376" s="1" t="n">
        <v>45096</v>
      </c>
      <c r="C376" s="1" t="n">
        <v>45294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27680-2023</t>
        </is>
      </c>
      <c r="B377" s="1" t="n">
        <v>45097</v>
      </c>
      <c r="C377" s="1" t="n">
        <v>45294</v>
      </c>
      <c r="D377" t="inlineStr">
        <is>
          <t>NORRBOTTENS LÄN</t>
        </is>
      </c>
      <c r="E377" t="inlineStr">
        <is>
          <t>ÖVERKALIX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27681-2023</t>
        </is>
      </c>
      <c r="B378" s="1" t="n">
        <v>45097</v>
      </c>
      <c r="C378" s="1" t="n">
        <v>45294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31655-2023</t>
        </is>
      </c>
      <c r="B379" s="1" t="n">
        <v>45105</v>
      </c>
      <c r="C379" s="1" t="n">
        <v>45294</v>
      </c>
      <c r="D379" t="inlineStr">
        <is>
          <t>NORRBOTTENS LÄN</t>
        </is>
      </c>
      <c r="E379" t="inlineStr">
        <is>
          <t>ÖVERKALIX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29960-2023</t>
        </is>
      </c>
      <c r="B380" s="1" t="n">
        <v>45108</v>
      </c>
      <c r="C380" s="1" t="n">
        <v>45294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29961-2023</t>
        </is>
      </c>
      <c r="B381" s="1" t="n">
        <v>45108</v>
      </c>
      <c r="C381" s="1" t="n">
        <v>45294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30600-2023</t>
        </is>
      </c>
      <c r="B382" s="1" t="n">
        <v>45112</v>
      </c>
      <c r="C382" s="1" t="n">
        <v>45294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23.2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32480-2023</t>
        </is>
      </c>
      <c r="B383" s="1" t="n">
        <v>45121</v>
      </c>
      <c r="C383" s="1" t="n">
        <v>45294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33865-2023</t>
        </is>
      </c>
      <c r="B384" s="1" t="n">
        <v>45134</v>
      </c>
      <c r="C384" s="1" t="n">
        <v>45294</v>
      </c>
      <c r="D384" t="inlineStr">
        <is>
          <t>NORRBOTTENS LÄN</t>
        </is>
      </c>
      <c r="E384" t="inlineStr">
        <is>
          <t>ÖVERKALIX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34093-2023</t>
        </is>
      </c>
      <c r="B385" s="1" t="n">
        <v>45135</v>
      </c>
      <c r="C385" s="1" t="n">
        <v>45294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34911-2023</t>
        </is>
      </c>
      <c r="B386" s="1" t="n">
        <v>45141</v>
      </c>
      <c r="C386" s="1" t="n">
        <v>45294</v>
      </c>
      <c r="D386" t="inlineStr">
        <is>
          <t>NORRBOTTENS LÄN</t>
        </is>
      </c>
      <c r="E386" t="inlineStr">
        <is>
          <t>ÖVERKALIX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34938-2023</t>
        </is>
      </c>
      <c r="B387" s="1" t="n">
        <v>45142</v>
      </c>
      <c r="C387" s="1" t="n">
        <v>45294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36839-2023</t>
        </is>
      </c>
      <c r="B388" s="1" t="n">
        <v>45153</v>
      </c>
      <c r="C388" s="1" t="n">
        <v>45294</v>
      </c>
      <c r="D388" t="inlineStr">
        <is>
          <t>NORRBOTTENS LÄN</t>
        </is>
      </c>
      <c r="E388" t="inlineStr">
        <is>
          <t>ÖVERKALIX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36800-2023</t>
        </is>
      </c>
      <c r="B389" s="1" t="n">
        <v>45154</v>
      </c>
      <c r="C389" s="1" t="n">
        <v>45294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36797-2023</t>
        </is>
      </c>
      <c r="B390" s="1" t="n">
        <v>45154</v>
      </c>
      <c r="C390" s="1" t="n">
        <v>45294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36803-2023</t>
        </is>
      </c>
      <c r="B391" s="1" t="n">
        <v>45154</v>
      </c>
      <c r="C391" s="1" t="n">
        <v>45294</v>
      </c>
      <c r="D391" t="inlineStr">
        <is>
          <t>NORRBOTTENS LÄN</t>
        </is>
      </c>
      <c r="E391" t="inlineStr">
        <is>
          <t>ÖVERKALIX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38088-2023</t>
        </is>
      </c>
      <c r="B392" s="1" t="n">
        <v>45161</v>
      </c>
      <c r="C392" s="1" t="n">
        <v>45294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40329-2023</t>
        </is>
      </c>
      <c r="B393" s="1" t="n">
        <v>45169</v>
      </c>
      <c r="C393" s="1" t="n">
        <v>45294</v>
      </c>
      <c r="D393" t="inlineStr">
        <is>
          <t>NORRBOTTENS LÄN</t>
        </is>
      </c>
      <c r="E393" t="inlineStr">
        <is>
          <t>ÖVERKALIX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43173-2023</t>
        </is>
      </c>
      <c r="B394" s="1" t="n">
        <v>45180</v>
      </c>
      <c r="C394" s="1" t="n">
        <v>45294</v>
      </c>
      <c r="D394" t="inlineStr">
        <is>
          <t>NORRBOTTENS LÄN</t>
        </is>
      </c>
      <c r="E394" t="inlineStr">
        <is>
          <t>ÖVERKALIX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42721-2023</t>
        </is>
      </c>
      <c r="B395" s="1" t="n">
        <v>45181</v>
      </c>
      <c r="C395" s="1" t="n">
        <v>45294</v>
      </c>
      <c r="D395" t="inlineStr">
        <is>
          <t>NORRBOTTENS LÄN</t>
        </is>
      </c>
      <c r="E395" t="inlineStr">
        <is>
          <t>ÖVERKALIX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43099-2023</t>
        </is>
      </c>
      <c r="B396" s="1" t="n">
        <v>45182</v>
      </c>
      <c r="C396" s="1" t="n">
        <v>45294</v>
      </c>
      <c r="D396" t="inlineStr">
        <is>
          <t>NORRBOTTENS LÄN</t>
        </is>
      </c>
      <c r="E396" t="inlineStr">
        <is>
          <t>ÖVERKALIX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43110-2023</t>
        </is>
      </c>
      <c r="B397" s="1" t="n">
        <v>45183</v>
      </c>
      <c r="C397" s="1" t="n">
        <v>45294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43111-2023</t>
        </is>
      </c>
      <c r="B398" s="1" t="n">
        <v>45183</v>
      </c>
      <c r="C398" s="1" t="n">
        <v>45294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43899-2023</t>
        </is>
      </c>
      <c r="B399" s="1" t="n">
        <v>45187</v>
      </c>
      <c r="C399" s="1" t="n">
        <v>45294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31.9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44265-2023</t>
        </is>
      </c>
      <c r="B400" s="1" t="n">
        <v>45188</v>
      </c>
      <c r="C400" s="1" t="n">
        <v>45294</v>
      </c>
      <c r="D400" t="inlineStr">
        <is>
          <t>NORRBOTTENS LÄN</t>
        </is>
      </c>
      <c r="E400" t="inlineStr">
        <is>
          <t>ÖVERKALIX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44273-2023</t>
        </is>
      </c>
      <c r="B401" s="1" t="n">
        <v>45188</v>
      </c>
      <c r="C401" s="1" t="n">
        <v>45294</v>
      </c>
      <c r="D401" t="inlineStr">
        <is>
          <t>NORRBOTTENS LÄN</t>
        </is>
      </c>
      <c r="E401" t="inlineStr">
        <is>
          <t>ÖVERKALIX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44554-2023</t>
        </is>
      </c>
      <c r="B402" s="1" t="n">
        <v>45189</v>
      </c>
      <c r="C402" s="1" t="n">
        <v>45294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45767-2023</t>
        </is>
      </c>
      <c r="B403" s="1" t="n">
        <v>45189</v>
      </c>
      <c r="C403" s="1" t="n">
        <v>45294</v>
      </c>
      <c r="D403" t="inlineStr">
        <is>
          <t>NORRBOTTENS LÄN</t>
        </is>
      </c>
      <c r="E403" t="inlineStr">
        <is>
          <t>ÖVERKALIX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45748-2023</t>
        </is>
      </c>
      <c r="B404" s="1" t="n">
        <v>45189</v>
      </c>
      <c r="C404" s="1" t="n">
        <v>45294</v>
      </c>
      <c r="D404" t="inlineStr">
        <is>
          <t>NORRBOTTENS LÄN</t>
        </is>
      </c>
      <c r="E404" t="inlineStr">
        <is>
          <t>ÖVERKALIX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45845-2023</t>
        </is>
      </c>
      <c r="B405" s="1" t="n">
        <v>45195</v>
      </c>
      <c r="C405" s="1" t="n">
        <v>45294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45934-2023</t>
        </is>
      </c>
      <c r="B406" s="1" t="n">
        <v>45196</v>
      </c>
      <c r="C406" s="1" t="n">
        <v>45294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45935-2023</t>
        </is>
      </c>
      <c r="B407" s="1" t="n">
        <v>45196</v>
      </c>
      <c r="C407" s="1" t="n">
        <v>45294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47485-2023</t>
        </is>
      </c>
      <c r="B408" s="1" t="n">
        <v>45203</v>
      </c>
      <c r="C408" s="1" t="n">
        <v>45294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47700-2023</t>
        </is>
      </c>
      <c r="B409" s="1" t="n">
        <v>45203</v>
      </c>
      <c r="C409" s="1" t="n">
        <v>45294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47706-2023</t>
        </is>
      </c>
      <c r="B410" s="1" t="n">
        <v>45203</v>
      </c>
      <c r="C410" s="1" t="n">
        <v>45294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47791-2023</t>
        </is>
      </c>
      <c r="B411" s="1" t="n">
        <v>45204</v>
      </c>
      <c r="C411" s="1" t="n">
        <v>45294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47790-2023</t>
        </is>
      </c>
      <c r="B412" s="1" t="n">
        <v>45204</v>
      </c>
      <c r="C412" s="1" t="n">
        <v>45294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49473-2023</t>
        </is>
      </c>
      <c r="B413" s="1" t="n">
        <v>45205</v>
      </c>
      <c r="C413" s="1" t="n">
        <v>45294</v>
      </c>
      <c r="D413" t="inlineStr">
        <is>
          <t>NORRBOTTENS LÄN</t>
        </is>
      </c>
      <c r="E413" t="inlineStr">
        <is>
          <t>ÖVERKALIX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49425-2023</t>
        </is>
      </c>
      <c r="B414" s="1" t="n">
        <v>45205</v>
      </c>
      <c r="C414" s="1" t="n">
        <v>45294</v>
      </c>
      <c r="D414" t="inlineStr">
        <is>
          <t>NORRBOTTENS LÄN</t>
        </is>
      </c>
      <c r="E414" t="inlineStr">
        <is>
          <t>ÖVERKALIX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48577-2023</t>
        </is>
      </c>
      <c r="B415" s="1" t="n">
        <v>45208</v>
      </c>
      <c r="C415" s="1" t="n">
        <v>45294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48576-2023</t>
        </is>
      </c>
      <c r="B416" s="1" t="n">
        <v>45208</v>
      </c>
      <c r="C416" s="1" t="n">
        <v>45294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49422-2023</t>
        </is>
      </c>
      <c r="B417" s="1" t="n">
        <v>45211</v>
      </c>
      <c r="C417" s="1" t="n">
        <v>45294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49865-2023</t>
        </is>
      </c>
      <c r="B418" s="1" t="n">
        <v>45213</v>
      </c>
      <c r="C418" s="1" t="n">
        <v>45294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45294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51725-2023</t>
        </is>
      </c>
      <c r="B420" s="1" t="n">
        <v>45222</v>
      </c>
      <c r="C420" s="1" t="n">
        <v>45294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51721-2023</t>
        </is>
      </c>
      <c r="B421" s="1" t="n">
        <v>45222</v>
      </c>
      <c r="C421" s="1" t="n">
        <v>45294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45294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52227-2023</t>
        </is>
      </c>
      <c r="B423" s="1" t="n">
        <v>45224</v>
      </c>
      <c r="C423" s="1" t="n">
        <v>45294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52620-2023</t>
        </is>
      </c>
      <c r="B424" s="1" t="n">
        <v>45225</v>
      </c>
      <c r="C424" s="1" t="n">
        <v>45294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54026-2023</t>
        </is>
      </c>
      <c r="B425" s="1" t="n">
        <v>45231</v>
      </c>
      <c r="C425" s="1" t="n">
        <v>45294</v>
      </c>
      <c r="D425" t="inlineStr">
        <is>
          <t>NORRBOTTENS LÄN</t>
        </is>
      </c>
      <c r="E425" t="inlineStr">
        <is>
          <t>ÖVERKALIX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54025-2023</t>
        </is>
      </c>
      <c r="B426" s="1" t="n">
        <v>45231</v>
      </c>
      <c r="C426" s="1" t="n">
        <v>45294</v>
      </c>
      <c r="D426" t="inlineStr">
        <is>
          <t>NORRBOTTENS LÄN</t>
        </is>
      </c>
      <c r="E426" t="inlineStr">
        <is>
          <t>ÖVERKALIX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55642-2023</t>
        </is>
      </c>
      <c r="B427" s="1" t="n">
        <v>45238</v>
      </c>
      <c r="C427" s="1" t="n">
        <v>45294</v>
      </c>
      <c r="D427" t="inlineStr">
        <is>
          <t>NORRBOTTENS LÄN</t>
        </is>
      </c>
      <c r="E427" t="inlineStr">
        <is>
          <t>ÖVERKALIX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57966-2023</t>
        </is>
      </c>
      <c r="B428" s="1" t="n">
        <v>45244</v>
      </c>
      <c r="C428" s="1" t="n">
        <v>45294</v>
      </c>
      <c r="D428" t="inlineStr">
        <is>
          <t>NORRBOTTENS LÄN</t>
        </is>
      </c>
      <c r="E428" t="inlineStr">
        <is>
          <t>ÖVERKALIX</t>
        </is>
      </c>
      <c r="G428" t="n">
        <v>21.7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58273-2023</t>
        </is>
      </c>
      <c r="B429" s="1" t="n">
        <v>45250</v>
      </c>
      <c r="C429" s="1" t="n">
        <v>45294</v>
      </c>
      <c r="D429" t="inlineStr">
        <is>
          <t>NORRBOTTENS LÄN</t>
        </is>
      </c>
      <c r="E429" t="inlineStr">
        <is>
          <t>ÖVERKALIX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58764-2023</t>
        </is>
      </c>
      <c r="B430" s="1" t="n">
        <v>45251</v>
      </c>
      <c r="C430" s="1" t="n">
        <v>45294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58763-2023</t>
        </is>
      </c>
      <c r="B431" s="1" t="n">
        <v>45251</v>
      </c>
      <c r="C431" s="1" t="n">
        <v>45294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60970-2023</t>
        </is>
      </c>
      <c r="B432" s="1" t="n">
        <v>45261</v>
      </c>
      <c r="C432" s="1" t="n">
        <v>45294</v>
      </c>
      <c r="D432" t="inlineStr">
        <is>
          <t>NORRBOTTENS LÄN</t>
        </is>
      </c>
      <c r="E432" t="inlineStr">
        <is>
          <t>ÖVERKALIX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60965-2023</t>
        </is>
      </c>
      <c r="B433" s="1" t="n">
        <v>45261</v>
      </c>
      <c r="C433" s="1" t="n">
        <v>45294</v>
      </c>
      <c r="D433" t="inlineStr">
        <is>
          <t>NORRBOTTENS LÄN</t>
        </is>
      </c>
      <c r="E433" t="inlineStr">
        <is>
          <t>ÖVERKALIX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61548-2023</t>
        </is>
      </c>
      <c r="B434" s="1" t="n">
        <v>45265</v>
      </c>
      <c r="C434" s="1" t="n">
        <v>45294</v>
      </c>
      <c r="D434" t="inlineStr">
        <is>
          <t>NORRBOTTENS LÄN</t>
        </is>
      </c>
      <c r="E434" t="inlineStr">
        <is>
          <t>ÖVERKALIX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62384-2023</t>
        </is>
      </c>
      <c r="B435" s="1" t="n">
        <v>45266</v>
      </c>
      <c r="C435" s="1" t="n">
        <v>45294</v>
      </c>
      <c r="D435" t="inlineStr">
        <is>
          <t>NORRBOTTENS LÄN</t>
        </is>
      </c>
      <c r="E435" t="inlineStr">
        <is>
          <t>ÖVERKALIX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62548-2023</t>
        </is>
      </c>
      <c r="B436" s="1" t="n">
        <v>45268</v>
      </c>
      <c r="C436" s="1" t="n">
        <v>45294</v>
      </c>
      <c r="D436" t="inlineStr">
        <is>
          <t>NORRBOTTENS LÄN</t>
        </is>
      </c>
      <c r="E436" t="inlineStr">
        <is>
          <t>ÖVERKALIX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62556-2023</t>
        </is>
      </c>
      <c r="B437" s="1" t="n">
        <v>45268</v>
      </c>
      <c r="C437" s="1" t="n">
        <v>45294</v>
      </c>
      <c r="D437" t="inlineStr">
        <is>
          <t>NORRBOTTENS LÄN</t>
        </is>
      </c>
      <c r="E437" t="inlineStr">
        <is>
          <t>ÖVERKALIX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62549-2023</t>
        </is>
      </c>
      <c r="B438" s="1" t="n">
        <v>45268</v>
      </c>
      <c r="C438" s="1" t="n">
        <v>45294</v>
      </c>
      <c r="D438" t="inlineStr">
        <is>
          <t>NORRBOTTENS LÄN</t>
        </is>
      </c>
      <c r="E438" t="inlineStr">
        <is>
          <t>ÖVERKALIX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45294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63491-2023</t>
        </is>
      </c>
      <c r="B440" s="1" t="n">
        <v>45274</v>
      </c>
      <c r="C440" s="1" t="n">
        <v>45294</v>
      </c>
      <c r="D440" t="inlineStr">
        <is>
          <t>NORRBOTTENS LÄN</t>
        </is>
      </c>
      <c r="E440" t="inlineStr">
        <is>
          <t>ÖVERKALIX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64524-2023</t>
        </is>
      </c>
      <c r="B441" s="1" t="n">
        <v>45281</v>
      </c>
      <c r="C441" s="1" t="n">
        <v>45294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64797-2023</t>
        </is>
      </c>
      <c r="B442" s="1" t="n">
        <v>45282</v>
      </c>
      <c r="C442" s="1" t="n">
        <v>45294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49-2024</t>
        </is>
      </c>
      <c r="B443" s="1" t="n">
        <v>45293</v>
      </c>
      <c r="C443" s="1" t="n">
        <v>45294</v>
      </c>
      <c r="D443" t="inlineStr">
        <is>
          <t>NORRBOTTENS LÄN</t>
        </is>
      </c>
      <c r="E443" t="inlineStr">
        <is>
          <t>ÖVERKALIX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2024-01-03T10:02:23Z</dcterms:created>
  <dcterms:modified xmlns:dcterms="http://purl.org/dc/terms/" xmlns:xsi="http://www.w3.org/2001/XMLSchema-instance" xsi:type="dcterms:W3CDTF">2024-01-03T10:02:23Z</dcterms:modified>
</cp:coreProperties>
</file>