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46224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46224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46224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46224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46224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46224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46224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t="n">
        <v>9</v>
      </c>
      <c r="V9" s="2" t="inlineStr">
        <is>
          <t>Goliatmusseron
Blå taggsvamp
Dropptaggsvamp
Motaggsvamp
Orange taggsvamp</t>
        </is>
      </c>
      <c r="W9">
        <f>HYPERLINK("https://klasma.github.io/Logging_2513/artfynd/A 38989-2023 artfynd.xlsx", "A 38989-2023")</f>
        <v/>
      </c>
      <c r="X9">
        <f>HYPERLINK("https://klasma.github.io/Logging_2513/kartor/A 38989-2023 karta.png", "A 38989-2023")</f>
        <v/>
      </c>
      <c r="Y9">
        <f>HYPERLINK("https://klasma.github.io/Logging_2513/kartor_geotiff/A 38989-2023 georefererad karta.tif", "A 38989-2023")</f>
        <v/>
      </c>
      <c r="AA9">
        <f>HYPERLINK("https://klasma.github.io/Logging_2513/klagomål/A 38989-2023 FSC-klagomål.docx", "A 38989-2023")</f>
        <v/>
      </c>
      <c r="AB9">
        <f>HYPERLINK("https://klasma.github.io/Logging_2513/klagomålsmail/A 38989-2023 FSC-klagomål mail.docx", "A 38989-2023")</f>
        <v/>
      </c>
      <c r="AC9">
        <f>HYPERLINK("https://klasma.github.io/Logging_2513/tillsyn/A 38989-2023 tillsynsbegäran.docx", "A 38989-2023")</f>
        <v/>
      </c>
      <c r="AD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46224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Tallgråticka
Blå taggsvamp
Dropptaggsvamp
Orange taggsvamp
Svartvit taggsvamp</t>
        </is>
      </c>
      <c r="W10">
        <f>HYPERLINK("https://klasma.github.io/Logging_2513/artfynd/A 49422-2023 artfynd.xlsx", "A 49422-2023")</f>
        <v/>
      </c>
      <c r="X10">
        <f>HYPERLINK("https://klasma.github.io/Logging_2513/kartor/A 49422-2023 karta.png", "A 49422-2023")</f>
        <v/>
      </c>
      <c r="Y10">
        <f>HYPERLINK("https://klasma.github.io/Logging_2513/kartor_geotiff/A 49422-2023 georefererad karta.tif", "A 49422-2023")</f>
        <v/>
      </c>
      <c r="AA10">
        <f>HYPERLINK("https://klasma.github.io/Logging_2513/klagomål/A 49422-2023 FSC-klagomål.docx", "A 49422-2023")</f>
        <v/>
      </c>
      <c r="AB10">
        <f>HYPERLINK("https://klasma.github.io/Logging_2513/klagomålsmail/A 49422-2023 FSC-klagomål mail.docx", "A 49422-2023")</f>
        <v/>
      </c>
      <c r="AC10">
        <f>HYPERLINK("https://klasma.github.io/Logging_2513/tillsyn/A 49422-2023 tillsynsbegäran.docx", "A 49422-2023")</f>
        <v/>
      </c>
      <c r="AD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46224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46224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46224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10</v>
      </c>
      <c r="U13" t="n">
        <v>10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46224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46224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46224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42861-2025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46224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3.7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 taggsvamp
Dropptaggsvamp
Skarp dropptaggsvamp</t>
        </is>
      </c>
      <c r="W17">
        <f>HYPERLINK("https://klasma.github.io/Logging_2513/artfynd/A 42861-2025 artfynd.xlsx", "A 42861-2025")</f>
        <v/>
      </c>
      <c r="X17">
        <f>HYPERLINK("https://klasma.github.io/Logging_2513/kartor/A 42861-2025 karta.png", "A 42861-2025")</f>
        <v/>
      </c>
      <c r="Y17">
        <f>HYPERLINK("https://klasma.github.io/Logging_2513/kartor_geotiff/A 42861-2025 georefererad karta.tif", "A 42861-2025")</f>
        <v/>
      </c>
      <c r="AA17">
        <f>HYPERLINK("https://klasma.github.io/Logging_2513/klagomål/A 42861-2025 FSC-klagomål.docx", "A 42861-2025")</f>
        <v/>
      </c>
      <c r="AB17">
        <f>HYPERLINK("https://klasma.github.io/Logging_2513/klagomålsmail/A 42861-2025 FSC-klagomål mail.docx", "A 42861-2025")</f>
        <v/>
      </c>
      <c r="AC17">
        <f>HYPERLINK("https://klasma.github.io/Logging_2513/tillsyn/A 42861-2025 tillsynsbegäran.docx", "A 42861-2025")</f>
        <v/>
      </c>
      <c r="AD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13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 taggsvamp
Dropptaggsvamp
Skarp dropptaggsvamp</t>
        </is>
      </c>
      <c r="W18">
        <f>HYPERLINK("https://klasma.github.io/Logging_2513/artfynd/A 42872-2025 artfynd.xlsx", "A 42872-2025")</f>
        <v/>
      </c>
      <c r="X18">
        <f>HYPERLINK("https://klasma.github.io/Logging_2513/kartor/A 42872-2025 karta.png", "A 42872-2025")</f>
        <v/>
      </c>
      <c r="Y18">
        <f>HYPERLINK("https://klasma.github.io/Logging_2513/kartor_geotiff/A 42872-2025 georefererad karta.tif", "A 42872-2025")</f>
        <v/>
      </c>
      <c r="AA18">
        <f>HYPERLINK("https://klasma.github.io/Logging_2513/klagomål/A 42872-2025 FSC-klagomål.docx", "A 42872-2025")</f>
        <v/>
      </c>
      <c r="AB18">
        <f>HYPERLINK("https://klasma.github.io/Logging_2513/klagomålsmail/A 42872-2025 FSC-klagomål mail.docx", "A 42872-2025")</f>
        <v/>
      </c>
      <c r="AC18">
        <f>HYPERLINK("https://klasma.github.io/Logging_2513/tillsyn/A 42872-2025 tillsynsbegäran.docx", "A 42872-2025")</f>
        <v/>
      </c>
      <c r="AD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46224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30525-2025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45831</v>
      </c>
      <c r="E20" s="1" t="n">
        <v>46224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5.3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Gammelgransskål
Bollvitmossa
Järpe</t>
        </is>
      </c>
      <c r="W20">
        <f>HYPERLINK("https://klasma.github.io/Logging_2513/artfynd/A 30525-2025 artfynd.xlsx", "A 30525-2025")</f>
        <v/>
      </c>
      <c r="X20">
        <f>HYPERLINK("https://klasma.github.io/Logging_2513/kartor/A 30525-2025 karta.png", "A 30525-2025")</f>
        <v/>
      </c>
      <c r="Y20">
        <f>HYPERLINK("https://klasma.github.io/Logging_2513/kartor_geotiff/A 30525-2025 georefererad karta.tif", "A 30525-2025")</f>
        <v/>
      </c>
      <c r="AA20">
        <f>HYPERLINK("https://klasma.github.io/Logging_2513/klagomål/A 30525-2025 FSC-klagomål.docx", "A 30525-2025")</f>
        <v/>
      </c>
      <c r="AB20">
        <f>HYPERLINK("https://klasma.github.io/Logging_2513/klagomålsmail/A 30525-2025 FSC-klagomål mail.docx", "A 30525-2025")</f>
        <v/>
      </c>
      <c r="AC20">
        <f>HYPERLINK("https://klasma.github.io/Logging_2513/tillsyn/A 30525-2025 tillsynsbegäran.docx", "A 30525-2025")</f>
        <v/>
      </c>
      <c r="AD20">
        <f>HYPERLINK("https://klasma.github.io/Logging_2513/tillsynsmail/A 30525-2025 tillsynsbegäran mail.docx", "A 30525-2025")</f>
        <v/>
      </c>
      <c r="AE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46224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46224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46224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46224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46224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60509-2021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44496</v>
      </c>
      <c r="E28" s="1" t="n">
        <v>46224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13.5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Stor aspticka
Vedticka</t>
        </is>
      </c>
      <c r="W28">
        <f>HYPERLINK("https://klasma.github.io/Logging_2513/artfynd/A 60509-2021 artfynd.xlsx", "A 60509-2021")</f>
        <v/>
      </c>
      <c r="X28">
        <f>HYPERLINK("https://klasma.github.io/Logging_2513/kartor/A 60509-2021 karta.png", "A 60509-2021")</f>
        <v/>
      </c>
      <c r="Y28">
        <f>HYPERLINK("https://klasma.github.io/Logging_2513/kartor_geotiff/A 60509-2021 georefererad karta.tif", "A 60509-2021")</f>
        <v/>
      </c>
      <c r="AA28">
        <f>HYPERLINK("https://klasma.github.io/Logging_2513/klagomål/A 60509-2021 FSC-klagomål.docx", "A 60509-2021")</f>
        <v/>
      </c>
      <c r="AB28">
        <f>HYPERLINK("https://klasma.github.io/Logging_2513/klagomålsmail/A 60509-2021 FSC-klagomål mail.docx", "A 60509-2021")</f>
        <v/>
      </c>
      <c r="AC28">
        <f>HYPERLINK("https://klasma.github.io/Logging_2513/tillsyn/A 60509-2021 tillsynsbegäran.docx", "A 60509-2021")</f>
        <v/>
      </c>
      <c r="AD28">
        <f>HYPERLINK("https://klasma.github.io/Logging_2513/tillsynsmail/A 60509-2021 tillsynsbegäran mail.docx", "A 60509-2021")</f>
        <v/>
      </c>
    </row>
    <row r="29" ht="15" customHeight="1">
      <c r="A29" t="inlineStr">
        <is>
          <t>A 62951-2025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46224</v>
      </c>
      <c r="F29" t="inlineStr">
        <is>
          <t>NORRBOTTENS LÄN</t>
        </is>
      </c>
      <c r="G29" t="inlineStr">
        <is>
          <t>ÖVERKALIX</t>
        </is>
      </c>
      <c r="H29" t="inlineStr">
        <is>
          <t>SCA</t>
        </is>
      </c>
      <c r="I29" t="n">
        <v>4.2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Ullticka</t>
        </is>
      </c>
      <c r="W29">
        <f>HYPERLINK("https://klasma.github.io/Logging_2513/artfynd/A 62951-2025 artfynd.xlsx", "A 62951-2025")</f>
        <v/>
      </c>
      <c r="X29">
        <f>HYPERLINK("https://klasma.github.io/Logging_2513/kartor/A 62951-2025 karta.png", "A 62951-2025")</f>
        <v/>
      </c>
      <c r="Y29">
        <f>HYPERLINK("https://klasma.github.io/Logging_2513/kartor_geotiff/A 62951-2025 georefererad karta.tif", "A 62951-2025")</f>
        <v/>
      </c>
      <c r="AA29">
        <f>HYPERLINK("https://klasma.github.io/Logging_2513/klagomål/A 62951-2025 FSC-klagomål.docx", "A 62951-2025")</f>
        <v/>
      </c>
      <c r="AB29">
        <f>HYPERLINK("https://klasma.github.io/Logging_2513/klagomålsmail/A 62951-2025 FSC-klagomål mail.docx", "A 62951-2025")</f>
        <v/>
      </c>
      <c r="AC29">
        <f>HYPERLINK("https://klasma.github.io/Logging_2513/tillsyn/A 62951-2025 tillsynsbegäran.docx", "A 62951-2025")</f>
        <v/>
      </c>
      <c r="AD29">
        <f>HYPERLINK("https://klasma.github.io/Logging_2513/tillsynsmail/A 62951-2025 tillsynsbegäran mail.docx", "A 62951-2025")</f>
        <v/>
      </c>
    </row>
    <row r="30" ht="15" customHeight="1">
      <c r="A30" t="inlineStr">
        <is>
          <t>A 40116-2025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46224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29.7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Lunglav
Skrovellav</t>
        </is>
      </c>
      <c r="W30">
        <f>HYPERLINK("https://klasma.github.io/Logging_2513/artfynd/A 40116-2025 artfynd.xlsx", "A 40116-2025")</f>
        <v/>
      </c>
      <c r="X30">
        <f>HYPERLINK("https://klasma.github.io/Logging_2513/kartor/A 40116-2025 karta.png", "A 40116-2025")</f>
        <v/>
      </c>
      <c r="Y30">
        <f>HYPERLINK("https://klasma.github.io/Logging_2513/kartor_geotiff/A 40116-2025 georefererad karta.tif", "A 40116-2025")</f>
        <v/>
      </c>
      <c r="AA30">
        <f>HYPERLINK("https://klasma.github.io/Logging_2513/klagomål/A 40116-2025 FSC-klagomål.docx", "A 40116-2025")</f>
        <v/>
      </c>
      <c r="AB30">
        <f>HYPERLINK("https://klasma.github.io/Logging_2513/klagomålsmail/A 40116-2025 FSC-klagomål mail.docx", "A 40116-2025")</f>
        <v/>
      </c>
      <c r="AC30">
        <f>HYPERLINK("https://klasma.github.io/Logging_2513/tillsyn/A 40116-2025 tillsynsbegäran.docx", "A 40116-2025")</f>
        <v/>
      </c>
      <c r="AD30">
        <f>HYPERLINK("https://klasma.github.io/Logging_2513/tillsynsmail/A 40116-2025 tillsynsbegäran mail.docx", "A 40116-2025")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46224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46224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40706-2023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45170</v>
      </c>
      <c r="E33" s="1" t="n">
        <v>46224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7.1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Dropptaggsvamp</t>
        </is>
      </c>
      <c r="W33">
        <f>HYPERLINK("https://klasma.github.io/Logging_2513/artfynd/A 40706-2023 artfynd.xlsx", "A 40706-2023")</f>
        <v/>
      </c>
      <c r="X33">
        <f>HYPERLINK("https://klasma.github.io/Logging_2513/kartor/A 40706-2023 karta.png", "A 40706-2023")</f>
        <v/>
      </c>
      <c r="Y33">
        <f>HYPERLINK("https://klasma.github.io/Logging_2513/kartor_geotiff/A 40706-2023 georefererad karta.tif", "A 40706-2023")</f>
        <v/>
      </c>
      <c r="Z33">
        <f>HYPERLINK("https://klasma.github.io/Logging_2513/knärot/A 40706-2023 karta knärot.png", "A 40706-2023")</f>
        <v/>
      </c>
      <c r="AA33">
        <f>HYPERLINK("https://klasma.github.io/Logging_2513/klagomål/A 40706-2023 FSC-klagomål.docx", "A 40706-2023")</f>
        <v/>
      </c>
      <c r="AB33">
        <f>HYPERLINK("https://klasma.github.io/Logging_2513/klagomålsmail/A 40706-2023 FSC-klagomål mail.docx", "A 40706-2023")</f>
        <v/>
      </c>
      <c r="AC33">
        <f>HYPERLINK("https://klasma.github.io/Logging_2513/tillsyn/A 40706-2023 tillsynsbegäran.docx", "A 40706-2023")</f>
        <v/>
      </c>
      <c r="AD33">
        <f>HYPERLINK("https://klasma.github.io/Logging_2513/tillsynsmail/A 40706-2023 tillsynsbegäran mail.docx", "A 40706-2023")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46224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46224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14152-2026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46224</v>
      </c>
      <c r="F36" t="inlineStr">
        <is>
          <t>NORRBOTTENS LÄN</t>
        </is>
      </c>
      <c r="G36" t="inlineStr">
        <is>
          <t>ÖVERKALIX</t>
        </is>
      </c>
      <c r="I36" t="n">
        <v>4.6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Källpraktmossa
Spädstarr</t>
        </is>
      </c>
      <c r="W36">
        <f>HYPERLINK("https://klasma.github.io/Logging_2513/artfynd/A 14152-2026 artfynd.xlsx", "A 14152-2026")</f>
        <v/>
      </c>
      <c r="X36">
        <f>HYPERLINK("https://klasma.github.io/Logging_2513/kartor/A 14152-2026 karta.png", "A 14152-2026")</f>
        <v/>
      </c>
      <c r="Y36">
        <f>HYPERLINK("https://klasma.github.io/Logging_2513/kartor_geotiff/A 14152-2026 georefererad karta.tif", "A 14152-2026")</f>
        <v/>
      </c>
      <c r="AA36">
        <f>HYPERLINK("https://klasma.github.io/Logging_2513/klagomål/A 14152-2026 FSC-klagomål.docx", "A 14152-2026")</f>
        <v/>
      </c>
      <c r="AB36">
        <f>HYPERLINK("https://klasma.github.io/Logging_2513/klagomålsmail/A 14152-2026 FSC-klagomål mail.docx", "A 14152-2026")</f>
        <v/>
      </c>
      <c r="AC36">
        <f>HYPERLINK("https://klasma.github.io/Logging_2513/tillsyn/A 14152-2026 tillsynsbegäran.docx", "A 14152-2026")</f>
        <v/>
      </c>
      <c r="AD36">
        <f>HYPERLINK("https://klasma.github.io/Logging_2513/tillsynsmail/A 14152-2026 tillsynsbegäran mail.docx", "A 14152-2026")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46224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46224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36378-2024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46224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21.5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Lunglav
Fläcknycklar</t>
        </is>
      </c>
      <c r="W39">
        <f>HYPERLINK("https://klasma.github.io/Logging_2513/artfynd/A 36378-2024 artfynd.xlsx", "A 36378-2024")</f>
        <v/>
      </c>
      <c r="X39">
        <f>HYPERLINK("https://klasma.github.io/Logging_2513/kartor/A 36378-2024 karta.png", "A 36378-2024")</f>
        <v/>
      </c>
      <c r="Y39">
        <f>HYPERLINK("https://klasma.github.io/Logging_2513/kartor_geotiff/A 36378-2024 georefererad karta.tif", "A 36378-2024")</f>
        <v/>
      </c>
      <c r="AA39">
        <f>HYPERLINK("https://klasma.github.io/Logging_2513/klagomål/A 36378-2024 FSC-klagomål.docx", "A 36378-2024")</f>
        <v/>
      </c>
      <c r="AB39">
        <f>HYPERLINK("https://klasma.github.io/Logging_2513/klagomålsmail/A 36378-2024 FSC-klagomål mail.docx", "A 36378-2024")</f>
        <v/>
      </c>
      <c r="AC39">
        <f>HYPERLINK("https://klasma.github.io/Logging_2513/tillsyn/A 36378-2024 tillsynsbegäran.docx", "A 36378-2024")</f>
        <v/>
      </c>
      <c r="AD39">
        <f>HYPERLINK("https://klasma.github.io/Logging_2513/tillsynsmail/A 36378-2024 tillsynsbegäran mail.docx", "A 36378-2024")</f>
        <v/>
      </c>
    </row>
    <row r="40" ht="15" customHeight="1">
      <c r="A40" t="inlineStr">
        <is>
          <t>A 36381-2024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46224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26.7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Gammelgransskål
Orre</t>
        </is>
      </c>
      <c r="W40">
        <f>HYPERLINK("https://klasma.github.io/Logging_2513/artfynd/A 36381-2024 artfynd.xlsx", "A 36381-2024")</f>
        <v/>
      </c>
      <c r="X40">
        <f>HYPERLINK("https://klasma.github.io/Logging_2513/kartor/A 36381-2024 karta.png", "A 36381-2024")</f>
        <v/>
      </c>
      <c r="Y40">
        <f>HYPERLINK("https://klasma.github.io/Logging_2513/kartor_geotiff/A 36381-2024 georefererad karta.tif", "A 36381-2024")</f>
        <v/>
      </c>
      <c r="AA40">
        <f>HYPERLINK("https://klasma.github.io/Logging_2513/klagomål/A 36381-2024 FSC-klagomål.docx", "A 36381-2024")</f>
        <v/>
      </c>
      <c r="AB40">
        <f>HYPERLINK("https://klasma.github.io/Logging_2513/klagomålsmail/A 36381-2024 FSC-klagomål mail.docx", "A 36381-2024")</f>
        <v/>
      </c>
      <c r="AC40">
        <f>HYPERLINK("https://klasma.github.io/Logging_2513/tillsyn/A 36381-2024 tillsynsbegäran.docx", "A 36381-2024")</f>
        <v/>
      </c>
      <c r="AD40">
        <f>HYPERLINK("https://klasma.github.io/Logging_2513/tillsynsmail/A 36381-2024 tillsynsbegäran mail.docx", "A 36381-2024")</f>
        <v/>
      </c>
      <c r="AE40">
        <f>HYPERLINK("https://klasma.github.io/Logging_2513/fåglar/A 36381-2024 prioriterade fågelarter.docx", "A 36381-2024")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46224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50691-2024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46224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Vedticka</t>
        </is>
      </c>
      <c r="W43">
        <f>HYPERLINK("https://klasma.github.io/Logging_2513/artfynd/A 50691-2024 artfynd.xlsx", "A 50691-2024")</f>
        <v/>
      </c>
      <c r="X43">
        <f>HYPERLINK("https://klasma.github.io/Logging_2513/kartor/A 50691-2024 karta.png", "A 50691-2024")</f>
        <v/>
      </c>
      <c r="Y43">
        <f>HYPERLINK("https://klasma.github.io/Logging_2513/kartor_geotiff/A 50691-2024 georefererad karta.tif", "A 50691-2024")</f>
        <v/>
      </c>
      <c r="AA43">
        <f>HYPERLINK("https://klasma.github.io/Logging_2513/klagomål/A 50691-2024 FSC-klagomål.docx", "A 50691-2024")</f>
        <v/>
      </c>
      <c r="AB43">
        <f>HYPERLINK("https://klasma.github.io/Logging_2513/klagomålsmail/A 50691-2024 FSC-klagomål mail.docx", "A 50691-2024")</f>
        <v/>
      </c>
      <c r="AC43">
        <f>HYPERLINK("https://klasma.github.io/Logging_2513/tillsyn/A 50691-2024 tillsynsbegäran.docx", "A 50691-2024")</f>
        <v/>
      </c>
      <c r="AD43">
        <f>HYPERLINK("https://klasma.github.io/Logging_2513/tillsynsmail/A 50691-2024 tillsynsbegäran mail.docx", "A 50691-2024")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46224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26305-2025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46224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5.2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Luddlav</t>
        </is>
      </c>
      <c r="W46">
        <f>HYPERLINK("https://klasma.github.io/Logging_2513/artfynd/A 26305-2025 artfynd.xlsx", "A 26305-2025")</f>
        <v/>
      </c>
      <c r="X46">
        <f>HYPERLINK("https://klasma.github.io/Logging_2513/kartor/A 26305-2025 karta.png", "A 26305-2025")</f>
        <v/>
      </c>
      <c r="Y46">
        <f>HYPERLINK("https://klasma.github.io/Logging_2513/kartor_geotiff/A 26305-2025 georefererad karta.tif", "A 26305-2025")</f>
        <v/>
      </c>
      <c r="AA46">
        <f>HYPERLINK("https://klasma.github.io/Logging_2513/klagomål/A 26305-2025 FSC-klagomål.docx", "A 26305-2025")</f>
        <v/>
      </c>
      <c r="AB46">
        <f>HYPERLINK("https://klasma.github.io/Logging_2513/klagomålsmail/A 26305-2025 FSC-klagomål mail.docx", "A 26305-2025")</f>
        <v/>
      </c>
      <c r="AC46">
        <f>HYPERLINK("https://klasma.github.io/Logging_2513/tillsyn/A 26305-2025 tillsynsbegäran.docx", "A 26305-2025")</f>
        <v/>
      </c>
      <c r="AD46">
        <f>HYPERLINK("https://klasma.github.io/Logging_2513/tillsynsmail/A 26305-2025 tillsynsbegäran mail.docx", "A 26305-2025")</f>
        <v/>
      </c>
    </row>
    <row r="47" ht="15" customHeight="1">
      <c r="A47" t="inlineStr">
        <is>
          <t>A 27452-2025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45813</v>
      </c>
      <c r="E47" s="1" t="n">
        <v>46224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6.3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HYPERLINK("https://klasma.github.io/Logging_2513/artfynd/A 27452-2025 artfynd.xlsx", "A 27452-2025")</f>
        <v/>
      </c>
      <c r="X47">
        <f>HYPERLINK("https://klasma.github.io/Logging_2513/kartor/A 27452-2025 karta.png", "A 27452-2025")</f>
        <v/>
      </c>
      <c r="Y47">
        <f>HYPERLINK("https://klasma.github.io/Logging_2513/kartor_geotiff/A 27452-2025 georefererad karta.tif", "A 27452-2025")</f>
        <v/>
      </c>
      <c r="AA47">
        <f>HYPERLINK("https://klasma.github.io/Logging_2513/klagomål/A 27452-2025 FSC-klagomål.docx", "A 27452-2025")</f>
        <v/>
      </c>
      <c r="AB47">
        <f>HYPERLINK("https://klasma.github.io/Logging_2513/klagomålsmail/A 27452-2025 FSC-klagomål mail.docx", "A 27452-2025")</f>
        <v/>
      </c>
      <c r="AC47">
        <f>HYPERLINK("https://klasma.github.io/Logging_2513/tillsyn/A 27452-2025 tillsynsbegäran.docx", "A 27452-2025")</f>
        <v/>
      </c>
      <c r="AD47">
        <f>HYPERLINK("https://klasma.github.io/Logging_2513/tillsynsmail/A 27452-2025 tillsynsbegäran mail.docx", "A 27452-2025")</f>
        <v/>
      </c>
      <c r="AE47">
        <f>HYPERLINK("https://klasma.github.io/Logging_2513/fåglar/A 27452-2025 prioriterade fågelarter.docx", "A 27452-2025")</f>
        <v/>
      </c>
    </row>
    <row r="48" ht="15" customHeight="1">
      <c r="A48" t="inlineStr">
        <is>
          <t>A 22977-2022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44717</v>
      </c>
      <c r="E48" s="1" t="n">
        <v>46224</v>
      </c>
      <c r="F48" t="inlineStr">
        <is>
          <t>NORRBOTTENS LÄN</t>
        </is>
      </c>
      <c r="G48" t="inlineStr">
        <is>
          <t>ÖVERKALIX</t>
        </is>
      </c>
      <c r="I48" t="n">
        <v>19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Bivråk</t>
        </is>
      </c>
      <c r="W48">
        <f>HYPERLINK("https://klasma.github.io/Logging_2513/artfynd/A 22977-2022 artfynd.xlsx", "A 22977-2022")</f>
        <v/>
      </c>
      <c r="X48">
        <f>HYPERLINK("https://klasma.github.io/Logging_2513/kartor/A 22977-2022 karta.png", "A 22977-2022")</f>
        <v/>
      </c>
      <c r="Y48">
        <f>HYPERLINK("https://klasma.github.io/Logging_2513/kartor_geotiff/A 22977-2022 georefererad karta.tif", "A 22977-2022")</f>
        <v/>
      </c>
      <c r="AA48">
        <f>HYPERLINK("https://klasma.github.io/Logging_2513/klagomål/A 22977-2022 FSC-klagomål.docx", "A 22977-2022")</f>
        <v/>
      </c>
      <c r="AB48">
        <f>HYPERLINK("https://klasma.github.io/Logging_2513/klagomålsmail/A 22977-2022 FSC-klagomål mail.docx", "A 22977-2022")</f>
        <v/>
      </c>
      <c r="AC48">
        <f>HYPERLINK("https://klasma.github.io/Logging_2513/tillsyn/A 22977-2022 tillsynsbegäran.docx", "A 22977-2022")</f>
        <v/>
      </c>
      <c r="AD48">
        <f>HYPERLINK("https://klasma.github.io/Logging_2513/tillsynsmail/A 22977-2022 tillsynsbegäran mail.docx", "A 22977-2022")</f>
        <v/>
      </c>
      <c r="AE48">
        <f>HYPERLINK("https://klasma.github.io/Logging_2513/fåglar/A 22977-2022 prioriterade fågelarter.docx", "A 22977-2022")</f>
        <v/>
      </c>
    </row>
    <row r="49" ht="15" customHeight="1">
      <c r="A49" t="inlineStr">
        <is>
          <t>A 37532-2022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46224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 taggsvamp</t>
        </is>
      </c>
      <c r="W49">
        <f>HYPERLINK("https://klasma.github.io/Logging_2513/artfynd/A 37532-2022 artfynd.xlsx", "A 37532-2022")</f>
        <v/>
      </c>
      <c r="X49">
        <f>HYPERLINK("https://klasma.github.io/Logging_2513/kartor/A 37532-2022 karta.png", "A 37532-2022")</f>
        <v/>
      </c>
      <c r="Y49">
        <f>HYPERLINK("https://klasma.github.io/Logging_2513/kartor_geotiff/A 37532-2022 georefererad karta.tif", "A 37532-2022")</f>
        <v/>
      </c>
      <c r="AA49">
        <f>HYPERLINK("https://klasma.github.io/Logging_2513/klagomål/A 37532-2022 FSC-klagomål.docx", "A 37532-2022")</f>
        <v/>
      </c>
      <c r="AB49">
        <f>HYPERLINK("https://klasma.github.io/Logging_2513/klagomålsmail/A 37532-2022 FSC-klagomål mail.docx", "A 37532-2022")</f>
        <v/>
      </c>
      <c r="AC49">
        <f>HYPERLINK("https://klasma.github.io/Logging_2513/tillsyn/A 37532-2022 tillsynsbegäran.docx", "A 37532-2022")</f>
        <v/>
      </c>
      <c r="AD49">
        <f>HYPERLINK("https://klasma.github.io/Logging_2513/tillsynsmail/A 37532-2022 tillsynsbegäran mail.docx", "A 37532-2022")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46224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HYPERLINK("https://klasma.github.io/Logging_2513/artfynd/A 35602-2025 artfynd.xlsx", "A 35602-2025")</f>
        <v/>
      </c>
      <c r="X50">
        <f>HYPERLINK("https://klasma.github.io/Logging_2513/kartor/A 35602-2025 karta.png", "A 35602-2025")</f>
        <v/>
      </c>
      <c r="Y50">
        <f>HYPERLINK("https://klasma.github.io/Logging_2513/kartor_geotiff/A 35602-2025 georefererad karta.tif", "A 35602-2025")</f>
        <v/>
      </c>
      <c r="AA50">
        <f>HYPERLINK("https://klasma.github.io/Logging_2513/klagomål/A 35602-2025 FSC-klagomål.docx", "A 35602-2025")</f>
        <v/>
      </c>
      <c r="AB50">
        <f>HYPERLINK("https://klasma.github.io/Logging_2513/klagomålsmail/A 35602-2025 FSC-klagomål mail.docx", "A 35602-2025")</f>
        <v/>
      </c>
      <c r="AC50">
        <f>HYPERLINK("https://klasma.github.io/Logging_2513/tillsyn/A 35602-2025 tillsynsbegäran.docx", "A 35602-2025")</f>
        <v/>
      </c>
      <c r="AD50">
        <f>HYPERLINK("https://klasma.github.io/Logging_2513/tillsynsmail/A 35602-2025 tillsynsbegäran mail.docx", "A 35602-2025")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46224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46224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7234-2023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46224</v>
      </c>
      <c r="F53" t="inlineStr">
        <is>
          <t>NORRBOTTENS LÄN</t>
        </is>
      </c>
      <c r="G53" t="inlineStr">
        <is>
          <t>ÖVERKALIX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HYPERLINK("https://klasma.github.io/Logging_2513/artfynd/A 7234-2023 artfynd.xlsx", "A 7234-2023")</f>
        <v/>
      </c>
      <c r="X53">
        <f>HYPERLINK("https://klasma.github.io/Logging_2513/kartor/A 7234-2023 karta.png", "A 7234-2023")</f>
        <v/>
      </c>
      <c r="Y53">
        <f>HYPERLINK("https://klasma.github.io/Logging_2513/kartor_geotiff/A 7234-2023 georefererad karta.tif", "A 7234-2023")</f>
        <v/>
      </c>
      <c r="AA53">
        <f>HYPERLINK("https://klasma.github.io/Logging_2513/klagomål/A 7234-2023 FSC-klagomål.docx", "A 7234-2023")</f>
        <v/>
      </c>
      <c r="AB53">
        <f>HYPERLINK("https://klasma.github.io/Logging_2513/klagomålsmail/A 7234-2023 FSC-klagomål mail.docx", "A 7234-2023")</f>
        <v/>
      </c>
      <c r="AC53">
        <f>HYPERLINK("https://klasma.github.io/Logging_2513/tillsyn/A 7234-2023 tillsynsbegäran.docx", "A 7234-2023")</f>
        <v/>
      </c>
      <c r="AD53">
        <f>HYPERLINK("https://klasma.github.io/Logging_2513/tillsynsmail/A 7234-2023 tillsynsbegäran mail.docx", "A 7234-2023")</f>
        <v/>
      </c>
      <c r="AE53">
        <f>HYPERLINK("https://klasma.github.io/Logging_2513/fåglar/A 7234-2023 prioriterade fågelarter.docx", "A 7234-2023")</f>
        <v/>
      </c>
    </row>
    <row r="54" ht="15" customHeight="1">
      <c r="A54" t="inlineStr">
        <is>
          <t>A 8407-2025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45709</v>
      </c>
      <c r="E54" s="1" t="n">
        <v>46224</v>
      </c>
      <c r="F54" t="inlineStr">
        <is>
          <t>NORRBOTTENS LÄN</t>
        </is>
      </c>
      <c r="G54" t="inlineStr">
        <is>
          <t>ÖVERKALIX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Tallbit</t>
        </is>
      </c>
      <c r="W54">
        <f>HYPERLINK("https://klasma.github.io/Logging_2513/artfynd/A 8407-2025 artfynd.xlsx", "A 8407-2025")</f>
        <v/>
      </c>
      <c r="X54">
        <f>HYPERLINK("https://klasma.github.io/Logging_2513/kartor/A 8407-2025 karta.png", "A 8407-2025")</f>
        <v/>
      </c>
      <c r="Y54">
        <f>HYPERLINK("https://klasma.github.io/Logging_2513/kartor_geotiff/A 8407-2025 georefererad karta.tif", "A 8407-2025")</f>
        <v/>
      </c>
      <c r="AA54">
        <f>HYPERLINK("https://klasma.github.io/Logging_2513/klagomål/A 8407-2025 FSC-klagomål.docx", "A 8407-2025")</f>
        <v/>
      </c>
      <c r="AB54">
        <f>HYPERLINK("https://klasma.github.io/Logging_2513/klagomålsmail/A 8407-2025 FSC-klagomål mail.docx", "A 8407-2025")</f>
        <v/>
      </c>
      <c r="AC54">
        <f>HYPERLINK("https://klasma.github.io/Logging_2513/tillsyn/A 8407-2025 tillsynsbegäran.docx", "A 8407-2025")</f>
        <v/>
      </c>
      <c r="AD54">
        <f>HYPERLINK("https://klasma.github.io/Logging_2513/tillsynsmail/A 8407-2025 tillsynsbegäran mail.docx", "A 8407-2025")</f>
        <v/>
      </c>
      <c r="AE54">
        <f>HYPERLINK("https://klasma.github.io/Logging_2513/fåglar/A 8407-2025 prioriterade fågelarter.docx", "A 8407-2025")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46224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46224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HYPERLINK("https://klasma.github.io/Logging_2513/artfynd/A 21777-2024 artfynd.xlsx", "A 21777-2024")</f>
        <v/>
      </c>
      <c r="X56">
        <f>HYPERLINK("https://klasma.github.io/Logging_2513/kartor/A 21777-2024 karta.png", "A 21777-2024")</f>
        <v/>
      </c>
      <c r="Y56">
        <f>HYPERLINK("https://klasma.github.io/Logging_2513/kartor_geotiff/A 21777-2024 georefererad karta.tif", "A 21777-2024")</f>
        <v/>
      </c>
      <c r="AA56">
        <f>HYPERLINK("https://klasma.github.io/Logging_2513/klagomål/A 21777-2024 FSC-klagomål.docx", "A 21777-2024")</f>
        <v/>
      </c>
      <c r="AB56">
        <f>HYPERLINK("https://klasma.github.io/Logging_2513/klagomålsmail/A 21777-2024 FSC-klagomål mail.docx", "A 21777-2024")</f>
        <v/>
      </c>
      <c r="AC56">
        <f>HYPERLINK("https://klasma.github.io/Logging_2513/tillsyn/A 21777-2024 tillsynsbegäran.docx", "A 21777-2024")</f>
        <v/>
      </c>
      <c r="AD56">
        <f>HYPERLINK("https://klasma.github.io/Logging_2513/tillsynsmail/A 21777-2024 tillsynsbegäran mail.docx", "A 21777-2024")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46224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46224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t="n">
        <v>0</v>
      </c>
      <c r="V58" s="2" t="inlineStr">
        <is>
          <t>Lunglav</t>
        </is>
      </c>
      <c r="W58">
        <f>HYPERLINK("https://klasma.github.io/Logging_2513/artfynd/S 4190-2024 artfynd.xlsx", "S 4190-2024")</f>
        <v/>
      </c>
      <c r="X58">
        <f>HYPERLINK("https://klasma.github.io/Logging_2513/kartor/S 4190-2024 karta.png", "S 4190-2024")</f>
        <v/>
      </c>
      <c r="Y58">
        <f>HYPERLINK("https://klasma.github.io/Logging_2513/kartor_geotiff/S 4190-2024 georefererad karta.tif", "S 4190-2024")</f>
        <v/>
      </c>
      <c r="AA58">
        <f>HYPERLINK("https://klasma.github.io/Logging_2513/klagomål/S 4190-2024 FSC-klagomål.docx", "S 4190-2024")</f>
        <v/>
      </c>
      <c r="AB58">
        <f>HYPERLINK("https://klasma.github.io/Logging_2513/klagomålsmail/S 4190-2024 FSC-klagomål mail.docx", "S 4190-2024")</f>
        <v/>
      </c>
      <c r="AC58">
        <f>HYPERLINK("https://klasma.github.io/Logging_2513/tillsyn/S 4190-2024 tillsynsbegäran.docx", "S 4190-2024")</f>
        <v/>
      </c>
      <c r="AD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46224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HYPERLINK("https://klasma.github.io/Logging_2513/artfynd/S 1156-2024 artfynd.xlsx", "S 1156-2024")</f>
        <v/>
      </c>
      <c r="X59">
        <f>HYPERLINK("https://klasma.github.io/Logging_2513/kartor/S 1156-2024 karta.png", "S 1156-2024")</f>
        <v/>
      </c>
      <c r="Y59">
        <f>HYPERLINK("https://klasma.github.io/Logging_2513/kartor_geotiff/S 1156-2024 georefererad karta.tif", "S 1156-2024")</f>
        <v/>
      </c>
      <c r="AA59">
        <f>HYPERLINK("https://klasma.github.io/Logging_2513/klagomål/S 1156-2024 FSC-klagomål.docx", "S 1156-2024")</f>
        <v/>
      </c>
      <c r="AB59">
        <f>HYPERLINK("https://klasma.github.io/Logging_2513/klagomålsmail/S 1156-2024 FSC-klagomål mail.docx", "S 1156-2024")</f>
        <v/>
      </c>
      <c r="AC59">
        <f>HYPERLINK("https://klasma.github.io/Logging_2513/tillsyn/S 1156-2024 tillsynsbegäran.docx", "S 1156-2024")</f>
        <v/>
      </c>
      <c r="AD59">
        <f>HYPERLINK("https://klasma.github.io/Logging_2513/tillsynsmail/S 1156-2024 tillsynsbegäran mail.docx", "S 1156-2024")</f>
        <v/>
      </c>
      <c r="AE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46224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46224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46224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46224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46224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46224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46224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46224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HYPERLINK("https://klasma.github.io/Logging_2513/knärot/A 29706-2022 karta knärot.png", "A 29706-2022")</f>
        <v/>
      </c>
      <c r="AA67">
        <f>HYPERLINK("https://klasma.github.io/Logging_2513/klagomål/A 29706-2022 FSC-klagomål.docx", "A 29706-2022")</f>
        <v/>
      </c>
      <c r="AB67">
        <f>HYPERLINK("https://klasma.github.io/Logging_2513/klagomålsmail/A 29706-2022 FSC-klagomål mail.docx", "A 29706-2022")</f>
        <v/>
      </c>
      <c r="AC67">
        <f>HYPERLINK("https://klasma.github.io/Logging_2513/tillsyn/A 29706-2022 tillsynsbegäran.docx", "A 29706-2022")</f>
        <v/>
      </c>
      <c r="AD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46224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46224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46224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46224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46224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46224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46224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46224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46224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46224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46224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46224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46224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46224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46224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46224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46224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46224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46224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46224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46224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46224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46224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46224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46224</v>
      </c>
      <c r="F92" t="inlineStr">
        <is>
          <t>NORRBOTTENS LÄN</t>
        </is>
      </c>
      <c r="G92" t="inlineStr">
        <is>
          <t>ÖVERKALIX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46224</v>
      </c>
      <c r="F93" t="inlineStr">
        <is>
          <t>NORRBOTTENS LÄN</t>
        </is>
      </c>
      <c r="G93" t="inlineStr">
        <is>
          <t>ÖVERKALIX</t>
        </is>
      </c>
      <c r="H93" t="inlineStr">
        <is>
          <t>Övriga statliga verk och myndigheter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46224</v>
      </c>
      <c r="F94" t="inlineStr">
        <is>
          <t>NORRBOTTENS LÄN</t>
        </is>
      </c>
      <c r="G94" t="inlineStr">
        <is>
          <t>ÖVERKALIX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46224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46224</v>
      </c>
      <c r="F96" t="inlineStr">
        <is>
          <t>NORRBOTTENS LÄN</t>
        </is>
      </c>
      <c r="G96" t="inlineStr">
        <is>
          <t>ÖVERKALIX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46224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46224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45641</v>
      </c>
      <c r="E99" s="1" t="n">
        <v>46224</v>
      </c>
      <c r="F99" t="inlineStr">
        <is>
          <t>NORRBOTTENS LÄN</t>
        </is>
      </c>
      <c r="G99" t="inlineStr">
        <is>
          <t>ÖVERKALIX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46224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46224</v>
      </c>
      <c r="F101" t="inlineStr">
        <is>
          <t>NORRBOTTENS LÄN</t>
        </is>
      </c>
      <c r="G101" t="inlineStr">
        <is>
          <t>ÖVERKALIX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45643</v>
      </c>
      <c r="E102" s="1" t="n">
        <v>46224</v>
      </c>
      <c r="F102" t="inlineStr">
        <is>
          <t>NORRBOTTENS LÄN</t>
        </is>
      </c>
      <c r="G102" t="inlineStr">
        <is>
          <t>ÖVERKALIX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46224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46224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46224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46224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46224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20.3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46224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45518</v>
      </c>
      <c r="E109" s="1" t="n">
        <v>46224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46224</v>
      </c>
      <c r="F110" t="inlineStr">
        <is>
          <t>NORRBOTTENS LÄN</t>
        </is>
      </c>
      <c r="G110" t="inlineStr">
        <is>
          <t>ÖVERKALIX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46224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46224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46224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46224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46224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46224</v>
      </c>
      <c r="F116" t="inlineStr">
        <is>
          <t>NORRBOTTENS LÄN</t>
        </is>
      </c>
      <c r="G116" t="inlineStr">
        <is>
          <t>ÖVERKALIX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46224</v>
      </c>
      <c r="F117" t="inlineStr">
        <is>
          <t>NORRBOTTENS LÄN</t>
        </is>
      </c>
      <c r="G117" t="inlineStr">
        <is>
          <t>ÖVERKALIX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44306-2021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44435</v>
      </c>
      <c r="E118" s="1" t="n">
        <v>46224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46224</v>
      </c>
      <c r="F119" t="inlineStr">
        <is>
          <t>NORRBOTTENS LÄN</t>
        </is>
      </c>
      <c r="G119" t="inlineStr">
        <is>
          <t>ÖVERKALIX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45323</v>
      </c>
      <c r="E120" s="1" t="n">
        <v>46224</v>
      </c>
      <c r="F120" t="inlineStr">
        <is>
          <t>NORRBOTTENS LÄN</t>
        </is>
      </c>
      <c r="G120" t="inlineStr">
        <is>
          <t>ÖVERKALIX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46224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46224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46224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46224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46224</v>
      </c>
      <c r="F125" t="inlineStr">
        <is>
          <t>NORRBOTTENS LÄN</t>
        </is>
      </c>
      <c r="G125" t="inlineStr">
        <is>
          <t>ÖVERKALIX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46224</v>
      </c>
      <c r="F126" t="inlineStr">
        <is>
          <t>NORRBOTTENS LÄN</t>
        </is>
      </c>
      <c r="G126" t="inlineStr">
        <is>
          <t>ÖVERKALIX</t>
        </is>
      </c>
      <c r="I126" t="n">
        <v>9.5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46224</v>
      </c>
      <c r="F127" t="inlineStr">
        <is>
          <t>NORRBOTTENS LÄN</t>
        </is>
      </c>
      <c r="G127" t="inlineStr">
        <is>
          <t>ÖVERKALIX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46224</v>
      </c>
      <c r="F128" t="inlineStr">
        <is>
          <t>NORRBOTTENS LÄN</t>
        </is>
      </c>
      <c r="G128" t="inlineStr">
        <is>
          <t>ÖVERKALIX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46224</v>
      </c>
      <c r="F129" t="inlineStr">
        <is>
          <t>NORRBOTTENS LÄN</t>
        </is>
      </c>
      <c r="G129" t="inlineStr">
        <is>
          <t>ÖVERKALIX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46224</v>
      </c>
      <c r="F130" t="inlineStr">
        <is>
          <t>NORRBOTTENS LÄN</t>
        </is>
      </c>
      <c r="G130" t="inlineStr">
        <is>
          <t>ÖVERKALIX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45807</v>
      </c>
      <c r="E131" s="1" t="n">
        <v>46224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37.4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45371</v>
      </c>
      <c r="E132" s="1" t="n">
        <v>46224</v>
      </c>
      <c r="F132" t="inlineStr">
        <is>
          <t>NORRBOTTENS LÄN</t>
        </is>
      </c>
      <c r="G132" t="inlineStr">
        <is>
          <t>ÖVERKALIX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45689</v>
      </c>
      <c r="E133" s="1" t="n">
        <v>46224</v>
      </c>
      <c r="F133" t="inlineStr">
        <is>
          <t>NORRBOTTENS LÄN</t>
        </is>
      </c>
      <c r="G133" t="inlineStr">
        <is>
          <t>ÖVERKALIX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46224</v>
      </c>
      <c r="F134" t="inlineStr">
        <is>
          <t>NORRBOTTENS LÄN</t>
        </is>
      </c>
      <c r="G134" t="inlineStr">
        <is>
          <t>ÖVERKALIX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46224</v>
      </c>
      <c r="F135" t="inlineStr">
        <is>
          <t>NORRBOTTENS LÄN</t>
        </is>
      </c>
      <c r="G135" t="inlineStr">
        <is>
          <t>ÖVERKALIX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46224</v>
      </c>
      <c r="F136" t="inlineStr">
        <is>
          <t>NORRBOTTENS LÄN</t>
        </is>
      </c>
      <c r="G136" t="inlineStr">
        <is>
          <t>ÖVERKALIX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46224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46224</v>
      </c>
      <c r="F138" t="inlineStr">
        <is>
          <t>NORRBOTTENS LÄN</t>
        </is>
      </c>
      <c r="G138" t="inlineStr">
        <is>
          <t>ÖVERKALIX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46224</v>
      </c>
      <c r="F139" t="inlineStr">
        <is>
          <t>NORRBOTTENS LÄN</t>
        </is>
      </c>
      <c r="G139" t="inlineStr">
        <is>
          <t>ÖVERKALIX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46224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46224</v>
      </c>
      <c r="F141" t="inlineStr">
        <is>
          <t>NORRBOTTENS LÄN</t>
        </is>
      </c>
      <c r="G141" t="inlineStr">
        <is>
          <t>ÖVERKALIX</t>
        </is>
      </c>
      <c r="I141" t="n">
        <v>21.7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46224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46224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46224</v>
      </c>
      <c r="F144" t="inlineStr">
        <is>
          <t>NORRBOTTENS LÄN</t>
        </is>
      </c>
      <c r="G144" t="inlineStr">
        <is>
          <t>ÖVERKALIX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46224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46224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46224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46224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46224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46224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46224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45917</v>
      </c>
      <c r="E152" s="1" t="n">
        <v>46224</v>
      </c>
      <c r="F152" t="inlineStr">
        <is>
          <t>NORRBOTTENS LÄN</t>
        </is>
      </c>
      <c r="G152" t="inlineStr">
        <is>
          <t>ÖVERKALIX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46224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46224</v>
      </c>
      <c r="F154" t="inlineStr">
        <is>
          <t>NORRBOTTENS LÄN</t>
        </is>
      </c>
      <c r="G154" t="inlineStr">
        <is>
          <t>ÖVERKALIX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46224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17.2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46224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46224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46224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46224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46224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46224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45922</v>
      </c>
      <c r="E162" s="1" t="n">
        <v>46224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46224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46224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46224</v>
      </c>
      <c r="F165" t="inlineStr">
        <is>
          <t>NORRBOTTENS LÄN</t>
        </is>
      </c>
      <c r="G165" t="inlineStr">
        <is>
          <t>ÖVERKALIX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46224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24.4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46224</v>
      </c>
      <c r="F168" t="inlineStr">
        <is>
          <t>NORRBOTTENS LÄN</t>
        </is>
      </c>
      <c r="G168" t="inlineStr">
        <is>
          <t>ÖVERKALIX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46224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46224</v>
      </c>
      <c r="F170" t="inlineStr">
        <is>
          <t>NORRBOTTENS LÄN</t>
        </is>
      </c>
      <c r="G170" t="inlineStr">
        <is>
          <t>ÖVERKALIX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46224</v>
      </c>
      <c r="F171" t="inlineStr">
        <is>
          <t>NORRBOTTENS LÄN</t>
        </is>
      </c>
      <c r="G171" t="inlineStr">
        <is>
          <t>ÖVERKALIX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46224</v>
      </c>
      <c r="F172" t="inlineStr">
        <is>
          <t>NORRBOTTENS LÄN</t>
        </is>
      </c>
      <c r="G172" t="inlineStr">
        <is>
          <t>ÖVERKALIX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46224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46224</v>
      </c>
      <c r="F174" t="inlineStr">
        <is>
          <t>NORRBOTTENS LÄN</t>
        </is>
      </c>
      <c r="G174" t="inlineStr">
        <is>
          <t>ÖVERKALIX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46224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46224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31744-2025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45834</v>
      </c>
      <c r="E177" s="1" t="n">
        <v>46224</v>
      </c>
      <c r="F177" t="inlineStr">
        <is>
          <t>NORRBOTTENS LÄN</t>
        </is>
      </c>
      <c r="G177" t="inlineStr">
        <is>
          <t>ÖVERKALIX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46224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46224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45837</v>
      </c>
      <c r="E181" s="1" t="n">
        <v>46224</v>
      </c>
      <c r="F181" t="inlineStr">
        <is>
          <t>NORRBOTTENS LÄN</t>
        </is>
      </c>
      <c r="G181" t="inlineStr">
        <is>
          <t>ÖVERKALIX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46224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32708-2025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45839</v>
      </c>
      <c r="E183" s="1" t="n">
        <v>46224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46224</v>
      </c>
      <c r="F184" t="inlineStr">
        <is>
          <t>NORRBOTTENS LÄN</t>
        </is>
      </c>
      <c r="G184" t="inlineStr">
        <is>
          <t>ÖVERKALIX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45837</v>
      </c>
      <c r="E185" s="1" t="n">
        <v>46224</v>
      </c>
      <c r="F185" t="inlineStr">
        <is>
          <t>NORRBOTTENS LÄN</t>
        </is>
      </c>
      <c r="G185" t="inlineStr">
        <is>
          <t>ÖVERKALIX</t>
        </is>
      </c>
      <c r="I185" t="n">
        <v>9.800000000000001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45837</v>
      </c>
      <c r="E186" s="1" t="n">
        <v>46224</v>
      </c>
      <c r="F186" t="inlineStr">
        <is>
          <t>NORRBOTTENS LÄN</t>
        </is>
      </c>
      <c r="G186" t="inlineStr">
        <is>
          <t>ÖVERKALIX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46224</v>
      </c>
      <c r="F187" t="inlineStr">
        <is>
          <t>NORRBOTTENS LÄN</t>
        </is>
      </c>
      <c r="G187" t="inlineStr">
        <is>
          <t>ÖVERKALIX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45363</v>
      </c>
      <c r="E188" s="1" t="n">
        <v>46224</v>
      </c>
      <c r="F188" t="inlineStr">
        <is>
          <t>NORRBOTTENS LÄN</t>
        </is>
      </c>
      <c r="G188" t="inlineStr">
        <is>
          <t>ÖVERKALIX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46224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46224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34128-2025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45845</v>
      </c>
      <c r="E191" s="1" t="n">
        <v>46224</v>
      </c>
      <c r="F191" t="inlineStr">
        <is>
          <t>NORRBOTTENS LÄN</t>
        </is>
      </c>
      <c r="G191" t="inlineStr">
        <is>
          <t>ÖVERKALIX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46224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46224</v>
      </c>
      <c r="F193" t="inlineStr">
        <is>
          <t>NORRBOTTENS LÄN</t>
        </is>
      </c>
      <c r="G193" t="inlineStr">
        <is>
          <t>ÖVERKALIX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46224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72364-2021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46224</v>
      </c>
      <c r="F195" t="inlineStr">
        <is>
          <t>NORRBOTTENS LÄN</t>
        </is>
      </c>
      <c r="G195" t="inlineStr">
        <is>
          <t>ÖVERKALIX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46224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46224</v>
      </c>
      <c r="F197" t="inlineStr">
        <is>
          <t>NORRBOTTENS LÄN</t>
        </is>
      </c>
      <c r="G197" t="inlineStr">
        <is>
          <t>ÖVERKALIX</t>
        </is>
      </c>
      <c r="I197" t="n">
        <v>10.1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46224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46224</v>
      </c>
      <c r="F199" t="inlineStr">
        <is>
          <t>NORRBOTTENS LÄN</t>
        </is>
      </c>
      <c r="G199" t="inlineStr">
        <is>
          <t>ÖVERKALIX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46224</v>
      </c>
      <c r="F200" t="inlineStr">
        <is>
          <t>NORRBOTTENS LÄN</t>
        </is>
      </c>
      <c r="G200" t="inlineStr">
        <is>
          <t>ÖVERKALIX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46224</v>
      </c>
      <c r="F202" t="inlineStr">
        <is>
          <t>NORRBOTTENS LÄN</t>
        </is>
      </c>
      <c r="G202" t="inlineStr">
        <is>
          <t>ÖVERKALIX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46224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51634-2025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45951</v>
      </c>
      <c r="E204" s="1" t="n">
        <v>46224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45949</v>
      </c>
      <c r="E205" s="1" t="n">
        <v>46224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45005</v>
      </c>
      <c r="E206" s="1" t="n">
        <v>46224</v>
      </c>
      <c r="F206" t="inlineStr">
        <is>
          <t>NORRBOTTENS LÄN</t>
        </is>
      </c>
      <c r="G206" t="inlineStr">
        <is>
          <t>ÖVERKALIX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44424</v>
      </c>
      <c r="E207" s="1" t="n">
        <v>46224</v>
      </c>
      <c r="F207" t="inlineStr">
        <is>
          <t>NORRBOTTENS LÄN</t>
        </is>
      </c>
      <c r="G207" t="inlineStr">
        <is>
          <t>ÖVERKALIX</t>
        </is>
      </c>
      <c r="I207" t="n">
        <v>10.2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46224</v>
      </c>
      <c r="F208" t="inlineStr">
        <is>
          <t>NORRBOTTENS LÄN</t>
        </is>
      </c>
      <c r="G208" t="inlineStr">
        <is>
          <t>ÖVERKALIX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46224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46224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45869</v>
      </c>
      <c r="E211" s="1" t="n">
        <v>46224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52591-2025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45954</v>
      </c>
      <c r="E212" s="1" t="n">
        <v>46224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45869</v>
      </c>
      <c r="E213" s="1" t="n">
        <v>46224</v>
      </c>
      <c r="F213" t="inlineStr">
        <is>
          <t>NORRBOTTENS LÄN</t>
        </is>
      </c>
      <c r="G213" t="inlineStr">
        <is>
          <t>ÖVERKALIX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45958</v>
      </c>
      <c r="E214" s="1" t="n">
        <v>46224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45870</v>
      </c>
      <c r="E215" s="1" t="n">
        <v>46224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45870</v>
      </c>
      <c r="E216" s="1" t="n">
        <v>46224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46224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45873</v>
      </c>
      <c r="E218" s="1" t="n">
        <v>46224</v>
      </c>
      <c r="F218" t="inlineStr">
        <is>
          <t>NORRBOTTENS LÄN</t>
        </is>
      </c>
      <c r="G218" t="inlineStr">
        <is>
          <t>ÖVERKALIX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45075</v>
      </c>
      <c r="E219" s="1" t="n">
        <v>46224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46224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46224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46224</v>
      </c>
      <c r="F222" t="inlineStr">
        <is>
          <t>NORRBOTTENS LÄN</t>
        </is>
      </c>
      <c r="G222" t="inlineStr">
        <is>
          <t>ÖVERKALIX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45882</v>
      </c>
      <c r="E223" s="1" t="n">
        <v>46224</v>
      </c>
      <c r="F223" t="inlineStr">
        <is>
          <t>NORRBOTTENS LÄN</t>
        </is>
      </c>
      <c r="G223" t="inlineStr">
        <is>
          <t>ÖVERKALIX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46224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45141</v>
      </c>
      <c r="E225" s="1" t="n">
        <v>46224</v>
      </c>
      <c r="F225" t="inlineStr">
        <is>
          <t>NORRBOTTENS LÄN</t>
        </is>
      </c>
      <c r="G225" t="inlineStr">
        <is>
          <t>ÖVERKALIX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46224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46224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46224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46224</v>
      </c>
      <c r="F229" t="inlineStr">
        <is>
          <t>NORRBOTTENS LÄN</t>
        </is>
      </c>
      <c r="G229" t="inlineStr">
        <is>
          <t>ÖVERKALIX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45086</v>
      </c>
      <c r="E230" s="1" t="n">
        <v>46224</v>
      </c>
      <c r="F230" t="inlineStr">
        <is>
          <t>NORRBOTTENS LÄN</t>
        </is>
      </c>
      <c r="G230" t="inlineStr">
        <is>
          <t>ÖVERKALIX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57744-2025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45981</v>
      </c>
      <c r="E231" s="1" t="n">
        <v>46224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45428</v>
      </c>
      <c r="E232" s="1" t="n">
        <v>46224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46224</v>
      </c>
      <c r="F233" t="inlineStr">
        <is>
          <t>NORRBOTTENS LÄN</t>
        </is>
      </c>
      <c r="G233" t="inlineStr">
        <is>
          <t>ÖVERKALIX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46224</v>
      </c>
      <c r="F234" t="inlineStr">
        <is>
          <t>NORRBOTTENS LÄN</t>
        </is>
      </c>
      <c r="G234" t="inlineStr">
        <is>
          <t>ÖVERKALIX</t>
        </is>
      </c>
      <c r="I234" t="n">
        <v>10.4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45160</v>
      </c>
      <c r="E235" s="1" t="n">
        <v>46224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46224</v>
      </c>
      <c r="F236" t="inlineStr">
        <is>
          <t>NORRBOTTENS LÄN</t>
        </is>
      </c>
      <c r="G236" t="inlineStr">
        <is>
          <t>ÖVERKALIX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45986</v>
      </c>
      <c r="E237" s="1" t="n">
        <v>46224</v>
      </c>
      <c r="F237" t="inlineStr">
        <is>
          <t>NORRBOTTENS LÄN</t>
        </is>
      </c>
      <c r="G237" t="inlineStr">
        <is>
          <t>ÖVERKALIX</t>
        </is>
      </c>
      <c r="I237" t="n">
        <v>16.1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46224</v>
      </c>
      <c r="F238" t="inlineStr">
        <is>
          <t>NORRBOTTENS LÄN</t>
        </is>
      </c>
      <c r="G238" t="inlineStr">
        <is>
          <t>ÖVERKALIX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46224</v>
      </c>
      <c r="F239" t="inlineStr">
        <is>
          <t>NORRBOTTENS LÄN</t>
        </is>
      </c>
      <c r="G239" t="inlineStr">
        <is>
          <t>ÖVERKALIX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46224</v>
      </c>
      <c r="F240" t="inlineStr">
        <is>
          <t>NORRBOTTENS LÄN</t>
        </is>
      </c>
      <c r="G240" t="inlineStr">
        <is>
          <t>ÖVERKALIX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46224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8.300000000000001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46224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46224</v>
      </c>
      <c r="F243" t="inlineStr">
        <is>
          <t>NORRBOTTENS LÄN</t>
        </is>
      </c>
      <c r="G243" t="inlineStr">
        <is>
          <t>ÖVERKALIX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58764-2023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45251</v>
      </c>
      <c r="E244" s="1" t="n">
        <v>46224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46224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46224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46224</v>
      </c>
      <c r="F247" t="inlineStr">
        <is>
          <t>NORRBOTTENS LÄN</t>
        </is>
      </c>
      <c r="G247" t="inlineStr">
        <is>
          <t>ÖVERKALIX</t>
        </is>
      </c>
      <c r="I247" t="n">
        <v>9.5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46224</v>
      </c>
      <c r="F248" t="inlineStr">
        <is>
          <t>NORRBOTTENS LÄN</t>
        </is>
      </c>
      <c r="G248" t="inlineStr">
        <is>
          <t>ÖVERKALIX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46224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46224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46224</v>
      </c>
      <c r="F251" t="inlineStr">
        <is>
          <t>NORRBOTTENS LÄN</t>
        </is>
      </c>
      <c r="G251" t="inlineStr">
        <is>
          <t>ÖVERKALIX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46224</v>
      </c>
      <c r="F252" t="inlineStr">
        <is>
          <t>NORRBOTTENS LÄN</t>
        </is>
      </c>
      <c r="G252" t="inlineStr">
        <is>
          <t>ÖVERKALIX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46224</v>
      </c>
      <c r="F253" t="inlineStr">
        <is>
          <t>NORRBOTTENS LÄN</t>
        </is>
      </c>
      <c r="G253" t="inlineStr">
        <is>
          <t>ÖVERKALIX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46224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45189</v>
      </c>
      <c r="E255" s="1" t="n">
        <v>46224</v>
      </c>
      <c r="F255" t="inlineStr">
        <is>
          <t>NORRBOTTENS LÄN</t>
        </is>
      </c>
      <c r="G255" t="inlineStr">
        <is>
          <t>ÖVERKALIX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46224</v>
      </c>
      <c r="F256" t="inlineStr">
        <is>
          <t>NORRBOTTENS LÄN</t>
        </is>
      </c>
      <c r="G256" t="inlineStr">
        <is>
          <t>ÖVERKALIX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46224</v>
      </c>
      <c r="F257" t="inlineStr">
        <is>
          <t>NORRBOTTENS LÄN</t>
        </is>
      </c>
      <c r="G257" t="inlineStr">
        <is>
          <t>ÖVERKALIX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46224</v>
      </c>
      <c r="F258" t="inlineStr">
        <is>
          <t>NORRBOTTENS LÄN</t>
        </is>
      </c>
      <c r="G258" t="inlineStr">
        <is>
          <t>ÖVERKALIX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46224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46224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46224</v>
      </c>
      <c r="F261" t="inlineStr">
        <is>
          <t>NORRBOTTENS LÄN</t>
        </is>
      </c>
      <c r="G261" t="inlineStr">
        <is>
          <t>ÖVERKALIX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45712</v>
      </c>
      <c r="E262" s="1" t="n">
        <v>46224</v>
      </c>
      <c r="F262" t="inlineStr">
        <is>
          <t>NORRBOTTENS LÄN</t>
        </is>
      </c>
      <c r="G262" t="inlineStr">
        <is>
          <t>ÖVERKALIX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45133</v>
      </c>
      <c r="E263" s="1" t="n">
        <v>46224</v>
      </c>
      <c r="F263" t="inlineStr">
        <is>
          <t>NORRBOTTENS LÄN</t>
        </is>
      </c>
      <c r="G263" t="inlineStr">
        <is>
          <t>ÖVERKALIX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46224</v>
      </c>
      <c r="F264" t="inlineStr">
        <is>
          <t>NORRBOTTENS LÄN</t>
        </is>
      </c>
      <c r="G264" t="inlineStr">
        <is>
          <t>ÖVERKALIX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72809-2021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44546</v>
      </c>
      <c r="E265" s="1" t="n">
        <v>46224</v>
      </c>
      <c r="F265" t="inlineStr">
        <is>
          <t>NORRBOTTENS LÄN</t>
        </is>
      </c>
      <c r="G265" t="inlineStr">
        <is>
          <t>ÖVERKALIX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46224</v>
      </c>
      <c r="F266" t="inlineStr">
        <is>
          <t>NORRBOTTENS LÄN</t>
        </is>
      </c>
      <c r="G266" t="inlineStr">
        <is>
          <t>ÖVERKALIX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40155-2024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46224</v>
      </c>
      <c r="F267" t="inlineStr">
        <is>
          <t>NORRBOTTENS LÄN</t>
        </is>
      </c>
      <c r="G267" t="inlineStr">
        <is>
          <t>ÖVERKALIX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46224</v>
      </c>
      <c r="F268" t="inlineStr">
        <is>
          <t>NORRBOTTENS LÄN</t>
        </is>
      </c>
      <c r="G268" t="inlineStr">
        <is>
          <t>ÖVERKALIX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62269-2021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44502</v>
      </c>
      <c r="E269" s="1" t="n">
        <v>46224</v>
      </c>
      <c r="F269" t="inlineStr">
        <is>
          <t>NORRBOTTENS LÄN</t>
        </is>
      </c>
      <c r="G269" t="inlineStr">
        <is>
          <t>ÖVERKALIX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46224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46224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5653-2022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44595</v>
      </c>
      <c r="E272" s="1" t="n">
        <v>46224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46224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45315</v>
      </c>
      <c r="E274" s="1" t="n">
        <v>46224</v>
      </c>
      <c r="F274" t="inlineStr">
        <is>
          <t>NORRBOTTENS LÄN</t>
        </is>
      </c>
      <c r="G274" t="inlineStr">
        <is>
          <t>ÖVERKALIX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6641-2022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46224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45092</v>
      </c>
      <c r="E276" s="1" t="n">
        <v>46224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46224</v>
      </c>
      <c r="F277" t="inlineStr">
        <is>
          <t>NORRBOTTENS LÄN</t>
        </is>
      </c>
      <c r="G277" t="inlineStr">
        <is>
          <t>ÖVERKALIX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46224</v>
      </c>
      <c r="F278" t="inlineStr">
        <is>
          <t>NORRBOTTENS LÄN</t>
        </is>
      </c>
      <c r="G278" t="inlineStr">
        <is>
          <t>ÖVERKALIX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46224</v>
      </c>
      <c r="F279" t="inlineStr">
        <is>
          <t>NORRBOTTENS LÄN</t>
        </is>
      </c>
      <c r="G279" t="inlineStr">
        <is>
          <t>ÖVERKALIX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46224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46224</v>
      </c>
      <c r="F281" t="inlineStr">
        <is>
          <t>NORRBOTTENS LÄN</t>
        </is>
      </c>
      <c r="G281" t="inlineStr">
        <is>
          <t>ÖVERKALIX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46224</v>
      </c>
      <c r="F282" t="inlineStr">
        <is>
          <t>NORRBOTTENS LÄN</t>
        </is>
      </c>
      <c r="G282" t="inlineStr">
        <is>
          <t>ÖVERKALIX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46224</v>
      </c>
      <c r="F283" t="inlineStr">
        <is>
          <t>NORRBOTTENS LÄN</t>
        </is>
      </c>
      <c r="G283" t="inlineStr">
        <is>
          <t>ÖVERKALIX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46224</v>
      </c>
      <c r="F284" t="inlineStr">
        <is>
          <t>NORRBOTTENS LÄN</t>
        </is>
      </c>
      <c r="G284" t="inlineStr">
        <is>
          <t>ÖVERKALIX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28343-2025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45818</v>
      </c>
      <c r="E285" s="1" t="n">
        <v>46224</v>
      </c>
      <c r="F285" t="inlineStr">
        <is>
          <t>NORRBOTTENS LÄN</t>
        </is>
      </c>
      <c r="G285" t="inlineStr">
        <is>
          <t>ÖVERKALIX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46224</v>
      </c>
      <c r="F286" t="inlineStr">
        <is>
          <t>NORRBOTTENS LÄN</t>
        </is>
      </c>
      <c r="G286" t="inlineStr">
        <is>
          <t>ÖVERKALIX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46224</v>
      </c>
      <c r="F287" t="inlineStr">
        <is>
          <t>NORRBOTTENS LÄN</t>
        </is>
      </c>
      <c r="G287" t="inlineStr">
        <is>
          <t>ÖVERKALIX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46224</v>
      </c>
      <c r="F288" t="inlineStr">
        <is>
          <t>NORRBOTTENS LÄN</t>
        </is>
      </c>
      <c r="G288" t="inlineStr">
        <is>
          <t>ÖVERKALIX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46224</v>
      </c>
      <c r="F289" t="inlineStr">
        <is>
          <t>NORRBOTTENS LÄN</t>
        </is>
      </c>
      <c r="G289" t="inlineStr">
        <is>
          <t>ÖVERKALIX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46224</v>
      </c>
      <c r="F290" t="inlineStr">
        <is>
          <t>NORRBOTTENS LÄN</t>
        </is>
      </c>
      <c r="G290" t="inlineStr">
        <is>
          <t>ÖVERKALIX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46224</v>
      </c>
      <c r="F291" t="inlineStr">
        <is>
          <t>NORRBOTTENS LÄN</t>
        </is>
      </c>
      <c r="G291" t="inlineStr">
        <is>
          <t>ÖVERKALIX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73216-2021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44547</v>
      </c>
      <c r="E292" s="1" t="n">
        <v>46224</v>
      </c>
      <c r="F292" t="inlineStr">
        <is>
          <t>NORRBOTTENS LÄN</t>
        </is>
      </c>
      <c r="G292" t="inlineStr">
        <is>
          <t>ÖVERKALIX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45594</v>
      </c>
      <c r="E293" s="1" t="n">
        <v>46224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46224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46224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46224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46224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32.6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45610</v>
      </c>
      <c r="E298" s="1" t="n">
        <v>46224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54143-2021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44469</v>
      </c>
      <c r="E299" s="1" t="n">
        <v>46224</v>
      </c>
      <c r="F299" t="inlineStr">
        <is>
          <t>NORRBOTTENS LÄN</t>
        </is>
      </c>
      <c r="G299" t="inlineStr">
        <is>
          <t>ÖVERKALIX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46224</v>
      </c>
      <c r="F300" t="inlineStr">
        <is>
          <t>NORRBOTTENS LÄN</t>
        </is>
      </c>
      <c r="G300" t="inlineStr">
        <is>
          <t>ÖVERKALIX</t>
        </is>
      </c>
      <c r="I300" t="n">
        <v>12.5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46224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45379</v>
      </c>
      <c r="E302" s="1" t="n">
        <v>46224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45218</v>
      </c>
      <c r="E303" s="1" t="n">
        <v>46224</v>
      </c>
      <c r="F303" t="inlineStr">
        <is>
          <t>NORRBOTTENS LÄN</t>
        </is>
      </c>
      <c r="G303" t="inlineStr">
        <is>
          <t>ÖVERKALIX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46224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46224</v>
      </c>
      <c r="F305" t="inlineStr">
        <is>
          <t>NORRBOTTENS LÄN</t>
        </is>
      </c>
      <c r="G305" t="inlineStr">
        <is>
          <t>ÖVERKALIX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46224</v>
      </c>
      <c r="F306" t="inlineStr">
        <is>
          <t>NORRBOTTENS LÄN</t>
        </is>
      </c>
      <c r="G306" t="inlineStr">
        <is>
          <t>ÖVERKALIX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46224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22.8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46224</v>
      </c>
      <c r="F308" t="inlineStr">
        <is>
          <t>NORRBOTTENS LÄN</t>
        </is>
      </c>
      <c r="G308" t="inlineStr">
        <is>
          <t>ÖVERKALIX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44575</v>
      </c>
      <c r="E309" s="1" t="n">
        <v>46224</v>
      </c>
      <c r="F309" t="inlineStr">
        <is>
          <t>NORRBOTTENS LÄN</t>
        </is>
      </c>
      <c r="G309" t="inlineStr">
        <is>
          <t>ÖVERKALIX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46112</v>
      </c>
      <c r="E310" s="1" t="n">
        <v>46224</v>
      </c>
      <c r="F310" t="inlineStr">
        <is>
          <t>NORRBOTTENS LÄN</t>
        </is>
      </c>
      <c r="G310" t="inlineStr">
        <is>
          <t>ÖVERKALIX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44797</v>
      </c>
      <c r="E311" s="1" t="n">
        <v>46224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46224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32477-2024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45513</v>
      </c>
      <c r="E313" s="1" t="n">
        <v>46224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30881-2024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45498</v>
      </c>
      <c r="E314" s="1" t="n">
        <v>46224</v>
      </c>
      <c r="F314" t="inlineStr">
        <is>
          <t>NORRBOTTENS LÄN</t>
        </is>
      </c>
      <c r="G314" t="inlineStr">
        <is>
          <t>ÖVERKALIX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46224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46224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46224</v>
      </c>
      <c r="F317" t="inlineStr">
        <is>
          <t>NORRBOTTENS LÄN</t>
        </is>
      </c>
      <c r="G317" t="inlineStr">
        <is>
          <t>ÖVERKALIX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46224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46224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46224</v>
      </c>
      <c r="F320" t="inlineStr">
        <is>
          <t>NORRBOTTENS LÄN</t>
        </is>
      </c>
      <c r="G320" t="inlineStr">
        <is>
          <t>ÖVERKALIX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45379</v>
      </c>
      <c r="E321" s="1" t="n">
        <v>46224</v>
      </c>
      <c r="F321" t="inlineStr">
        <is>
          <t>NORRBOTTENS LÄN</t>
        </is>
      </c>
      <c r="G321" t="inlineStr">
        <is>
          <t>ÖVERKALIX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46224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46224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46224</v>
      </c>
      <c r="F324" t="inlineStr">
        <is>
          <t>NORRBOTTENS LÄN</t>
        </is>
      </c>
      <c r="G324" t="inlineStr">
        <is>
          <t>ÖVERKALIX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19107-2026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46224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19410-2026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46224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45513</v>
      </c>
      <c r="E327" s="1" t="n">
        <v>46224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46224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9.199999999999999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46224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45709</v>
      </c>
      <c r="E330" s="1" t="n">
        <v>46224</v>
      </c>
      <c r="F330" t="inlineStr">
        <is>
          <t>NORRBOTTENS LÄN</t>
        </is>
      </c>
      <c r="G330" t="inlineStr">
        <is>
          <t>ÖVERKALIX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44659</v>
      </c>
      <c r="E331" s="1" t="n">
        <v>46224</v>
      </c>
      <c r="F331" t="inlineStr">
        <is>
          <t>NORRBOTTENS LÄN</t>
        </is>
      </c>
      <c r="G331" t="inlineStr">
        <is>
          <t>ÖVERKALIX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45639</v>
      </c>
      <c r="E332" s="1" t="n">
        <v>46224</v>
      </c>
      <c r="F332" t="inlineStr">
        <is>
          <t>NORRBOTTENS LÄN</t>
        </is>
      </c>
      <c r="G332" t="inlineStr">
        <is>
          <t>ÖVERKALIX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46224</v>
      </c>
      <c r="F333" t="inlineStr">
        <is>
          <t>NORRBOTTENS LÄN</t>
        </is>
      </c>
      <c r="G333" t="inlineStr">
        <is>
          <t>ÖVERKALIX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46224</v>
      </c>
      <c r="F334" t="inlineStr">
        <is>
          <t>NORRBOTTENS LÄN</t>
        </is>
      </c>
      <c r="G334" t="inlineStr">
        <is>
          <t>ÖVERKALIX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45693</v>
      </c>
      <c r="E335" s="1" t="n">
        <v>46224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57870-2022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44899</v>
      </c>
      <c r="E336" s="1" t="n">
        <v>46224</v>
      </c>
      <c r="F336" t="inlineStr">
        <is>
          <t>NORRBOTTENS LÄN</t>
        </is>
      </c>
      <c r="G336" t="inlineStr">
        <is>
          <t>ÖVERKALIX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46224</v>
      </c>
      <c r="F337" t="inlineStr">
        <is>
          <t>NORRBOTTENS LÄN</t>
        </is>
      </c>
      <c r="G337" t="inlineStr">
        <is>
          <t>ÖVERKALIX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45540</v>
      </c>
      <c r="E338" s="1" t="n">
        <v>46224</v>
      </c>
      <c r="F338" t="inlineStr">
        <is>
          <t>NORRBOTTENS LÄN</t>
        </is>
      </c>
      <c r="G338" t="inlineStr">
        <is>
          <t>ÖVERKALIX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64524-2023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45281</v>
      </c>
      <c r="E339" s="1" t="n">
        <v>46224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45154</v>
      </c>
      <c r="E340" s="1" t="n">
        <v>46224</v>
      </c>
      <c r="F340" t="inlineStr">
        <is>
          <t>NORRBOTTENS LÄN</t>
        </is>
      </c>
      <c r="G340" t="inlineStr">
        <is>
          <t>ÖVERKALIX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46224</v>
      </c>
      <c r="F341" t="inlineStr">
        <is>
          <t>NORRBOTTENS LÄN</t>
        </is>
      </c>
      <c r="G341" t="inlineStr">
        <is>
          <t>ÖVERKALIX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45562</v>
      </c>
      <c r="E342" s="1" t="n">
        <v>46224</v>
      </c>
      <c r="F342" t="inlineStr">
        <is>
          <t>NORRBOTTENS LÄN</t>
        </is>
      </c>
      <c r="G342" t="inlineStr">
        <is>
          <t>ÖVERKALIX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46224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22.7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46224</v>
      </c>
      <c r="F344" t="inlineStr">
        <is>
          <t>NORRBOTTENS LÄN</t>
        </is>
      </c>
      <c r="G344" t="inlineStr">
        <is>
          <t>ÖVERKALIX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46224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45463</v>
      </c>
      <c r="E346" s="1" t="n">
        <v>46224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46224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13.8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46224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17.7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46224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8.5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72623-2021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44546</v>
      </c>
      <c r="E350" s="1" t="n">
        <v>46224</v>
      </c>
      <c r="F350" t="inlineStr">
        <is>
          <t>NORRBOTTENS LÄN</t>
        </is>
      </c>
      <c r="G350" t="inlineStr">
        <is>
          <t>ÖVERKALIX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46224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45548</v>
      </c>
      <c r="E352" s="1" t="n">
        <v>46224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45513</v>
      </c>
      <c r="E353" s="1" t="n">
        <v>46224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46224</v>
      </c>
      <c r="F354" t="inlineStr">
        <is>
          <t>NORRBOTTENS LÄN</t>
        </is>
      </c>
      <c r="G354" t="inlineStr">
        <is>
          <t>ÖVERKALIX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43042-2025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46224</v>
      </c>
      <c r="F355" t="inlineStr">
        <is>
          <t>NORRBOTTENS LÄN</t>
        </is>
      </c>
      <c r="G355" t="inlineStr">
        <is>
          <t>ÖVERKALIX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46224</v>
      </c>
      <c r="F356" t="inlineStr">
        <is>
          <t>NORRBOTTENS LÄN</t>
        </is>
      </c>
      <c r="G356" t="inlineStr">
        <is>
          <t>ÖVERKALIX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45009</v>
      </c>
      <c r="E357" s="1" t="n">
        <v>46224</v>
      </c>
      <c r="F357" t="inlineStr">
        <is>
          <t>NORRBOTTENS LÄN</t>
        </is>
      </c>
      <c r="G357" t="inlineStr">
        <is>
          <t>ÖVERKALIX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45440</v>
      </c>
      <c r="E358" s="1" t="n">
        <v>46224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46224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45604</v>
      </c>
      <c r="E360" s="1" t="n">
        <v>46224</v>
      </c>
      <c r="F360" t="inlineStr">
        <is>
          <t>NORRBOTTENS LÄN</t>
        </is>
      </c>
      <c r="G360" t="inlineStr">
        <is>
          <t>ÖVERKALIX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46224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46224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45189</v>
      </c>
      <c r="E363" s="1" t="n">
        <v>46224</v>
      </c>
      <c r="F363" t="inlineStr">
        <is>
          <t>NORRBOTTENS LÄN</t>
        </is>
      </c>
      <c r="G363" t="inlineStr">
        <is>
          <t>ÖVERKALIX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46187</v>
      </c>
      <c r="E364" s="1" t="n">
        <v>46224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46224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46224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46224</v>
      </c>
      <c r="F367" t="inlineStr">
        <is>
          <t>NORRBOTTENS LÄN</t>
        </is>
      </c>
      <c r="G367" t="inlineStr">
        <is>
          <t>ÖVERKALIX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46224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46224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46224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46224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46224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46224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46224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46224</v>
      </c>
      <c r="F375" t="inlineStr">
        <is>
          <t>NORRBOTTENS LÄN</t>
        </is>
      </c>
      <c r="G375" t="inlineStr">
        <is>
          <t>ÖVERKALIX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45699</v>
      </c>
      <c r="E376" s="1" t="n">
        <v>46224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28.8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46224</v>
      </c>
      <c r="F377" t="inlineStr">
        <is>
          <t>NORRBOTTENS LÄN</t>
        </is>
      </c>
      <c r="G377" t="inlineStr">
        <is>
          <t>ÖVERKALIX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44966</v>
      </c>
      <c r="E378" s="1" t="n">
        <v>46224</v>
      </c>
      <c r="F378" t="inlineStr">
        <is>
          <t>NORRBOTTENS LÄN</t>
        </is>
      </c>
      <c r="G378" t="inlineStr">
        <is>
          <t>ÖVERKALIX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46224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45205</v>
      </c>
      <c r="E380" s="1" t="n">
        <v>46224</v>
      </c>
      <c r="F380" t="inlineStr">
        <is>
          <t>NORRBOTTENS LÄN</t>
        </is>
      </c>
      <c r="G380" t="inlineStr">
        <is>
          <t>ÖVERKALIX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46224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46224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46224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45334</v>
      </c>
      <c r="E384" s="1" t="n">
        <v>46224</v>
      </c>
      <c r="F384" t="inlineStr">
        <is>
          <t>NORRBOTTENS LÄN</t>
        </is>
      </c>
      <c r="G384" t="inlineStr">
        <is>
          <t>ÖVERKALIX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45621</v>
      </c>
      <c r="E385" s="1" t="n">
        <v>46224</v>
      </c>
      <c r="F385" t="inlineStr">
        <is>
          <t>NORRBOTTENS LÄN</t>
        </is>
      </c>
      <c r="G385" t="inlineStr">
        <is>
          <t>ÖVERKALIX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46224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46224</v>
      </c>
      <c r="F387" t="inlineStr">
        <is>
          <t>NORRBOTTENS LÄN</t>
        </is>
      </c>
      <c r="G387" t="inlineStr">
        <is>
          <t>ÖVERKALIX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46224</v>
      </c>
      <c r="F388" t="inlineStr">
        <is>
          <t>NORRBOTTENS LÄN</t>
        </is>
      </c>
      <c r="G388" t="inlineStr">
        <is>
          <t>ÖVERKALIX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28210-2026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46196</v>
      </c>
      <c r="E389" s="1" t="n">
        <v>46224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46224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48221-2025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46224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11.8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72212-2021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44543</v>
      </c>
      <c r="E392" s="1" t="n">
        <v>46224</v>
      </c>
      <c r="F392" t="inlineStr">
        <is>
          <t>NORRBOTTENS LÄN</t>
        </is>
      </c>
      <c r="G392" t="inlineStr">
        <is>
          <t>ÖVERKALIX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46224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46224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46224</v>
      </c>
      <c r="F395" t="inlineStr">
        <is>
          <t>NORRBOTTENS LÄN</t>
        </is>
      </c>
      <c r="G395" t="inlineStr">
        <is>
          <t>ÖVERKALIX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46224</v>
      </c>
      <c r="F396" t="inlineStr">
        <is>
          <t>NORRBOTTENS LÄN</t>
        </is>
      </c>
      <c r="G396" t="inlineStr">
        <is>
          <t>ÖVERKALIX</t>
        </is>
      </c>
      <c r="I396" t="n">
        <v>10.6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45436</v>
      </c>
      <c r="E397" s="1" t="n">
        <v>46224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29.9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46224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45667</v>
      </c>
      <c r="E399" s="1" t="n">
        <v>46224</v>
      </c>
      <c r="F399" t="inlineStr">
        <is>
          <t>NORRBOTTENS LÄN</t>
        </is>
      </c>
      <c r="G399" t="inlineStr">
        <is>
          <t>ÖVERKALIX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45401</v>
      </c>
      <c r="E400" s="1" t="n">
        <v>46224</v>
      </c>
      <c r="F400" t="inlineStr">
        <is>
          <t>NORRBOTTENS LÄN</t>
        </is>
      </c>
      <c r="G400" t="inlineStr">
        <is>
          <t>ÖVERKALIX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46224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46224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44817</v>
      </c>
      <c r="E403" s="1" t="n">
        <v>46224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46224</v>
      </c>
      <c r="F404" t="inlineStr">
        <is>
          <t>NORRBOTTENS LÄN</t>
        </is>
      </c>
      <c r="G404" t="inlineStr">
        <is>
          <t>ÖVERKALIX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46224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46224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9.9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46224</v>
      </c>
      <c r="F407" t="inlineStr">
        <is>
          <t>NORRBOTTENS LÄN</t>
        </is>
      </c>
      <c r="G407" t="inlineStr">
        <is>
          <t>ÖVERKALIX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45539</v>
      </c>
      <c r="E408" s="1" t="n">
        <v>46224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46945-2021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44446</v>
      </c>
      <c r="E409" s="1" t="n">
        <v>46224</v>
      </c>
      <c r="F409" t="inlineStr">
        <is>
          <t>NORRBOTTENS LÄN</t>
        </is>
      </c>
      <c r="G409" t="inlineStr">
        <is>
          <t>ÖVERKALIX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46224</v>
      </c>
      <c r="F410" t="inlineStr">
        <is>
          <t>NORRBOTTENS LÄN</t>
        </is>
      </c>
      <c r="G410" t="inlineStr">
        <is>
          <t>ÖVERKALIX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46224</v>
      </c>
      <c r="F411" t="inlineStr">
        <is>
          <t>NORRBOTTENS LÄN</t>
        </is>
      </c>
      <c r="G411" t="inlineStr">
        <is>
          <t>ÖVERKALIX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29937-2026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46205</v>
      </c>
      <c r="E412" s="1" t="n">
        <v>46224</v>
      </c>
      <c r="F412" t="inlineStr">
        <is>
          <t>NORRBOTTENS LÄN</t>
        </is>
      </c>
      <c r="G412" t="inlineStr">
        <is>
          <t>ÖVERKALIX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45223</v>
      </c>
      <c r="E413" s="1" t="n">
        <v>46224</v>
      </c>
      <c r="F413" t="inlineStr">
        <is>
          <t>NORRBOTTENS LÄN</t>
        </is>
      </c>
      <c r="G413" t="inlineStr">
        <is>
          <t>ÖVERKALIX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29927-2026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46205</v>
      </c>
      <c r="E414" s="1" t="n">
        <v>46224</v>
      </c>
      <c r="F414" t="inlineStr">
        <is>
          <t>NORRBOTTENS LÄN</t>
        </is>
      </c>
      <c r="G414" t="inlineStr">
        <is>
          <t>ÖVERKALIX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46224</v>
      </c>
      <c r="F415" t="inlineStr">
        <is>
          <t>NORRBOTTENS LÄN</t>
        </is>
      </c>
      <c r="G415" t="inlineStr">
        <is>
          <t>ÖVERKALIX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46224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44433</v>
      </c>
      <c r="E417" s="1" t="n">
        <v>46224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45693</v>
      </c>
      <c r="E418" s="1" t="n">
        <v>46224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46224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46224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46224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28372-2025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45818</v>
      </c>
      <c r="E422" s="1" t="n">
        <v>46224</v>
      </c>
      <c r="F422" t="inlineStr">
        <is>
          <t>NORRBOTTENS LÄN</t>
        </is>
      </c>
      <c r="G422" t="inlineStr">
        <is>
          <t>ÖVERKALIX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46224</v>
      </c>
      <c r="F423" t="inlineStr">
        <is>
          <t>NORRBOTTENS LÄN</t>
        </is>
      </c>
      <c r="G423" t="inlineStr">
        <is>
          <t>ÖVERKALIX</t>
        </is>
      </c>
      <c r="I423" t="n">
        <v>22.3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46224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46224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46224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46224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30241-2026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46224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45315</v>
      </c>
      <c r="E429" s="1" t="n">
        <v>46224</v>
      </c>
      <c r="F429" t="inlineStr">
        <is>
          <t>NORRBOTTENS LÄN</t>
        </is>
      </c>
      <c r="G429" t="inlineStr">
        <is>
          <t>ÖVERKALIX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46224</v>
      </c>
      <c r="F430" t="inlineStr">
        <is>
          <t>NORRBOTTENS LÄN</t>
        </is>
      </c>
      <c r="G430" t="inlineStr">
        <is>
          <t>ÖVERKALIX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46224</v>
      </c>
      <c r="F431" t="inlineStr">
        <is>
          <t>NORRBOTTENS LÄN</t>
        </is>
      </c>
      <c r="G431" t="inlineStr">
        <is>
          <t>ÖVERKALIX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30329-2026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46207</v>
      </c>
      <c r="E432" s="1" t="n">
        <v>46224</v>
      </c>
      <c r="F432" t="inlineStr">
        <is>
          <t>NORRBOTTENS LÄN</t>
        </is>
      </c>
      <c r="G432" t="inlineStr">
        <is>
          <t>ÖVERKALIX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30327-2026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46207</v>
      </c>
      <c r="E433" s="1" t="n">
        <v>46224</v>
      </c>
      <c r="F433" t="inlineStr">
        <is>
          <t>NORRBOTTENS LÄN</t>
        </is>
      </c>
      <c r="G433" t="inlineStr">
        <is>
          <t>ÖVERKALIX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51354-2025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46224</v>
      </c>
      <c r="F434" t="inlineStr">
        <is>
          <t>NORRBOTTENS LÄN</t>
        </is>
      </c>
      <c r="G434" t="inlineStr">
        <is>
          <t>ÖVERKALIX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46224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23953-2026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46224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46224</v>
      </c>
      <c r="F437" t="inlineStr">
        <is>
          <t>NORRBOTTENS LÄN</t>
        </is>
      </c>
      <c r="G437" t="inlineStr">
        <is>
          <t>ÖVERKALIX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30326-2026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46207</v>
      </c>
      <c r="E438" s="1" t="n">
        <v>46224</v>
      </c>
      <c r="F438" t="inlineStr">
        <is>
          <t>NORRBOTTENS LÄN</t>
        </is>
      </c>
      <c r="G438" t="inlineStr">
        <is>
          <t>ÖVERKALIX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24128-2026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46224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18.6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46224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45631</v>
      </c>
      <c r="E441" s="1" t="n">
        <v>46224</v>
      </c>
      <c r="F441" t="inlineStr">
        <is>
          <t>NORRBOTTENS LÄN</t>
        </is>
      </c>
      <c r="G441" t="inlineStr">
        <is>
          <t>ÖVERKALIX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46224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45268</v>
      </c>
      <c r="E443" s="1" t="n">
        <v>46224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46224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48577-2023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45208</v>
      </c>
      <c r="E445" s="1" t="n">
        <v>46224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38941-2024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45548</v>
      </c>
      <c r="E446" s="1" t="n">
        <v>46224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46224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46224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45153</v>
      </c>
      <c r="E449" s="1" t="n">
        <v>46224</v>
      </c>
      <c r="F449" t="inlineStr">
        <is>
          <t>NORRBOTTENS LÄN</t>
        </is>
      </c>
      <c r="G449" t="inlineStr">
        <is>
          <t>ÖVERKALIX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52976-2024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45611</v>
      </c>
      <c r="E450" s="1" t="n">
        <v>46224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46224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45944</v>
      </c>
      <c r="E452" s="1" t="n">
        <v>46224</v>
      </c>
      <c r="F452" t="inlineStr">
        <is>
          <t>NORRBOTTENS LÄN</t>
        </is>
      </c>
      <c r="G452" t="inlineStr">
        <is>
          <t>ÖVERKALIX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46224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Övriga statliga verk och myndigheter</t>
        </is>
      </c>
      <c r="I453" t="n">
        <v>38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45429</v>
      </c>
      <c r="E454" s="1" t="n">
        <v>46224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45593</v>
      </c>
      <c r="E455" s="1" t="n">
        <v>46224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45692</v>
      </c>
      <c r="E456" s="1" t="n">
        <v>46224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46224</v>
      </c>
      <c r="F457" t="inlineStr">
        <is>
          <t>NORRBOTTENS LÄN</t>
        </is>
      </c>
      <c r="G457" t="inlineStr">
        <is>
          <t>ÖVERKALIX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46224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46224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46224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25546-2026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46224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45693</v>
      </c>
      <c r="E462" s="1" t="n">
        <v>46224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46224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46224</v>
      </c>
      <c r="F464" t="inlineStr">
        <is>
          <t>NORRBOTTENS LÄN</t>
        </is>
      </c>
      <c r="G464" t="inlineStr">
        <is>
          <t>ÖVERKALIX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45782</v>
      </c>
      <c r="E465" s="1" t="n">
        <v>46224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39974-2021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44417</v>
      </c>
      <c r="E466" s="1" t="n">
        <v>46224</v>
      </c>
      <c r="F466" t="inlineStr">
        <is>
          <t>NORRBOTTENS LÄN</t>
        </is>
      </c>
      <c r="G466" t="inlineStr">
        <is>
          <t>ÖVERKALIX</t>
        </is>
      </c>
      <c r="I466" t="n">
        <v>21.6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45785</v>
      </c>
      <c r="E467" s="1" t="n">
        <v>46224</v>
      </c>
      <c r="F467" t="inlineStr">
        <is>
          <t>NORRBOTTENS LÄN</t>
        </is>
      </c>
      <c r="G467" t="inlineStr">
        <is>
          <t>ÖVERKALIX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46224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46224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46224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46224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46224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46224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46224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2026-07-21T01:33:46Z</dcterms:created>
  <dcterms:modified xmlns:dcterms="http://purl.org/dc/terms/" xmlns:xsi="http://www.w3.org/2001/XMLSchema-instance" xsi:type="dcterms:W3CDTF">2026-07-21T01:33:47Z</dcterms:modified>
</cp:coreProperties>
</file>