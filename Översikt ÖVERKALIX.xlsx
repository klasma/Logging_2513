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46230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46230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46230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46230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46230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46230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46230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46230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46230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46230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46230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46230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46230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46230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17802-2025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45758</v>
      </c>
      <c r="E17" s="1" t="n">
        <v>46230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1.6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Hökuggla
Älg
Tjäder</t>
        </is>
      </c>
      <c r="W17">
        <f>HYPERLINK("https://klasma.github.io/Logging_2513/artfynd/A 17802-2025 artfynd.xlsx", "A 17802-2025")</f>
        <v/>
      </c>
      <c r="X17">
        <f>HYPERLINK("https://klasma.github.io/Logging_2513/kartor/A 17802-2025 karta.png", "A 17802-2025")</f>
        <v/>
      </c>
      <c r="Y17">
        <f>HYPERLINK("https://klasma.github.io/Logging_2513/kartor_geotiff/A 17802-2025 georefererad karta.tif", "A 17802-2025")</f>
        <v/>
      </c>
      <c r="AA17">
        <f>HYPERLINK("https://klasma.github.io/Logging_2513/klagomål/A 17802-2025 FSC-klagomål.docx", "A 17802-2025")</f>
        <v/>
      </c>
      <c r="AB17">
        <f>HYPERLINK("https://klasma.github.io/Logging_2513/klagomålsmail/A 17802-2025 FSC-klagomål mail.docx", "A 17802-2025")</f>
        <v/>
      </c>
      <c r="AC17">
        <f>HYPERLINK("https://klasma.github.io/Logging_2513/tillsyn/A 17802-2025 tillsynsbegäran.docx", "A 17802-2025")</f>
        <v/>
      </c>
      <c r="AD17">
        <f>HYPERLINK("https://klasma.github.io/Logging_2513/tillsynsmail/A 17802-2025 tillsynsbegäran mail.docx", "A 17802-2025")</f>
        <v/>
      </c>
      <c r="AE17">
        <f>HYPERLINK("https://klasma.github.io/Logging_2513/fåglar/A 17802-2025 prioriterade fågelarter.docx", "A 17802-2025")</f>
        <v/>
      </c>
    </row>
    <row r="18" ht="15" customHeight="1">
      <c r="A18" t="inlineStr">
        <is>
          <t>A 28577-2024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45478</v>
      </c>
      <c r="E18" s="1" t="n">
        <v>46230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0.8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12</v>
      </c>
      <c r="U18" t="n">
        <v>0</v>
      </c>
      <c r="V18" s="2" t="inlineStr">
        <is>
          <t>Månlåsbräken
Plattlummer
Fläcknycklar</t>
        </is>
      </c>
      <c r="W18">
        <f>HYPERLINK("https://klasma.github.io/Logging_2513/artfynd/A 28577-2024 artfynd.xlsx", "A 28577-2024")</f>
        <v/>
      </c>
      <c r="X18">
        <f>HYPERLINK("https://klasma.github.io/Logging_2513/kartor/A 28577-2024 karta.png", "A 28577-2024")</f>
        <v/>
      </c>
      <c r="Y18">
        <f>HYPERLINK("https://klasma.github.io/Logging_2513/kartor_geotiff/A 28577-2024 georefererad karta.tif", "A 28577-2024")</f>
        <v/>
      </c>
      <c r="AA18">
        <f>HYPERLINK("https://klasma.github.io/Logging_2513/klagomål/A 28577-2024 FSC-klagomål.docx", "A 28577-2024")</f>
        <v/>
      </c>
      <c r="AB18">
        <f>HYPERLINK("https://klasma.github.io/Logging_2513/klagomålsmail/A 28577-2024 FSC-klagomål mail.docx", "A 28577-2024")</f>
        <v/>
      </c>
      <c r="AC18">
        <f>HYPERLINK("https://klasma.github.io/Logging_2513/tillsyn/A 28577-2024 tillsynsbegäran.docx", "A 28577-2024")</f>
        <v/>
      </c>
      <c r="AD18">
        <f>HYPERLINK("https://klasma.github.io/Logging_2513/tillsynsmail/A 28577-2024 tillsynsbegäran mail.docx", "A 28577-2024")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46230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3</v>
      </c>
      <c r="V19" s="2" t="inlineStr">
        <is>
          <t>Fläckporing
Knärot
Plattlummer</t>
        </is>
      </c>
      <c r="W19">
        <f>HYPERLINK("https://klasma.github.io/Logging_2513/artfynd/A 19275-2025 artfynd.xlsx", "A 19275-2025")</f>
        <v/>
      </c>
      <c r="X19">
        <f>HYPERLINK("https://klasma.github.io/Logging_2513/kartor/A 19275-2025 karta.png", "A 19275-2025")</f>
        <v/>
      </c>
      <c r="Y19">
        <f>HYPERLINK("https://klasma.github.io/Logging_2513/kartor_geotiff/A 19275-2025 georefererad karta.tif", "A 19275-2025")</f>
        <v/>
      </c>
      <c r="Z19">
        <f>HYPERLINK("https://klasma.github.io/Logging_2513/knärot/A 19275-2025 karta knärot.png", "A 19275-2025")</f>
        <v/>
      </c>
      <c r="AA19">
        <f>HYPERLINK("https://klasma.github.io/Logging_2513/klagomål/A 19275-2025 FSC-klagomål.docx", "A 19275-2025")</f>
        <v/>
      </c>
      <c r="AB19">
        <f>HYPERLINK("https://klasma.github.io/Logging_2513/klagomålsmail/A 19275-2025 FSC-klagomål mail.docx", "A 19275-2025")</f>
        <v/>
      </c>
      <c r="AC19">
        <f>HYPERLINK("https://klasma.github.io/Logging_2513/tillsyn/A 19275-2025 tillsynsbegäran.docx", "A 19275-2025")</f>
        <v/>
      </c>
      <c r="AD19">
        <f>HYPERLINK("https://klasma.github.io/Logging_2513/tillsynsmail/A 19275-2025 tillsynsbegäran mail.docx", "A 19275-2025")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46230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46230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t="n">
        <v>2</v>
      </c>
      <c r="V22" s="2" t="inlineStr">
        <is>
          <t>Garnlav
Lunglav
Fläcknycklar</t>
        </is>
      </c>
      <c r="W22">
        <f>HYPERLINK("https://klasma.github.io/Logging_2513/artfynd/A 28998-2026 artfynd.xlsx", "A 28998-2026")</f>
        <v/>
      </c>
      <c r="X22">
        <f>HYPERLINK("https://klasma.github.io/Logging_2513/kartor/A 28998-2026 karta.png", "A 28998-2026")</f>
        <v/>
      </c>
      <c r="Y22">
        <f>HYPERLINK("https://klasma.github.io/Logging_2513/kartor_geotiff/A 28998-2026 georefererad karta.tif", "A 28998-2026")</f>
        <v/>
      </c>
      <c r="AA22">
        <f>HYPERLINK("https://klasma.github.io/Logging_2513/klagomål/A 28998-2026 FSC-klagomål.docx", "A 28998-2026")</f>
        <v/>
      </c>
      <c r="AB22">
        <f>HYPERLINK("https://klasma.github.io/Logging_2513/klagomålsmail/A 28998-2026 FSC-klagomål mail.docx", "A 28998-2026")</f>
        <v/>
      </c>
      <c r="AC22">
        <f>HYPERLINK("https://klasma.github.io/Logging_2513/tillsyn/A 28998-2026 tillsynsbegäran.docx", "A 28998-2026")</f>
        <v/>
      </c>
      <c r="AD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46230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30525-2025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45831</v>
      </c>
      <c r="E26" s="1" t="n">
        <v>46230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5.3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Gammelgransskål
Bollvitmossa
Järpe</t>
        </is>
      </c>
      <c r="W26">
        <f>HYPERLINK("https://klasma.github.io/Logging_2513/artfynd/A 30525-2025 artfynd.xlsx", "A 30525-2025")</f>
        <v/>
      </c>
      <c r="X26">
        <f>HYPERLINK("https://klasma.github.io/Logging_2513/kartor/A 30525-2025 karta.png", "A 30525-2025")</f>
        <v/>
      </c>
      <c r="Y26">
        <f>HYPERLINK("https://klasma.github.io/Logging_2513/kartor_geotiff/A 30525-2025 georefererad karta.tif", "A 30525-2025")</f>
        <v/>
      </c>
      <c r="AA26">
        <f>HYPERLINK("https://klasma.github.io/Logging_2513/klagomål/A 30525-2025 FSC-klagomål.docx", "A 30525-2025")</f>
        <v/>
      </c>
      <c r="AB26">
        <f>HYPERLINK("https://klasma.github.io/Logging_2513/klagomålsmail/A 30525-2025 FSC-klagomål mail.docx", "A 30525-2025")</f>
        <v/>
      </c>
      <c r="AC26">
        <f>HYPERLINK("https://klasma.github.io/Logging_2513/tillsyn/A 30525-2025 tillsynsbegäran.docx", "A 30525-2025")</f>
        <v/>
      </c>
      <c r="AD26">
        <f>HYPERLINK("https://klasma.github.io/Logging_2513/tillsynsmail/A 30525-2025 tillsynsbegäran mail.docx", "A 30525-2025")</f>
        <v/>
      </c>
      <c r="AE26">
        <f>HYPERLINK("https://klasma.github.io/Logging_2513/fåglar/A 30525-2025 prioriterade fågelarter.docx", "A 30525-2025")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46230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40706-2023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46230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7.1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Dropptaggsvamp</t>
        </is>
      </c>
      <c r="W28">
        <f>HYPERLINK("https://klasma.github.io/Logging_2513/artfynd/A 40706-2023 artfynd.xlsx", "A 40706-2023")</f>
        <v/>
      </c>
      <c r="X28">
        <f>HYPERLINK("https://klasma.github.io/Logging_2513/kartor/A 40706-2023 karta.png", "A 40706-2023")</f>
        <v/>
      </c>
      <c r="Y28">
        <f>HYPERLINK("https://klasma.github.io/Logging_2513/kartor_geotiff/A 40706-2023 georefererad karta.tif", "A 40706-2023")</f>
        <v/>
      </c>
      <c r="Z28">
        <f>HYPERLINK("https://klasma.github.io/Logging_2513/knärot/A 40706-2023 karta knärot.png", "A 40706-2023")</f>
        <v/>
      </c>
      <c r="AA28">
        <f>HYPERLINK("https://klasma.github.io/Logging_2513/klagomål/A 40706-2023 FSC-klagomål.docx", "A 40706-2023")</f>
        <v/>
      </c>
      <c r="AB28">
        <f>HYPERLINK("https://klasma.github.io/Logging_2513/klagomålsmail/A 40706-2023 FSC-klagomål mail.docx", "A 40706-2023")</f>
        <v/>
      </c>
      <c r="AC28">
        <f>HYPERLINK("https://klasma.github.io/Logging_2513/tillsyn/A 40706-2023 tillsynsbegäran.docx", "A 40706-2023")</f>
        <v/>
      </c>
      <c r="AD28">
        <f>HYPERLINK("https://klasma.github.io/Logging_2513/tillsynsmail/A 40706-2023 tillsynsbegäran mail.docx", "A 40706-2023")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46230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Lunglav
Skrovellav</t>
        </is>
      </c>
      <c r="W29">
        <f>HYPERLINK("https://klasma.github.io/Logging_2513/artfynd/A 40116-2025 artfynd.xlsx", "A 40116-2025")</f>
        <v/>
      </c>
      <c r="X29">
        <f>HYPERLINK("https://klasma.github.io/Logging_2513/kartor/A 40116-2025 karta.png", "A 40116-2025")</f>
        <v/>
      </c>
      <c r="Y29">
        <f>HYPERLINK("https://klasma.github.io/Logging_2513/kartor_geotiff/A 40116-2025 georefererad karta.tif", "A 40116-2025")</f>
        <v/>
      </c>
      <c r="AA29">
        <f>HYPERLINK("https://klasma.github.io/Logging_2513/klagomål/A 40116-2025 FSC-klagomål.docx", "A 40116-2025")</f>
        <v/>
      </c>
      <c r="AB29">
        <f>HYPERLINK("https://klasma.github.io/Logging_2513/klagomålsmail/A 40116-2025 FSC-klagomål mail.docx", "A 40116-2025")</f>
        <v/>
      </c>
      <c r="AC29">
        <f>HYPERLINK("https://klasma.github.io/Logging_2513/tillsyn/A 40116-2025 tillsynsbegäran.docx", "A 40116-2025")</f>
        <v/>
      </c>
      <c r="AD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45904</v>
      </c>
      <c r="E30" s="1" t="n">
        <v>46230</v>
      </c>
      <c r="F30" t="inlineStr">
        <is>
          <t>NORRBOTTENS LÄN</t>
        </is>
      </c>
      <c r="G30" t="inlineStr">
        <is>
          <t>ÖVERKALIX</t>
        </is>
      </c>
      <c r="I30" t="n">
        <v>0.3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Vanlig padda</t>
        </is>
      </c>
      <c r="W30">
        <f>HYPERLINK("https://klasma.github.io/Logging_2513/artfynd/A 42285-2025 artfynd.xlsx", "A 42285-2025")</f>
        <v/>
      </c>
      <c r="X30">
        <f>HYPERLINK("https://klasma.github.io/Logging_2513/kartor/A 42285-2025 karta.png", "A 42285-2025")</f>
        <v/>
      </c>
      <c r="Y30">
        <f>HYPERLINK("https://klasma.github.io/Logging_2513/kartor_geotiff/A 42285-2025 georefererad karta.tif", "A 42285-2025")</f>
        <v/>
      </c>
      <c r="AA30">
        <f>HYPERLINK("https://klasma.github.io/Logging_2513/klagomål/A 42285-2025 FSC-klagomål.docx", "A 42285-2025")</f>
        <v/>
      </c>
      <c r="AB30">
        <f>HYPERLINK("https://klasma.github.io/Logging_2513/klagomålsmail/A 42285-2025 FSC-klagomål mail.docx", "A 42285-2025")</f>
        <v/>
      </c>
      <c r="AC30">
        <f>HYPERLINK("https://klasma.github.io/Logging_2513/tillsyn/A 42285-2025 tillsynsbegäran.docx", "A 42285-2025")</f>
        <v/>
      </c>
      <c r="AD30">
        <f>HYPERLINK("https://klasma.github.io/Logging_2513/tillsynsmail/A 42285-2025 tillsynsbegäran mail.docx", "A 42285-2025")</f>
        <v/>
      </c>
    </row>
    <row r="31" ht="15" customHeight="1">
      <c r="A31" t="inlineStr">
        <is>
          <t>A 47680-2024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46230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Blå taggsvamp
Skarp dropptaggsvamp</t>
        </is>
      </c>
      <c r="W31">
        <f>HYPERLINK("https://klasma.github.io/Logging_2513/artfynd/A 47680-2024 artfynd.xlsx", "A 47680-2024")</f>
        <v/>
      </c>
      <c r="X31">
        <f>HYPERLINK("https://klasma.github.io/Logging_2513/kartor/A 47680-2024 karta.png", "A 47680-2024")</f>
        <v/>
      </c>
      <c r="Y31">
        <f>HYPERLINK("https://klasma.github.io/Logging_2513/kartor_geotiff/A 47680-2024 georefererad karta.tif", "A 47680-2024")</f>
        <v/>
      </c>
      <c r="AA31">
        <f>HYPERLINK("https://klasma.github.io/Logging_2513/klagomål/A 47680-2024 FSC-klagomål.docx", "A 47680-2024")</f>
        <v/>
      </c>
      <c r="AB31">
        <f>HYPERLINK("https://klasma.github.io/Logging_2513/klagomålsmail/A 47680-2024 FSC-klagomål mail.docx", "A 47680-2024")</f>
        <v/>
      </c>
      <c r="AC31">
        <f>HYPERLINK("https://klasma.github.io/Logging_2513/tillsyn/A 47680-2024 tillsynsbegäran.docx", "A 47680-2024")</f>
        <v/>
      </c>
      <c r="AD31">
        <f>HYPERLINK("https://klasma.github.io/Logging_2513/tillsynsmail/A 47680-2024 tillsynsbegäran mail.docx", "A 47680-2024")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46230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Motaggsvamp
Skarp dropptaggsvamp</t>
        </is>
      </c>
      <c r="W32">
        <f>HYPERLINK("https://klasma.github.io/Logging_2513/artfynd/A 7477-2023 artfynd.xlsx", "A 7477-2023")</f>
        <v/>
      </c>
      <c r="X32">
        <f>HYPERLINK("https://klasma.github.io/Logging_2513/kartor/A 7477-2023 karta.png", "A 7477-2023")</f>
        <v/>
      </c>
      <c r="Y32">
        <f>HYPERLINK("https://klasma.github.io/Logging_2513/kartor_geotiff/A 7477-2023 georefererad karta.tif", "A 7477-2023")</f>
        <v/>
      </c>
      <c r="AA32">
        <f>HYPERLINK("https://klasma.github.io/Logging_2513/klagomål/A 7477-2023 FSC-klagomål.docx", "A 7477-2023")</f>
        <v/>
      </c>
      <c r="AB32">
        <f>HYPERLINK("https://klasma.github.io/Logging_2513/klagomålsmail/A 7477-2023 FSC-klagomål mail.docx", "A 7477-2023")</f>
        <v/>
      </c>
      <c r="AC32">
        <f>HYPERLINK("https://klasma.github.io/Logging_2513/tillsyn/A 7477-2023 tillsynsbegäran.docx", "A 7477-2023")</f>
        <v/>
      </c>
      <c r="AD32">
        <f>HYPERLINK("https://klasma.github.io/Logging_2513/tillsynsmail/A 7477-2023 tillsynsbegäran mail.docx", "A 7477-2023")</f>
        <v/>
      </c>
    </row>
    <row r="33" ht="15" customHeight="1">
      <c r="A33" t="inlineStr">
        <is>
          <t>A 28029-2026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46230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 taggsvamp
Bollvitmossa</t>
        </is>
      </c>
      <c r="W33">
        <f>HYPERLINK("https://klasma.github.io/Logging_2513/artfynd/A 28029-2026 artfynd.xlsx", "A 28029-2026")</f>
        <v/>
      </c>
      <c r="X33">
        <f>HYPERLINK("https://klasma.github.io/Logging_2513/kartor/A 28029-2026 karta.png", "A 28029-2026")</f>
        <v/>
      </c>
      <c r="Y33">
        <f>HYPERLINK("https://klasma.github.io/Logging_2513/kartor_geotiff/A 28029-2026 georefererad karta.tif", "A 28029-2026")</f>
        <v/>
      </c>
      <c r="AA33">
        <f>HYPERLINK("https://klasma.github.io/Logging_2513/klagomål/A 28029-2026 FSC-klagomål.docx", "A 28029-2026")</f>
        <v/>
      </c>
      <c r="AB33">
        <f>HYPERLINK("https://klasma.github.io/Logging_2513/klagomålsmail/A 28029-2026 FSC-klagomål mail.docx", "A 28029-2026")</f>
        <v/>
      </c>
      <c r="AC33">
        <f>HYPERLINK("https://klasma.github.io/Logging_2513/tillsyn/A 28029-2026 tillsynsbegäran.docx", "A 28029-2026")</f>
        <v/>
      </c>
      <c r="AD33">
        <f>HYPERLINK("https://klasma.github.io/Logging_2513/tillsynsmail/A 28029-2026 tillsynsbegäran mail.docx", "A 28029-2026")</f>
        <v/>
      </c>
    </row>
    <row r="34" ht="15" customHeight="1">
      <c r="A34" t="inlineStr">
        <is>
          <t>A 62951-2025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46230</v>
      </c>
      <c r="F34" t="inlineStr">
        <is>
          <t>NORRBOTTENS LÄN</t>
        </is>
      </c>
      <c r="G34" t="inlineStr">
        <is>
          <t>ÖVERKALIX</t>
        </is>
      </c>
      <c r="H34" t="inlineStr">
        <is>
          <t>SCA</t>
        </is>
      </c>
      <c r="I34" t="n">
        <v>4.2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Ullticka</t>
        </is>
      </c>
      <c r="W34">
        <f>HYPERLINK("https://klasma.github.io/Logging_2513/artfynd/A 62951-2025 artfynd.xlsx", "A 62951-2025")</f>
        <v/>
      </c>
      <c r="X34">
        <f>HYPERLINK("https://klasma.github.io/Logging_2513/kartor/A 62951-2025 karta.png", "A 62951-2025")</f>
        <v/>
      </c>
      <c r="Y34">
        <f>HYPERLINK("https://klasma.github.io/Logging_2513/kartor_geotiff/A 62951-2025 georefererad karta.tif", "A 62951-2025")</f>
        <v/>
      </c>
      <c r="AA34">
        <f>HYPERLINK("https://klasma.github.io/Logging_2513/klagomål/A 62951-2025 FSC-klagomål.docx", "A 62951-2025")</f>
        <v/>
      </c>
      <c r="AB34">
        <f>HYPERLINK("https://klasma.github.io/Logging_2513/klagomålsmail/A 62951-2025 FSC-klagomål mail.docx", "A 62951-2025")</f>
        <v/>
      </c>
      <c r="AC34">
        <f>HYPERLINK("https://klasma.github.io/Logging_2513/tillsyn/A 62951-2025 tillsynsbegäran.docx", "A 62951-2025")</f>
        <v/>
      </c>
      <c r="AD34">
        <f>HYPERLINK("https://klasma.github.io/Logging_2513/tillsynsmail/A 62951-2025 tillsynsbegäran mail.docx", "A 62951-2025")</f>
        <v/>
      </c>
    </row>
    <row r="35" ht="15" customHeight="1">
      <c r="A35" t="inlineStr">
        <is>
          <t>A 28929-2026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46199</v>
      </c>
      <c r="E35" s="1" t="n">
        <v>46230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3.9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5</v>
      </c>
      <c r="V35" s="2" t="inlineStr">
        <is>
          <t>Knärot
Fläcknycklar</t>
        </is>
      </c>
      <c r="W35">
        <f>HYPERLINK("https://klasma.github.io/Logging_2513/artfynd/A 28929-2026 artfynd.xlsx", "A 28929-2026")</f>
        <v/>
      </c>
      <c r="X35">
        <f>HYPERLINK("https://klasma.github.io/Logging_2513/kartor/A 28929-2026 karta.png", "A 28929-2026")</f>
        <v/>
      </c>
      <c r="Y35">
        <f>HYPERLINK("https://klasma.github.io/Logging_2513/kartor_geotiff/A 28929-2026 georefererad karta.tif", "A 28929-2026")</f>
        <v/>
      </c>
      <c r="Z35">
        <f>HYPERLINK("https://klasma.github.io/Logging_2513/knärot/A 28929-2026 karta knärot.png", "A 28929-2026")</f>
        <v/>
      </c>
      <c r="AA35">
        <f>HYPERLINK("https://klasma.github.io/Logging_2513/klagomål/A 28929-2026 FSC-klagomål.docx", "A 28929-2026")</f>
        <v/>
      </c>
      <c r="AB35">
        <f>HYPERLINK("https://klasma.github.io/Logging_2513/klagomålsmail/A 28929-2026 FSC-klagomål mail.docx", "A 28929-2026")</f>
        <v/>
      </c>
      <c r="AC35">
        <f>HYPERLINK("https://klasma.github.io/Logging_2513/tillsyn/A 28929-2026 tillsynsbegäran.docx", "A 28929-2026")</f>
        <v/>
      </c>
      <c r="AD35">
        <f>HYPERLINK("https://klasma.github.io/Logging_2513/tillsynsmail/A 28929-2026 tillsynsbegäran mail.docx", "A 28929-2026")</f>
        <v/>
      </c>
    </row>
    <row r="36" ht="15" customHeight="1">
      <c r="A36" t="inlineStr">
        <is>
          <t>A 36803-2023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46230</v>
      </c>
      <c r="F36" t="inlineStr">
        <is>
          <t>NORRBOTTENS LÄN</t>
        </is>
      </c>
      <c r="G36" t="inlineStr">
        <is>
          <t>ÖVERKALIX</t>
        </is>
      </c>
      <c r="I36" t="n">
        <v>3.1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6</v>
      </c>
      <c r="U36" t="n">
        <v>6</v>
      </c>
      <c r="V36" s="2" t="inlineStr">
        <is>
          <t>Knärot
Revlummer</t>
        </is>
      </c>
      <c r="W36">
        <f>HYPERLINK("https://klasma.github.io/Logging_2513/artfynd/A 36803-2023 artfynd.xlsx", "A 36803-2023")</f>
        <v/>
      </c>
      <c r="X36">
        <f>HYPERLINK("https://klasma.github.io/Logging_2513/kartor/A 36803-2023 karta.png", "A 36803-2023")</f>
        <v/>
      </c>
      <c r="Y36">
        <f>HYPERLINK("https://klasma.github.io/Logging_2513/kartor_geotiff/A 36803-2023 georefererad karta.tif", "A 36803-2023")</f>
        <v/>
      </c>
      <c r="Z36">
        <f>HYPERLINK("https://klasma.github.io/Logging_2513/knärot/A 36803-2023 karta knärot.png", "A 36803-2023")</f>
        <v/>
      </c>
      <c r="AA36">
        <f>HYPERLINK("https://klasma.github.io/Logging_2513/klagomål/A 36803-2023 FSC-klagomål.docx", "A 36803-2023")</f>
        <v/>
      </c>
      <c r="AB36">
        <f>HYPERLINK("https://klasma.github.io/Logging_2513/klagomålsmail/A 36803-2023 FSC-klagomål mail.docx", "A 36803-2023")</f>
        <v/>
      </c>
      <c r="AC36">
        <f>HYPERLINK("https://klasma.github.io/Logging_2513/tillsyn/A 36803-2023 tillsynsbegäran.docx", "A 36803-2023")</f>
        <v/>
      </c>
      <c r="AD36">
        <f>HYPERLINK("https://klasma.github.io/Logging_2513/tillsynsmail/A 36803-2023 tillsynsbegäran mail.docx", "A 36803-2023")</f>
        <v/>
      </c>
    </row>
    <row r="37" ht="15" customHeight="1">
      <c r="A37" t="inlineStr">
        <is>
          <t>A 36378-2024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46230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21.5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Lunglav
Fläcknycklar</t>
        </is>
      </c>
      <c r="W37">
        <f>HYPERLINK("https://klasma.github.io/Logging_2513/artfynd/A 36378-2024 artfynd.xlsx", "A 36378-2024")</f>
        <v/>
      </c>
      <c r="X37">
        <f>HYPERLINK("https://klasma.github.io/Logging_2513/kartor/A 36378-2024 karta.png", "A 36378-2024")</f>
        <v/>
      </c>
      <c r="Y37">
        <f>HYPERLINK("https://klasma.github.io/Logging_2513/kartor_geotiff/A 36378-2024 georefererad karta.tif", "A 36378-2024")</f>
        <v/>
      </c>
      <c r="AA37">
        <f>HYPERLINK("https://klasma.github.io/Logging_2513/klagomål/A 36378-2024 FSC-klagomål.docx", "A 36378-2024")</f>
        <v/>
      </c>
      <c r="AB37">
        <f>HYPERLINK("https://klasma.github.io/Logging_2513/klagomålsmail/A 36378-2024 FSC-klagomål mail.docx", "A 36378-2024")</f>
        <v/>
      </c>
      <c r="AC37">
        <f>HYPERLINK("https://klasma.github.io/Logging_2513/tillsyn/A 36378-2024 tillsynsbegäran.docx", "A 36378-2024")</f>
        <v/>
      </c>
      <c r="AD37">
        <f>HYPERLINK("https://klasma.github.io/Logging_2513/tillsynsmail/A 36378-2024 tillsynsbegäran mail.docx", "A 36378-2024")</f>
        <v/>
      </c>
    </row>
    <row r="38" ht="15" customHeight="1">
      <c r="A38" t="inlineStr">
        <is>
          <t>A 36381-2024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46230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26.7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Gammelgransskål
Orre</t>
        </is>
      </c>
      <c r="W38">
        <f>HYPERLINK("https://klasma.github.io/Logging_2513/artfynd/A 36381-2024 artfynd.xlsx", "A 36381-2024")</f>
        <v/>
      </c>
      <c r="X38">
        <f>HYPERLINK("https://klasma.github.io/Logging_2513/kartor/A 36381-2024 karta.png", "A 36381-2024")</f>
        <v/>
      </c>
      <c r="Y38">
        <f>HYPERLINK("https://klasma.github.io/Logging_2513/kartor_geotiff/A 36381-2024 georefererad karta.tif", "A 36381-2024")</f>
        <v/>
      </c>
      <c r="AA38">
        <f>HYPERLINK("https://klasma.github.io/Logging_2513/klagomål/A 36381-2024 FSC-klagomål.docx", "A 36381-2024")</f>
        <v/>
      </c>
      <c r="AB38">
        <f>HYPERLINK("https://klasma.github.io/Logging_2513/klagomålsmail/A 36381-2024 FSC-klagomål mail.docx", "A 36381-2024")</f>
        <v/>
      </c>
      <c r="AC38">
        <f>HYPERLINK("https://klasma.github.io/Logging_2513/tillsyn/A 36381-2024 tillsynsbegäran.docx", "A 36381-2024")</f>
        <v/>
      </c>
      <c r="AD38">
        <f>HYPERLINK("https://klasma.github.io/Logging_2513/tillsynsmail/A 36381-2024 tillsynsbegäran mail.docx", "A 36381-2024")</f>
        <v/>
      </c>
      <c r="AE38">
        <f>HYPERLINK("https://klasma.github.io/Logging_2513/fåglar/A 36381-2024 prioriterade fågelarter.docx", "A 36381-2024")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46230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50691-2024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46230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4.2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Vedticka</t>
        </is>
      </c>
      <c r="W40">
        <f>HYPERLINK("https://klasma.github.io/Logging_2513/artfynd/A 50691-2024 artfynd.xlsx", "A 50691-2024")</f>
        <v/>
      </c>
      <c r="X40">
        <f>HYPERLINK("https://klasma.github.io/Logging_2513/kartor/A 50691-2024 karta.png", "A 50691-2024")</f>
        <v/>
      </c>
      <c r="Y40">
        <f>HYPERLINK("https://klasma.github.io/Logging_2513/kartor_geotiff/A 50691-2024 georefererad karta.tif", "A 50691-2024")</f>
        <v/>
      </c>
      <c r="AA40">
        <f>HYPERLINK("https://klasma.github.io/Logging_2513/klagomål/A 50691-2024 FSC-klagomål.docx", "A 50691-2024")</f>
        <v/>
      </c>
      <c r="AB40">
        <f>HYPERLINK("https://klasma.github.io/Logging_2513/klagomålsmail/A 50691-2024 FSC-klagomål mail.docx", "A 50691-2024")</f>
        <v/>
      </c>
      <c r="AC40">
        <f>HYPERLINK("https://klasma.github.io/Logging_2513/tillsyn/A 50691-2024 tillsynsbegäran.docx", "A 50691-2024")</f>
        <v/>
      </c>
      <c r="AD40">
        <f>HYPERLINK("https://klasma.github.io/Logging_2513/tillsynsmail/A 50691-2024 tillsynsbegäran mail.docx", "A 50691-2024")</f>
        <v/>
      </c>
    </row>
    <row r="41" ht="15" customHeight="1">
      <c r="A41" t="inlineStr">
        <is>
          <t>A 60509-2021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44496</v>
      </c>
      <c r="E41" s="1" t="n">
        <v>46230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13.5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Stor aspticka
Vedticka</t>
        </is>
      </c>
      <c r="W41">
        <f>HYPERLINK("https://klasma.github.io/Logging_2513/artfynd/A 60509-2021 artfynd.xlsx", "A 60509-2021")</f>
        <v/>
      </c>
      <c r="X41">
        <f>HYPERLINK("https://klasma.github.io/Logging_2513/kartor/A 60509-2021 karta.png", "A 60509-2021")</f>
        <v/>
      </c>
      <c r="Y41">
        <f>HYPERLINK("https://klasma.github.io/Logging_2513/kartor_geotiff/A 60509-2021 georefererad karta.tif", "A 60509-2021")</f>
        <v/>
      </c>
      <c r="AA41">
        <f>HYPERLINK("https://klasma.github.io/Logging_2513/klagomål/A 60509-2021 FSC-klagomål.docx", "A 60509-2021")</f>
        <v/>
      </c>
      <c r="AB41">
        <f>HYPERLINK("https://klasma.github.io/Logging_2513/klagomålsmail/A 60509-2021 FSC-klagomål mail.docx", "A 60509-2021")</f>
        <v/>
      </c>
      <c r="AC41">
        <f>HYPERLINK("https://klasma.github.io/Logging_2513/tillsyn/A 60509-2021 tillsynsbegäran.docx", "A 60509-2021")</f>
        <v/>
      </c>
      <c r="AD41">
        <f>HYPERLINK("https://klasma.github.io/Logging_2513/tillsynsmail/A 60509-2021 tillsynsbegäran mail.docx", "A 60509-2021")</f>
        <v/>
      </c>
    </row>
    <row r="42" ht="15" customHeight="1">
      <c r="A42" t="inlineStr">
        <is>
          <t>A 26452-2025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45807</v>
      </c>
      <c r="E42" s="1" t="n">
        <v>46230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Gammelgransskål
Stor aspticka</t>
        </is>
      </c>
      <c r="W42">
        <f>HYPERLINK("https://klasma.github.io/Logging_2513/artfynd/A 26452-2025 artfynd.xlsx", "A 26452-2025")</f>
        <v/>
      </c>
      <c r="X42">
        <f>HYPERLINK("https://klasma.github.io/Logging_2513/kartor/A 26452-2025 karta.png", "A 26452-2025")</f>
        <v/>
      </c>
      <c r="Y42">
        <f>HYPERLINK("https://klasma.github.io/Logging_2513/kartor_geotiff/A 26452-2025 georefererad karta.tif", "A 26452-2025")</f>
        <v/>
      </c>
      <c r="AA42">
        <f>HYPERLINK("https://klasma.github.io/Logging_2513/klagomål/A 26452-2025 FSC-klagomål.docx", "A 26452-2025")</f>
        <v/>
      </c>
      <c r="AB42">
        <f>HYPERLINK("https://klasma.github.io/Logging_2513/klagomålsmail/A 26452-2025 FSC-klagomål mail.docx", "A 26452-2025")</f>
        <v/>
      </c>
      <c r="AC42">
        <f>HYPERLINK("https://klasma.github.io/Logging_2513/tillsyn/A 26452-2025 tillsynsbegäran.docx", "A 26452-2025")</f>
        <v/>
      </c>
      <c r="AD42">
        <f>HYPERLINK("https://klasma.github.io/Logging_2513/tillsynsmail/A 26452-2025 tillsynsbegäran mail.docx", "A 26452-2025")</f>
        <v/>
      </c>
    </row>
    <row r="43" ht="15" customHeight="1">
      <c r="A43" t="inlineStr">
        <is>
          <t>A 34921-2025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46230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16.4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Lunglav</t>
        </is>
      </c>
      <c r="W43">
        <f>HYPERLINK("https://klasma.github.io/Logging_2513/artfynd/A 34921-2025 artfynd.xlsx", "A 34921-2025")</f>
        <v/>
      </c>
      <c r="X43">
        <f>HYPERLINK("https://klasma.github.io/Logging_2513/kartor/A 34921-2025 karta.png", "A 34921-2025")</f>
        <v/>
      </c>
      <c r="Y43">
        <f>HYPERLINK("https://klasma.github.io/Logging_2513/kartor_geotiff/A 34921-2025 georefererad karta.tif", "A 34921-2025")</f>
        <v/>
      </c>
      <c r="AA43">
        <f>HYPERLINK("https://klasma.github.io/Logging_2513/klagomål/A 34921-2025 FSC-klagomål.docx", "A 34921-2025")</f>
        <v/>
      </c>
      <c r="AB43">
        <f>HYPERLINK("https://klasma.github.io/Logging_2513/klagomålsmail/A 34921-2025 FSC-klagomål mail.docx", "A 34921-2025")</f>
        <v/>
      </c>
      <c r="AC43">
        <f>HYPERLINK("https://klasma.github.io/Logging_2513/tillsyn/A 34921-2025 tillsynsbegäran.docx", "A 34921-2025")</f>
        <v/>
      </c>
      <c r="AD43">
        <f>HYPERLINK("https://klasma.github.io/Logging_2513/tillsynsmail/A 34921-2025 tillsynsbegäran mail.docx", "A 34921-2025")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46230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46230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46230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Bivråk</t>
        </is>
      </c>
      <c r="W46">
        <f>HYPERLINK("https://klasma.github.io/Logging_2513/artfynd/A 22977-2022 artfynd.xlsx", "A 22977-2022")</f>
        <v/>
      </c>
      <c r="X46">
        <f>HYPERLINK("https://klasma.github.io/Logging_2513/kartor/A 22977-2022 karta.png", "A 22977-2022")</f>
        <v/>
      </c>
      <c r="Y46">
        <f>HYPERLINK("https://klasma.github.io/Logging_2513/kartor_geotiff/A 22977-2022 georefererad karta.tif", "A 22977-2022")</f>
        <v/>
      </c>
      <c r="AA46">
        <f>HYPERLINK("https://klasma.github.io/Logging_2513/klagomål/A 22977-2022 FSC-klagomål.docx", "A 22977-2022")</f>
        <v/>
      </c>
      <c r="AB46">
        <f>HYPERLINK("https://klasma.github.io/Logging_2513/klagomålsmail/A 22977-2022 FSC-klagomål mail.docx", "A 22977-2022")</f>
        <v/>
      </c>
      <c r="AC46">
        <f>HYPERLINK("https://klasma.github.io/Logging_2513/tillsyn/A 22977-2022 tillsynsbegäran.docx", "A 22977-2022")</f>
        <v/>
      </c>
      <c r="AD46">
        <f>HYPERLINK("https://klasma.github.io/Logging_2513/tillsynsmail/A 22977-2022 tillsynsbegäran mail.docx", "A 22977-2022")</f>
        <v/>
      </c>
      <c r="AE46">
        <f>HYPERLINK("https://klasma.github.io/Logging_2513/fåglar/A 22977-2022 prioriterade fågelarter.docx", "A 22977-2022")</f>
        <v/>
      </c>
    </row>
    <row r="47" ht="15" customHeight="1">
      <c r="A47" t="inlineStr">
        <is>
          <t>A 37532-2022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46230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 taggsvamp</t>
        </is>
      </c>
      <c r="W47">
        <f>HYPERLINK("https://klasma.github.io/Logging_2513/artfynd/A 37532-2022 artfynd.xlsx", "A 37532-2022")</f>
        <v/>
      </c>
      <c r="X47">
        <f>HYPERLINK("https://klasma.github.io/Logging_2513/kartor/A 37532-2022 karta.png", "A 37532-2022")</f>
        <v/>
      </c>
      <c r="Y47">
        <f>HYPERLINK("https://klasma.github.io/Logging_2513/kartor_geotiff/A 37532-2022 georefererad karta.tif", "A 37532-2022")</f>
        <v/>
      </c>
      <c r="AA47">
        <f>HYPERLINK("https://klasma.github.io/Logging_2513/klagomål/A 37532-2022 FSC-klagomål.docx", "A 37532-2022")</f>
        <v/>
      </c>
      <c r="AB47">
        <f>HYPERLINK("https://klasma.github.io/Logging_2513/klagomålsmail/A 37532-2022 FSC-klagomål mail.docx", "A 37532-2022")</f>
        <v/>
      </c>
      <c r="AC47">
        <f>HYPERLINK("https://klasma.github.io/Logging_2513/tillsyn/A 37532-2022 tillsynsbegäran.docx", "A 37532-2022")</f>
        <v/>
      </c>
      <c r="AD47">
        <f>HYPERLINK("https://klasma.github.io/Logging_2513/tillsynsmail/A 37532-2022 tillsynsbegäran mail.docx", "A 37532-2022")</f>
        <v/>
      </c>
    </row>
    <row r="48" ht="15" customHeight="1">
      <c r="A48" t="inlineStr">
        <is>
          <t>A 46280-2024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46230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HYPERLINK("https://klasma.github.io/Logging_2513/artfynd/A 46280-2024 artfynd.xlsx", "A 46280-2024")</f>
        <v/>
      </c>
      <c r="X48">
        <f>HYPERLINK("https://klasma.github.io/Logging_2513/kartor/A 46280-2024 karta.png", "A 46280-2024")</f>
        <v/>
      </c>
      <c r="Y48">
        <f>HYPERLINK("https://klasma.github.io/Logging_2513/kartor_geotiff/A 46280-2024 georefererad karta.tif", "A 46280-2024")</f>
        <v/>
      </c>
      <c r="AA48">
        <f>HYPERLINK("https://klasma.github.io/Logging_2513/klagomål/A 46280-2024 FSC-klagomål.docx", "A 46280-2024")</f>
        <v/>
      </c>
      <c r="AB48">
        <f>HYPERLINK("https://klasma.github.io/Logging_2513/klagomålsmail/A 46280-2024 FSC-klagomål mail.docx", "A 46280-2024")</f>
        <v/>
      </c>
      <c r="AC48">
        <f>HYPERLINK("https://klasma.github.io/Logging_2513/tillsyn/A 46280-2024 tillsynsbegäran.docx", "A 46280-2024")</f>
        <v/>
      </c>
      <c r="AD48">
        <f>HYPERLINK("https://klasma.github.io/Logging_2513/tillsynsmail/A 46280-2024 tillsynsbegäran mail.docx", "A 46280-2024")</f>
        <v/>
      </c>
      <c r="AE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46230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HYPERLINK("https://klasma.github.io/Logging_2513/artfynd/A 46281-2024 artfynd.xlsx", "A 46281-2024")</f>
        <v/>
      </c>
      <c r="X49">
        <f>HYPERLINK("https://klasma.github.io/Logging_2513/kartor/A 46281-2024 karta.png", "A 46281-2024")</f>
        <v/>
      </c>
      <c r="Y49">
        <f>HYPERLINK("https://klasma.github.io/Logging_2513/kartor_geotiff/A 46281-2024 georefererad karta.tif", "A 46281-2024")</f>
        <v/>
      </c>
      <c r="AA49">
        <f>HYPERLINK("https://klasma.github.io/Logging_2513/klagomål/A 46281-2024 FSC-klagomål.docx", "A 46281-2024")</f>
        <v/>
      </c>
      <c r="AB49">
        <f>HYPERLINK("https://klasma.github.io/Logging_2513/klagomålsmail/A 46281-2024 FSC-klagomål mail.docx", "A 46281-2024")</f>
        <v/>
      </c>
      <c r="AC49">
        <f>HYPERLINK("https://klasma.github.io/Logging_2513/tillsyn/A 46281-2024 tillsynsbegäran.docx", "A 46281-2024")</f>
        <v/>
      </c>
      <c r="AD49">
        <f>HYPERLINK("https://klasma.github.io/Logging_2513/tillsynsmail/A 46281-2024 tillsynsbegäran mail.docx", "A 46281-2024")</f>
        <v/>
      </c>
    </row>
    <row r="50" ht="15" customHeight="1">
      <c r="A50" t="inlineStr">
        <is>
          <t>A 71902-2021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46230</v>
      </c>
      <c r="F50" t="inlineStr">
        <is>
          <t>NORRBOTTENS LÄN</t>
        </is>
      </c>
      <c r="G50" t="inlineStr">
        <is>
          <t>ÖVERKALIX</t>
        </is>
      </c>
      <c r="I50" t="n">
        <v>24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HYPERLINK("https://klasma.github.io/Logging_2513/artfynd/A 71902-2021 artfynd.xlsx", "A 71902-2021")</f>
        <v/>
      </c>
      <c r="X50">
        <f>HYPERLINK("https://klasma.github.io/Logging_2513/kartor/A 71902-2021 karta.png", "A 71902-2021")</f>
        <v/>
      </c>
      <c r="Y50">
        <f>HYPERLINK("https://klasma.github.io/Logging_2513/kartor_geotiff/A 71902-2021 georefererad karta.tif", "A 71902-2021")</f>
        <v/>
      </c>
      <c r="AA50">
        <f>HYPERLINK("https://klasma.github.io/Logging_2513/klagomål/A 71902-2021 FSC-klagomål.docx", "A 71902-2021")</f>
        <v/>
      </c>
      <c r="AB50">
        <f>HYPERLINK("https://klasma.github.io/Logging_2513/klagomålsmail/A 71902-2021 FSC-klagomål mail.docx", "A 71902-2021")</f>
        <v/>
      </c>
      <c r="AC50">
        <f>HYPERLINK("https://klasma.github.io/Logging_2513/tillsyn/A 71902-2021 tillsynsbegäran.docx", "A 71902-2021")</f>
        <v/>
      </c>
      <c r="AD50">
        <f>HYPERLINK("https://klasma.github.io/Logging_2513/tillsynsmail/A 71902-2021 tillsynsbegäran mail.docx", "A 71902-2021")</f>
        <v/>
      </c>
      <c r="AE50">
        <f>HYPERLINK("https://klasma.github.io/Logging_2513/fåglar/A 71902-2021 prioriterade fågelarter.docx", "A 71902-2021")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46230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46230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46230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31704-2026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46226</v>
      </c>
      <c r="E54" s="1" t="n">
        <v>46230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31704-2026 artfynd.xlsx", "A 31704-2026")</f>
        <v/>
      </c>
      <c r="X54">
        <f>HYPERLINK("https://klasma.github.io/Logging_2513/kartor/A 31704-2026 karta.png", "A 31704-2026")</f>
        <v/>
      </c>
      <c r="Y54">
        <f>HYPERLINK("https://klasma.github.io/Logging_2513/kartor_geotiff/A 31704-2026 georefererad karta.tif", "A 31704-2026")</f>
        <v/>
      </c>
      <c r="AA54">
        <f>HYPERLINK("https://klasma.github.io/Logging_2513/klagomål/A 31704-2026 FSC-klagomål.docx", "A 31704-2026")</f>
        <v/>
      </c>
      <c r="AB54">
        <f>HYPERLINK("https://klasma.github.io/Logging_2513/klagomålsmail/A 31704-2026 FSC-klagomål mail.docx", "A 31704-2026")</f>
        <v/>
      </c>
      <c r="AC54">
        <f>HYPERLINK("https://klasma.github.io/Logging_2513/tillsyn/A 31704-2026 tillsynsbegäran.docx", "A 31704-2026")</f>
        <v/>
      </c>
      <c r="AD54">
        <f>HYPERLINK("https://klasma.github.io/Logging_2513/tillsynsmail/A 31704-2026 tillsynsbegäran mail.docx", "A 31704-2026")</f>
        <v/>
      </c>
    </row>
    <row r="55" ht="15" customHeight="1">
      <c r="A55" t="inlineStr">
        <is>
          <t>A 21777-2024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46230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30.5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HYPERLINK("https://klasma.github.io/Logging_2513/artfynd/A 21777-2024 artfynd.xlsx", "A 21777-2024")</f>
        <v/>
      </c>
      <c r="X55">
        <f>HYPERLINK("https://klasma.github.io/Logging_2513/kartor/A 21777-2024 karta.png", "A 21777-2024")</f>
        <v/>
      </c>
      <c r="Y55">
        <f>HYPERLINK("https://klasma.github.io/Logging_2513/kartor_geotiff/A 21777-2024 georefererad karta.tif", "A 21777-2024")</f>
        <v/>
      </c>
      <c r="AA55">
        <f>HYPERLINK("https://klasma.github.io/Logging_2513/klagomål/A 21777-2024 FSC-klagomål.docx", "A 21777-2024")</f>
        <v/>
      </c>
      <c r="AB55">
        <f>HYPERLINK("https://klasma.github.io/Logging_2513/klagomålsmail/A 21777-2024 FSC-klagomål mail.docx", "A 21777-2024")</f>
        <v/>
      </c>
      <c r="AC55">
        <f>HYPERLINK("https://klasma.github.io/Logging_2513/tillsyn/A 21777-2024 tillsynsbegäran.docx", "A 21777-2024")</f>
        <v/>
      </c>
      <c r="AD55">
        <f>HYPERLINK("https://klasma.github.io/Logging_2513/tillsynsmail/A 21777-2024 tillsynsbegäran mail.docx", "A 21777-2024")</f>
        <v/>
      </c>
    </row>
    <row r="56" ht="15" customHeight="1">
      <c r="A56" t="inlineStr">
        <is>
          <t>A 26305-2025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46230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5.2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Luddlav</t>
        </is>
      </c>
      <c r="W56">
        <f>HYPERLINK("https://klasma.github.io/Logging_2513/artfynd/A 26305-2025 artfynd.xlsx", "A 26305-2025")</f>
        <v/>
      </c>
      <c r="X56">
        <f>HYPERLINK("https://klasma.github.io/Logging_2513/kartor/A 26305-2025 karta.png", "A 26305-2025")</f>
        <v/>
      </c>
      <c r="Y56">
        <f>HYPERLINK("https://klasma.github.io/Logging_2513/kartor_geotiff/A 26305-2025 georefererad karta.tif", "A 26305-2025")</f>
        <v/>
      </c>
      <c r="AA56">
        <f>HYPERLINK("https://klasma.github.io/Logging_2513/klagomål/A 26305-2025 FSC-klagomål.docx", "A 26305-2025")</f>
        <v/>
      </c>
      <c r="AB56">
        <f>HYPERLINK("https://klasma.github.io/Logging_2513/klagomålsmail/A 26305-2025 FSC-klagomål mail.docx", "A 26305-2025")</f>
        <v/>
      </c>
      <c r="AC56">
        <f>HYPERLINK("https://klasma.github.io/Logging_2513/tillsyn/A 26305-2025 tillsynsbegäran.docx", "A 26305-2025")</f>
        <v/>
      </c>
      <c r="AD56">
        <f>HYPERLINK("https://klasma.github.io/Logging_2513/tillsynsmail/A 26305-2025 tillsynsbegäran mail.docx", "A 26305-2025")</f>
        <v/>
      </c>
    </row>
    <row r="57" ht="15" customHeight="1">
      <c r="A57" t="inlineStr">
        <is>
          <t>A 27452-2025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46230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27452-2025 artfynd.xlsx", "A 27452-2025")</f>
        <v/>
      </c>
      <c r="X57">
        <f>HYPERLINK("https://klasma.github.io/Logging_2513/kartor/A 27452-2025 karta.png", "A 27452-2025")</f>
        <v/>
      </c>
      <c r="Y57">
        <f>HYPERLINK("https://klasma.github.io/Logging_2513/kartor_geotiff/A 27452-2025 georefererad karta.tif", "A 27452-2025")</f>
        <v/>
      </c>
      <c r="AA57">
        <f>HYPERLINK("https://klasma.github.io/Logging_2513/klagomål/A 27452-2025 FSC-klagomål.docx", "A 27452-2025")</f>
        <v/>
      </c>
      <c r="AB57">
        <f>HYPERLINK("https://klasma.github.io/Logging_2513/klagomålsmail/A 27452-2025 FSC-klagomål mail.docx", "A 27452-2025")</f>
        <v/>
      </c>
      <c r="AC57">
        <f>HYPERLINK("https://klasma.github.io/Logging_2513/tillsyn/A 27452-2025 tillsynsbegäran.docx", "A 27452-2025")</f>
        <v/>
      </c>
      <c r="AD57">
        <f>HYPERLINK("https://klasma.github.io/Logging_2513/tillsynsmail/A 27452-2025 tillsynsbegäran mail.docx", "A 27452-2025")</f>
        <v/>
      </c>
      <c r="AE57">
        <f>HYPERLINK("https://klasma.github.io/Logging_2513/fåglar/A 27452-2025 prioriterade fågelarter.docx", "A 27452-2025")</f>
        <v/>
      </c>
    </row>
    <row r="58" ht="15" customHeight="1">
      <c r="A58" t="inlineStr">
        <is>
          <t>A 35602-2025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45859</v>
      </c>
      <c r="E58" s="1" t="n">
        <v>46230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35602-2025 artfynd.xlsx", "A 35602-2025")</f>
        <v/>
      </c>
      <c r="X58">
        <f>HYPERLINK("https://klasma.github.io/Logging_2513/kartor/A 35602-2025 karta.png", "A 35602-2025")</f>
        <v/>
      </c>
      <c r="Y58">
        <f>HYPERLINK("https://klasma.github.io/Logging_2513/kartor_geotiff/A 35602-2025 georefererad karta.tif", "A 35602-2025")</f>
        <v/>
      </c>
      <c r="AA58">
        <f>HYPERLINK("https://klasma.github.io/Logging_2513/klagomål/A 35602-2025 FSC-klagomål.docx", "A 35602-2025")</f>
        <v/>
      </c>
      <c r="AB58">
        <f>HYPERLINK("https://klasma.github.io/Logging_2513/klagomålsmail/A 35602-2025 FSC-klagomål mail.docx", "A 35602-2025")</f>
        <v/>
      </c>
      <c r="AC58">
        <f>HYPERLINK("https://klasma.github.io/Logging_2513/tillsyn/A 35602-2025 tillsynsbegäran.docx", "A 35602-2025")</f>
        <v/>
      </c>
      <c r="AD58">
        <f>HYPERLINK("https://klasma.github.io/Logging_2513/tillsynsmail/A 35602-2025 tillsynsbegäran mail.docx", "A 35602-2025")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46230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46230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46230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46230</v>
      </c>
      <c r="F62" t="inlineStr">
        <is>
          <t>NORRBOTTENS LÄN</t>
        </is>
      </c>
      <c r="G62" t="inlineStr">
        <is>
          <t>ÖVERKALIX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46230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46230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46230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46230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46230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46230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46230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46230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46230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47629-2021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44448</v>
      </c>
      <c r="E72" s="1" t="n">
        <v>46230</v>
      </c>
      <c r="F72" t="inlineStr">
        <is>
          <t>NORRBOTTENS LÄN</t>
        </is>
      </c>
      <c r="G72" t="inlineStr">
        <is>
          <t>ÖVERKALIX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44862</v>
      </c>
      <c r="E73" s="1" t="n">
        <v>46230</v>
      </c>
      <c r="F73" t="inlineStr">
        <is>
          <t>NORRBOTTENS LÄN</t>
        </is>
      </c>
      <c r="G73" t="inlineStr">
        <is>
          <t>ÖVERKALIX</t>
        </is>
      </c>
      <c r="I73" t="n">
        <v>9.699999999999999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46230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46230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46230</v>
      </c>
      <c r="F76" t="inlineStr">
        <is>
          <t>NORRBOTTENS LÄN</t>
        </is>
      </c>
      <c r="G76" t="inlineStr">
        <is>
          <t>ÖVERKALIX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46230</v>
      </c>
      <c r="F77" t="inlineStr">
        <is>
          <t>NORRBOTTENS LÄN</t>
        </is>
      </c>
      <c r="G77" t="inlineStr">
        <is>
          <t>ÖVERKALIX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46230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46230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46230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46230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46230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46230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46230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46230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46230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46230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46230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46230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46230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46230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46230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46230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46230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46230</v>
      </c>
      <c r="F95" t="inlineStr">
        <is>
          <t>NORRBOTTENS LÄN</t>
        </is>
      </c>
      <c r="G95" t="inlineStr">
        <is>
          <t>ÖVERKALIX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44603</v>
      </c>
      <c r="E96" s="1" t="n">
        <v>46230</v>
      </c>
      <c r="F96" t="inlineStr">
        <is>
          <t>NORRBOTTENS LÄN</t>
        </is>
      </c>
      <c r="G96" t="inlineStr">
        <is>
          <t>ÖVERKALIX</t>
        </is>
      </c>
      <c r="H96" t="inlineStr">
        <is>
          <t>Övriga statliga verk och myndigheter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46230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46230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45641</v>
      </c>
      <c r="E99" s="1" t="n">
        <v>46230</v>
      </c>
      <c r="F99" t="inlineStr">
        <is>
          <t>NORRBOTTENS LÄN</t>
        </is>
      </c>
      <c r="G99" t="inlineStr">
        <is>
          <t>ÖVERKALIX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46230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46230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46230</v>
      </c>
      <c r="F102" t="inlineStr">
        <is>
          <t>NORRBOTTENS LÄN</t>
        </is>
      </c>
      <c r="G102" t="inlineStr">
        <is>
          <t>ÖVERKALIX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45691</v>
      </c>
      <c r="E103" s="1" t="n">
        <v>46230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20.3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46230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46230</v>
      </c>
      <c r="F105" t="inlineStr">
        <is>
          <t>NORRBOTTENS LÄN</t>
        </is>
      </c>
      <c r="G105" t="inlineStr">
        <is>
          <t>ÖVERKALIX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46230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46230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46230</v>
      </c>
      <c r="F108" t="inlineStr">
        <is>
          <t>NORRBOTTENS LÄN</t>
        </is>
      </c>
      <c r="G108" t="inlineStr">
        <is>
          <t>ÖVERKALIX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46230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46230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46230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46230</v>
      </c>
      <c r="F112" t="inlineStr">
        <is>
          <t>NORRBOTTENS LÄN</t>
        </is>
      </c>
      <c r="G112" t="inlineStr">
        <is>
          <t>ÖVERKALIX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45689</v>
      </c>
      <c r="E113" s="1" t="n">
        <v>46230</v>
      </c>
      <c r="F113" t="inlineStr">
        <is>
          <t>NORRBOTTENS LÄN</t>
        </is>
      </c>
      <c r="G113" t="inlineStr">
        <is>
          <t>ÖVERKALIX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46230</v>
      </c>
      <c r="F114" t="inlineStr">
        <is>
          <t>NORRBOTTENS LÄN</t>
        </is>
      </c>
      <c r="G114" t="inlineStr">
        <is>
          <t>ÖVERKALIX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46230</v>
      </c>
      <c r="F115" t="inlineStr">
        <is>
          <t>NORRBOTTENS LÄN</t>
        </is>
      </c>
      <c r="G115" t="inlineStr">
        <is>
          <t>ÖVERKALIX</t>
        </is>
      </c>
      <c r="I115" t="n">
        <v>21.7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46230</v>
      </c>
      <c r="F116" t="inlineStr">
        <is>
          <t>NORRBOTTENS LÄN</t>
        </is>
      </c>
      <c r="G116" t="inlineStr">
        <is>
          <t>ÖVERKALIX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46230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46230</v>
      </c>
      <c r="F118" t="inlineStr">
        <is>
          <t>NORRBOTTENS LÄN</t>
        </is>
      </c>
      <c r="G118" t="inlineStr">
        <is>
          <t>ÖVERKALIX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46230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46230</v>
      </c>
      <c r="F120" t="inlineStr">
        <is>
          <t>NORRBOTTENS LÄN</t>
        </is>
      </c>
      <c r="G120" t="inlineStr">
        <is>
          <t>ÖVERKALIX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46230</v>
      </c>
      <c r="F121" t="inlineStr">
        <is>
          <t>NORRBOTTENS LÄN</t>
        </is>
      </c>
      <c r="G121" t="inlineStr">
        <is>
          <t>ÖVERKALIX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47735-2024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46230</v>
      </c>
      <c r="F122" t="inlineStr">
        <is>
          <t>NORRBOTTENS LÄN</t>
        </is>
      </c>
      <c r="G122" t="inlineStr">
        <is>
          <t>ÖVERKALIX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46230</v>
      </c>
      <c r="F123" t="inlineStr">
        <is>
          <t>NORRBOTTENS LÄN</t>
        </is>
      </c>
      <c r="G123" t="inlineStr">
        <is>
          <t>ÖVERKALIX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44543</v>
      </c>
      <c r="E124" s="1" t="n">
        <v>46230</v>
      </c>
      <c r="F124" t="inlineStr">
        <is>
          <t>NORRBOTTENS LÄN</t>
        </is>
      </c>
      <c r="G124" t="inlineStr">
        <is>
          <t>ÖVERKALIX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46230</v>
      </c>
      <c r="F125" t="inlineStr">
        <is>
          <t>NORRBOTTENS LÄN</t>
        </is>
      </c>
      <c r="G125" t="inlineStr">
        <is>
          <t>ÖVERKALIX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46230</v>
      </c>
      <c r="F126" t="inlineStr">
        <is>
          <t>NORRBOTTENS LÄN</t>
        </is>
      </c>
      <c r="G126" t="inlineStr">
        <is>
          <t>ÖVERKALIX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46230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46230</v>
      </c>
      <c r="F128" t="inlineStr">
        <is>
          <t>NORRBOTTENS LÄN</t>
        </is>
      </c>
      <c r="G128" t="inlineStr">
        <is>
          <t>ÖVERKALIX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45463</v>
      </c>
      <c r="E129" s="1" t="n">
        <v>46230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46230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46230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44930</v>
      </c>
      <c r="E132" s="1" t="n">
        <v>46230</v>
      </c>
      <c r="F132" t="inlineStr">
        <is>
          <t>NORRBOTTENS LÄN</t>
        </is>
      </c>
      <c r="G132" t="inlineStr">
        <is>
          <t>ÖVERKALIX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45870</v>
      </c>
      <c r="E133" s="1" t="n">
        <v>46230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46230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45873</v>
      </c>
      <c r="E135" s="1" t="n">
        <v>46230</v>
      </c>
      <c r="F135" t="inlineStr">
        <is>
          <t>NORRBOTTENS LÄN</t>
        </is>
      </c>
      <c r="G135" t="inlineStr">
        <is>
          <t>ÖVERKALIX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46230</v>
      </c>
      <c r="F136" t="inlineStr">
        <is>
          <t>NORRBOTTENS LÄN</t>
        </is>
      </c>
      <c r="G136" t="inlineStr">
        <is>
          <t>ÖVERKALIX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46230</v>
      </c>
      <c r="F137" t="inlineStr">
        <is>
          <t>NORRBOTTENS LÄN</t>
        </is>
      </c>
      <c r="G137" t="inlineStr">
        <is>
          <t>ÖVERKALIX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45882</v>
      </c>
      <c r="E138" s="1" t="n">
        <v>46230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46230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46230</v>
      </c>
      <c r="F140" t="inlineStr">
        <is>
          <t>NORRBOTTENS LÄN</t>
        </is>
      </c>
      <c r="G140" t="inlineStr">
        <is>
          <t>ÖVERKALIX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44659</v>
      </c>
      <c r="E141" s="1" t="n">
        <v>46230</v>
      </c>
      <c r="F141" t="inlineStr">
        <is>
          <t>NORRBOTTENS LÄN</t>
        </is>
      </c>
      <c r="G141" t="inlineStr">
        <is>
          <t>ÖVERKALIX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46230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46230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45086</v>
      </c>
      <c r="E144" s="1" t="n">
        <v>46230</v>
      </c>
      <c r="F144" t="inlineStr">
        <is>
          <t>NORRBOTTENS LÄN</t>
        </is>
      </c>
      <c r="G144" t="inlineStr">
        <is>
          <t>ÖVERKALIX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46230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46230</v>
      </c>
      <c r="F146" t="inlineStr">
        <is>
          <t>NORRBOTTENS LÄN</t>
        </is>
      </c>
      <c r="G146" t="inlineStr">
        <is>
          <t>ÖVERKALIX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46230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46230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37.4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46230</v>
      </c>
      <c r="F149" t="inlineStr">
        <is>
          <t>NORRBOTTENS LÄN</t>
        </is>
      </c>
      <c r="G149" t="inlineStr">
        <is>
          <t>ÖVERKALIX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58764-2023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45251</v>
      </c>
      <c r="E150" s="1" t="n">
        <v>46230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46230</v>
      </c>
      <c r="F151" t="inlineStr">
        <is>
          <t>NORRBOTTENS LÄN</t>
        </is>
      </c>
      <c r="G151" t="inlineStr">
        <is>
          <t>ÖVERKALIX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46230</v>
      </c>
      <c r="F152" t="inlineStr">
        <is>
          <t>NORRBOTTENS LÄN</t>
        </is>
      </c>
      <c r="G152" t="inlineStr">
        <is>
          <t>ÖVERKALIX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46230</v>
      </c>
      <c r="F153" t="inlineStr">
        <is>
          <t>NORRBOTTENS LÄN</t>
        </is>
      </c>
      <c r="G153" t="inlineStr">
        <is>
          <t>ÖVERKALIX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46230</v>
      </c>
      <c r="F154" t="inlineStr">
        <is>
          <t>NORRBOTTENS LÄN</t>
        </is>
      </c>
      <c r="G154" t="inlineStr">
        <is>
          <t>ÖVERKALIX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46230</v>
      </c>
      <c r="F155" t="inlineStr">
        <is>
          <t>NORRBOTTENS LÄN</t>
        </is>
      </c>
      <c r="G155" t="inlineStr">
        <is>
          <t>ÖVERKALIX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46230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46230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46230</v>
      </c>
      <c r="F158" t="inlineStr">
        <is>
          <t>NORRBOTTENS LÄN</t>
        </is>
      </c>
      <c r="G158" t="inlineStr">
        <is>
          <t>ÖVERKALIX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44754-2025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45917</v>
      </c>
      <c r="E159" s="1" t="n">
        <v>46230</v>
      </c>
      <c r="F159" t="inlineStr">
        <is>
          <t>NORRBOTTENS LÄN</t>
        </is>
      </c>
      <c r="G159" t="inlineStr">
        <is>
          <t>ÖVERKALIX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46230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46230</v>
      </c>
      <c r="F161" t="inlineStr">
        <is>
          <t>NORRBOTTENS LÄN</t>
        </is>
      </c>
      <c r="G161" t="inlineStr">
        <is>
          <t>ÖVERKALIX</t>
        </is>
      </c>
      <c r="I161" t="n">
        <v>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45133</v>
      </c>
      <c r="E162" s="1" t="n">
        <v>46230</v>
      </c>
      <c r="F162" t="inlineStr">
        <is>
          <t>NORRBOTTENS LÄN</t>
        </is>
      </c>
      <c r="G162" t="inlineStr">
        <is>
          <t>ÖVERKALIX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45535-2025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45922</v>
      </c>
      <c r="E163" s="1" t="n">
        <v>46230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46230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72809-2021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44546</v>
      </c>
      <c r="E165" s="1" t="n">
        <v>46230</v>
      </c>
      <c r="F165" t="inlineStr">
        <is>
          <t>NORRBOTTENS LÄN</t>
        </is>
      </c>
      <c r="G165" t="inlineStr">
        <is>
          <t>ÖVERKALIX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46230</v>
      </c>
      <c r="F166" t="inlineStr">
        <is>
          <t>NORRBOTTENS LÄN</t>
        </is>
      </c>
      <c r="G166" t="inlineStr">
        <is>
          <t>ÖVERKALIX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46230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44993</v>
      </c>
      <c r="E168" s="1" t="n">
        <v>46230</v>
      </c>
      <c r="F168" t="inlineStr">
        <is>
          <t>NORRBOTTENS LÄN</t>
        </is>
      </c>
      <c r="G168" t="inlineStr">
        <is>
          <t>ÖVERKALIX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46230</v>
      </c>
      <c r="F169" t="inlineStr">
        <is>
          <t>NORRBOTTENS LÄN</t>
        </is>
      </c>
      <c r="G169" t="inlineStr">
        <is>
          <t>ÖVERKALIX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46230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44595</v>
      </c>
      <c r="E171" s="1" t="n">
        <v>46230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46230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46230</v>
      </c>
      <c r="F173" t="inlineStr">
        <is>
          <t>NORRBOTTENS LÄN</t>
        </is>
      </c>
      <c r="G173" t="inlineStr">
        <is>
          <t>ÖVERKALIX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46230</v>
      </c>
      <c r="F174" t="inlineStr">
        <is>
          <t>NORRBOTTENS LÄN</t>
        </is>
      </c>
      <c r="G174" t="inlineStr">
        <is>
          <t>ÖVERKALIX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46230</v>
      </c>
      <c r="F175" t="inlineStr">
        <is>
          <t>NORRBOTTENS LÄN</t>
        </is>
      </c>
      <c r="G175" t="inlineStr">
        <is>
          <t>ÖVERKALIX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46230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46230</v>
      </c>
      <c r="F177" t="inlineStr">
        <is>
          <t>NORRBOTTENS LÄN</t>
        </is>
      </c>
      <c r="G177" t="inlineStr">
        <is>
          <t>ÖVERKALIX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46230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46230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26554-2023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45092</v>
      </c>
      <c r="E180" s="1" t="n">
        <v>46230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46230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46230</v>
      </c>
      <c r="F182" t="inlineStr">
        <is>
          <t>NORRBOTTENS LÄN</t>
        </is>
      </c>
      <c r="G182" t="inlineStr">
        <is>
          <t>ÖVERKALIX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46230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46230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46230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46142</v>
      </c>
      <c r="E186" s="1" t="n">
        <v>46230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46230</v>
      </c>
      <c r="F187" t="inlineStr">
        <is>
          <t>NORRBOTTENS LÄN</t>
        </is>
      </c>
      <c r="G187" t="inlineStr">
        <is>
          <t>ÖVERKALIX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46230</v>
      </c>
      <c r="F188" t="inlineStr">
        <is>
          <t>NORRBOTTENS LÄN</t>
        </is>
      </c>
      <c r="G188" t="inlineStr">
        <is>
          <t>ÖVERKALIX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46230</v>
      </c>
      <c r="F189" t="inlineStr">
        <is>
          <t>NORRBOTTENS LÄN</t>
        </is>
      </c>
      <c r="G189" t="inlineStr">
        <is>
          <t>ÖVERKALIX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46230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51634-2025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45951</v>
      </c>
      <c r="E191" s="1" t="n">
        <v>46230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45949</v>
      </c>
      <c r="E192" s="1" t="n">
        <v>46230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46230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45954</v>
      </c>
      <c r="E194" s="1" t="n">
        <v>46230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46230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46230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46187</v>
      </c>
      <c r="E197" s="1" t="n">
        <v>46230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44547</v>
      </c>
      <c r="E198" s="1" t="n">
        <v>46230</v>
      </c>
      <c r="F198" t="inlineStr">
        <is>
          <t>NORRBOTTENS LÄN</t>
        </is>
      </c>
      <c r="G198" t="inlineStr">
        <is>
          <t>ÖVERKALIX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46230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46148</v>
      </c>
      <c r="E200" s="1" t="n">
        <v>46230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46148</v>
      </c>
      <c r="E201" s="1" t="n">
        <v>46230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46230</v>
      </c>
      <c r="F202" t="inlineStr">
        <is>
          <t>NORRBOTTENS LÄN</t>
        </is>
      </c>
      <c r="G202" t="inlineStr">
        <is>
          <t>ÖVERKALIX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46230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46230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46230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46230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46230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32.6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46230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46230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46230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46148</v>
      </c>
      <c r="E211" s="1" t="n">
        <v>46230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46148</v>
      </c>
      <c r="E212" s="1" t="n">
        <v>46230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46230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44469</v>
      </c>
      <c r="E214" s="1" t="n">
        <v>46230</v>
      </c>
      <c r="F214" t="inlineStr">
        <is>
          <t>NORRBOTTENS LÄN</t>
        </is>
      </c>
      <c r="G214" t="inlineStr">
        <is>
          <t>ÖVERKALIX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46230</v>
      </c>
      <c r="F215" t="inlineStr">
        <is>
          <t>NORRBOTTENS LÄN</t>
        </is>
      </c>
      <c r="G215" t="inlineStr">
        <is>
          <t>ÖVERKALIX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46230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44950</v>
      </c>
      <c r="E217" s="1" t="n">
        <v>46230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46230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46230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46230</v>
      </c>
      <c r="F220" t="inlineStr">
        <is>
          <t>NORRBOTTENS LÄN</t>
        </is>
      </c>
      <c r="G220" t="inlineStr">
        <is>
          <t>ÖVERKALIX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46230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46230</v>
      </c>
      <c r="F222" t="inlineStr">
        <is>
          <t>NORRBOTTENS LÄN</t>
        </is>
      </c>
      <c r="G222" t="inlineStr">
        <is>
          <t>ÖVERKALIX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57744-2025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45981</v>
      </c>
      <c r="E223" s="1" t="n">
        <v>46230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46195</v>
      </c>
      <c r="E224" s="1" t="n">
        <v>46230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46230</v>
      </c>
      <c r="F225" t="inlineStr">
        <is>
          <t>NORRBOTTENS LÄN</t>
        </is>
      </c>
      <c r="G225" t="inlineStr">
        <is>
          <t>ÖVERKALIX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46230</v>
      </c>
      <c r="F226" t="inlineStr">
        <is>
          <t>NORRBOTTENS LÄN</t>
        </is>
      </c>
      <c r="G226" t="inlineStr">
        <is>
          <t>ÖVERKALIX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46230</v>
      </c>
      <c r="F227" t="inlineStr">
        <is>
          <t>NORRBOTTENS LÄN</t>
        </is>
      </c>
      <c r="G227" t="inlineStr">
        <is>
          <t>ÖVERKALIX</t>
        </is>
      </c>
      <c r="I227" t="n">
        <v>16.1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46230</v>
      </c>
      <c r="F228" t="inlineStr">
        <is>
          <t>NORRBOTTENS LÄN</t>
        </is>
      </c>
      <c r="G228" t="inlineStr">
        <is>
          <t>ÖVERKALIX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46230</v>
      </c>
      <c r="F229" t="inlineStr">
        <is>
          <t>NORRBOTTENS LÄN</t>
        </is>
      </c>
      <c r="G229" t="inlineStr">
        <is>
          <t>ÖVERKALIX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46230</v>
      </c>
      <c r="F230" t="inlineStr">
        <is>
          <t>NORRBOTTENS LÄN</t>
        </is>
      </c>
      <c r="G230" t="inlineStr">
        <is>
          <t>ÖVERKALIX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46230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46230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45988</v>
      </c>
      <c r="E233" s="1" t="n">
        <v>46230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46230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46230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46230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46230</v>
      </c>
      <c r="F237" t="inlineStr">
        <is>
          <t>NORRBOTTENS LÄN</t>
        </is>
      </c>
      <c r="G237" t="inlineStr">
        <is>
          <t>ÖVERKALIX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46230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46230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45996</v>
      </c>
      <c r="E240" s="1" t="n">
        <v>46230</v>
      </c>
      <c r="F240" t="inlineStr">
        <is>
          <t>NORRBOTTENS LÄN</t>
        </is>
      </c>
      <c r="G240" t="inlineStr">
        <is>
          <t>ÖVERKALIX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46230</v>
      </c>
      <c r="F241" t="inlineStr">
        <is>
          <t>NORRBOTTENS LÄN</t>
        </is>
      </c>
      <c r="G241" t="inlineStr">
        <is>
          <t>ÖVERKALIX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46230</v>
      </c>
      <c r="F242" t="inlineStr">
        <is>
          <t>NORRBOTTENS LÄN</t>
        </is>
      </c>
      <c r="G242" t="inlineStr">
        <is>
          <t>ÖVERKALIX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46230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32477-2024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45513</v>
      </c>
      <c r="E244" s="1" t="n">
        <v>46230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46230</v>
      </c>
      <c r="F245" t="inlineStr">
        <is>
          <t>NORRBOTTENS LÄN</t>
        </is>
      </c>
      <c r="G245" t="inlineStr">
        <is>
          <t>ÖVERKALIX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46230</v>
      </c>
      <c r="F246" t="inlineStr">
        <is>
          <t>NORRBOTTENS LÄN</t>
        </is>
      </c>
      <c r="G246" t="inlineStr">
        <is>
          <t>ÖVERKALIX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30881-2024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45498</v>
      </c>
      <c r="E247" s="1" t="n">
        <v>46230</v>
      </c>
      <c r="F247" t="inlineStr">
        <is>
          <t>NORRBOTTENS LÄN</t>
        </is>
      </c>
      <c r="G247" t="inlineStr">
        <is>
          <t>ÖVERKALIX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46230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45308</v>
      </c>
      <c r="E249" s="1" t="n">
        <v>46230</v>
      </c>
      <c r="F249" t="inlineStr">
        <is>
          <t>NORRBOTTENS LÄN</t>
        </is>
      </c>
      <c r="G249" t="inlineStr">
        <is>
          <t>ÖVERKALIX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46002</v>
      </c>
      <c r="E250" s="1" t="n">
        <v>46230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28210-2026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46196</v>
      </c>
      <c r="E251" s="1" t="n">
        <v>46230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46230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45588</v>
      </c>
      <c r="E253" s="1" t="n">
        <v>46230</v>
      </c>
      <c r="F253" t="inlineStr">
        <is>
          <t>NORRBOTTENS LÄN</t>
        </is>
      </c>
      <c r="G253" t="inlineStr">
        <is>
          <t>ÖVERKALIX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46230</v>
      </c>
      <c r="F254" t="inlineStr">
        <is>
          <t>NORRBOTTENS LÄN</t>
        </is>
      </c>
      <c r="G254" t="inlineStr">
        <is>
          <t>ÖVERKALIX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46230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46230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46230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46230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46230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46230</v>
      </c>
      <c r="F260" t="inlineStr">
        <is>
          <t>NORRBOTTENS LÄN</t>
        </is>
      </c>
      <c r="G260" t="inlineStr">
        <is>
          <t>ÖVERKALIX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46230</v>
      </c>
      <c r="F261" t="inlineStr">
        <is>
          <t>NORRBOTTENS LÄN</t>
        </is>
      </c>
      <c r="G261" t="inlineStr">
        <is>
          <t>ÖVERKALIX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46230</v>
      </c>
      <c r="F262" t="inlineStr">
        <is>
          <t>NORRBOTTENS LÄN</t>
        </is>
      </c>
      <c r="G262" t="inlineStr">
        <is>
          <t>ÖVERKALIX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46230</v>
      </c>
      <c r="F263" t="inlineStr">
        <is>
          <t>NORRBOTTENS LÄN</t>
        </is>
      </c>
      <c r="G263" t="inlineStr">
        <is>
          <t>ÖVERKALIX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46230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46230</v>
      </c>
      <c r="F265" t="inlineStr">
        <is>
          <t>NORRBOTTENS LÄN</t>
        </is>
      </c>
      <c r="G265" t="inlineStr">
        <is>
          <t>ÖVERKALIX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45513</v>
      </c>
      <c r="E266" s="1" t="n">
        <v>46230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45709</v>
      </c>
      <c r="E267" s="1" t="n">
        <v>46230</v>
      </c>
      <c r="F267" t="inlineStr">
        <is>
          <t>NORRBOTTENS LÄN</t>
        </is>
      </c>
      <c r="G267" t="inlineStr">
        <is>
          <t>ÖVERKALIX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46230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46230</v>
      </c>
      <c r="F269" t="inlineStr">
        <is>
          <t>NORRBOTTENS LÄN</t>
        </is>
      </c>
      <c r="G269" t="inlineStr">
        <is>
          <t>ÖVERKALIX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46230</v>
      </c>
      <c r="F270" t="inlineStr">
        <is>
          <t>NORRBOTTENS LÄN</t>
        </is>
      </c>
      <c r="G270" t="inlineStr">
        <is>
          <t>ÖVERKALIX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46230</v>
      </c>
      <c r="F271" t="inlineStr">
        <is>
          <t>NORRBOTTENS LÄN</t>
        </is>
      </c>
      <c r="G271" t="inlineStr">
        <is>
          <t>ÖVERKALIX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46230</v>
      </c>
      <c r="F272" t="inlineStr">
        <is>
          <t>NORRBOTTENS LÄN</t>
        </is>
      </c>
      <c r="G272" t="inlineStr">
        <is>
          <t>ÖVERKALIX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45639</v>
      </c>
      <c r="E273" s="1" t="n">
        <v>46230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46230</v>
      </c>
      <c r="F274" t="inlineStr">
        <is>
          <t>NORRBOTTENS LÄN</t>
        </is>
      </c>
      <c r="G274" t="inlineStr">
        <is>
          <t>ÖVERKALIX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46230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46230</v>
      </c>
      <c r="F276" t="inlineStr">
        <is>
          <t>NORRBOTTENS LÄN</t>
        </is>
      </c>
      <c r="G276" t="inlineStr">
        <is>
          <t>ÖVERKALIX</t>
        </is>
      </c>
      <c r="I276" t="n">
        <v>13.1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46230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46230</v>
      </c>
      <c r="F278" t="inlineStr">
        <is>
          <t>NORRBOTTENS LÄN</t>
        </is>
      </c>
      <c r="G278" t="inlineStr">
        <is>
          <t>ÖVERKALIX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46230</v>
      </c>
      <c r="F279" t="inlineStr">
        <is>
          <t>NORRBOTTENS LÄN</t>
        </is>
      </c>
      <c r="G279" t="inlineStr">
        <is>
          <t>ÖVERKALIX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45693</v>
      </c>
      <c r="E280" s="1" t="n">
        <v>46230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46230</v>
      </c>
      <c r="F281" t="inlineStr">
        <is>
          <t>NORRBOTTENS LÄN</t>
        </is>
      </c>
      <c r="G281" t="inlineStr">
        <is>
          <t>ÖVERKALIX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46230</v>
      </c>
      <c r="F282" t="inlineStr">
        <is>
          <t>NORRBOTTENS LÄN</t>
        </is>
      </c>
      <c r="G282" t="inlineStr">
        <is>
          <t>ÖVERKALIX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44899</v>
      </c>
      <c r="E283" s="1" t="n">
        <v>46230</v>
      </c>
      <c r="F283" t="inlineStr">
        <is>
          <t>NORRBOTTENS LÄN</t>
        </is>
      </c>
      <c r="G283" t="inlineStr">
        <is>
          <t>ÖVERKALIX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46230</v>
      </c>
      <c r="F284" t="inlineStr">
        <is>
          <t>NORRBOTTENS LÄN</t>
        </is>
      </c>
      <c r="G284" t="inlineStr">
        <is>
          <t>ÖVERKALIX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46230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46230</v>
      </c>
      <c r="F286" t="inlineStr">
        <is>
          <t>NORRBOTTENS LÄN</t>
        </is>
      </c>
      <c r="G286" t="inlineStr">
        <is>
          <t>ÖVERKALIX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46230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46230</v>
      </c>
      <c r="F288" t="inlineStr">
        <is>
          <t>NORRBOTTENS LÄN</t>
        </is>
      </c>
      <c r="G288" t="inlineStr">
        <is>
          <t>ÖVERKALIX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64524-2023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46230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46205</v>
      </c>
      <c r="E290" s="1" t="n">
        <v>46230</v>
      </c>
      <c r="F290" t="inlineStr">
        <is>
          <t>NORRBOTTENS LÄN</t>
        </is>
      </c>
      <c r="G290" t="inlineStr">
        <is>
          <t>ÖVERKALIX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46230</v>
      </c>
      <c r="F291" t="inlineStr">
        <is>
          <t>NORRBOTTENS LÄN</t>
        </is>
      </c>
      <c r="G291" t="inlineStr">
        <is>
          <t>ÖVERKALIX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46230</v>
      </c>
      <c r="F292" t="inlineStr">
        <is>
          <t>NORRBOTTENS LÄN</t>
        </is>
      </c>
      <c r="G292" t="inlineStr">
        <is>
          <t>ÖVERKALIX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46230</v>
      </c>
      <c r="F293" t="inlineStr">
        <is>
          <t>NORRBOTTENS LÄN</t>
        </is>
      </c>
      <c r="G293" t="inlineStr">
        <is>
          <t>ÖVERKALIX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46230</v>
      </c>
      <c r="F294" t="inlineStr">
        <is>
          <t>NORRBOTTENS LÄN</t>
        </is>
      </c>
      <c r="G294" t="inlineStr">
        <is>
          <t>ÖVERKALIX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46230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22.7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46230</v>
      </c>
      <c r="F296" t="inlineStr">
        <is>
          <t>NORRBOTTENS LÄN</t>
        </is>
      </c>
      <c r="G296" t="inlineStr">
        <is>
          <t>ÖVERKALIX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46162</v>
      </c>
      <c r="E297" s="1" t="n">
        <v>46230</v>
      </c>
      <c r="F297" t="inlineStr">
        <is>
          <t>NORRBOTTENS LÄN</t>
        </is>
      </c>
      <c r="G297" t="inlineStr">
        <is>
          <t>ÖVERKALIX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29937-2026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46205</v>
      </c>
      <c r="E298" s="1" t="n">
        <v>46230</v>
      </c>
      <c r="F298" t="inlineStr">
        <is>
          <t>NORRBOTTENS LÄN</t>
        </is>
      </c>
      <c r="G298" t="inlineStr">
        <is>
          <t>ÖVERKALIX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46230</v>
      </c>
      <c r="F299" t="inlineStr">
        <is>
          <t>NORRBOTTENS LÄN</t>
        </is>
      </c>
      <c r="G299" t="inlineStr">
        <is>
          <t>ÖVERKALIX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46230</v>
      </c>
      <c r="F300" t="inlineStr">
        <is>
          <t>NORRBOTTENS LÄN</t>
        </is>
      </c>
      <c r="G300" t="inlineStr">
        <is>
          <t>ÖVERKALIX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46205</v>
      </c>
      <c r="E301" s="1" t="n">
        <v>46230</v>
      </c>
      <c r="F301" t="inlineStr">
        <is>
          <t>NORRBOTTENS LÄN</t>
        </is>
      </c>
      <c r="G301" t="inlineStr">
        <is>
          <t>ÖVERKALIX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46230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46230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46230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46230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28372-2025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46230</v>
      </c>
      <c r="F306" t="inlineStr">
        <is>
          <t>NORRBOTTENS LÄN</t>
        </is>
      </c>
      <c r="G306" t="inlineStr">
        <is>
          <t>ÖVERKALIX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46230</v>
      </c>
      <c r="F307" t="inlineStr">
        <is>
          <t>NORRBOTTENS LÄN</t>
        </is>
      </c>
      <c r="G307" t="inlineStr">
        <is>
          <t>ÖVERKALIX</t>
        </is>
      </c>
      <c r="I307" t="n">
        <v>22.3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46230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46230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46230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46230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46230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30328-2026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46207</v>
      </c>
      <c r="E313" s="1" t="n">
        <v>46230</v>
      </c>
      <c r="F313" t="inlineStr">
        <is>
          <t>NORRBOTTENS LÄN</t>
        </is>
      </c>
      <c r="G313" t="inlineStr">
        <is>
          <t>ÖVERKALIX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46230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30241-2026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46206</v>
      </c>
      <c r="E315" s="1" t="n">
        <v>46230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44546</v>
      </c>
      <c r="E316" s="1" t="n">
        <v>46230</v>
      </c>
      <c r="F316" t="inlineStr">
        <is>
          <t>NORRBOTTENS LÄN</t>
        </is>
      </c>
      <c r="G316" t="inlineStr">
        <is>
          <t>ÖVERKALIX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46230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30329-2026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46207</v>
      </c>
      <c r="E318" s="1" t="n">
        <v>46230</v>
      </c>
      <c r="F318" t="inlineStr">
        <is>
          <t>NORRBOTTENS LÄN</t>
        </is>
      </c>
      <c r="G318" t="inlineStr">
        <is>
          <t>ÖVERKALIX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30327-2026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46207</v>
      </c>
      <c r="E319" s="1" t="n">
        <v>46230</v>
      </c>
      <c r="F319" t="inlineStr">
        <is>
          <t>NORRBOTTENS LÄN</t>
        </is>
      </c>
      <c r="G319" t="inlineStr">
        <is>
          <t>ÖVERKALIX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46230</v>
      </c>
      <c r="F320" t="inlineStr">
        <is>
          <t>NORRBOTTENS LÄN</t>
        </is>
      </c>
      <c r="G320" t="inlineStr">
        <is>
          <t>ÖVERKALIX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46230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46230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46230</v>
      </c>
      <c r="F323" t="inlineStr">
        <is>
          <t>NORRBOTTENS LÄN</t>
        </is>
      </c>
      <c r="G323" t="inlineStr">
        <is>
          <t>ÖVERKALIX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46207</v>
      </c>
      <c r="E324" s="1" t="n">
        <v>46230</v>
      </c>
      <c r="F324" t="inlineStr">
        <is>
          <t>NORRBOTTENS LÄN</t>
        </is>
      </c>
      <c r="G324" t="inlineStr">
        <is>
          <t>ÖVERKALIX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46230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45513</v>
      </c>
      <c r="E326" s="1" t="n">
        <v>46230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46230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46230</v>
      </c>
      <c r="F328" t="inlineStr">
        <is>
          <t>NORRBOTTENS LÄN</t>
        </is>
      </c>
      <c r="G328" t="inlineStr">
        <is>
          <t>ÖVERKALIX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46230</v>
      </c>
      <c r="F329" t="inlineStr">
        <is>
          <t>NORRBOTTENS LÄN</t>
        </is>
      </c>
      <c r="G329" t="inlineStr">
        <is>
          <t>ÖVERKALIX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46230</v>
      </c>
      <c r="F330" t="inlineStr">
        <is>
          <t>NORRBOTTENS LÄN</t>
        </is>
      </c>
      <c r="G330" t="inlineStr">
        <is>
          <t>ÖVERKALIX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46230</v>
      </c>
      <c r="F331" t="inlineStr">
        <is>
          <t>NORRBOTTENS LÄN</t>
        </is>
      </c>
      <c r="G331" t="inlineStr">
        <is>
          <t>ÖVERKALIX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46230</v>
      </c>
      <c r="F332" t="inlineStr">
        <is>
          <t>NORRBOTTENS LÄN</t>
        </is>
      </c>
      <c r="G332" t="inlineStr">
        <is>
          <t>ÖVERKALIX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46168</v>
      </c>
      <c r="E333" s="1" t="n">
        <v>46230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38975-2024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45548</v>
      </c>
      <c r="E334" s="1" t="n">
        <v>46230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28343-2025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45818</v>
      </c>
      <c r="E335" s="1" t="n">
        <v>46230</v>
      </c>
      <c r="F335" t="inlineStr">
        <is>
          <t>NORRBOTTENS LÄN</t>
        </is>
      </c>
      <c r="G335" t="inlineStr">
        <is>
          <t>ÖVERKALIX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46230</v>
      </c>
      <c r="F336" t="inlineStr">
        <is>
          <t>NORRBOTTENS LÄN</t>
        </is>
      </c>
      <c r="G336" t="inlineStr">
        <is>
          <t>ÖVERKALIX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46230</v>
      </c>
      <c r="F337" t="inlineStr">
        <is>
          <t>NORRBOTTENS LÄN</t>
        </is>
      </c>
      <c r="G337" t="inlineStr">
        <is>
          <t>ÖVERKALIX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46230</v>
      </c>
      <c r="F338" t="inlineStr">
        <is>
          <t>NORRBOTTENS LÄN</t>
        </is>
      </c>
      <c r="G338" t="inlineStr">
        <is>
          <t>ÖVERKALIX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46230</v>
      </c>
      <c r="F339" t="inlineStr">
        <is>
          <t>NORRBOTTENS LÄN</t>
        </is>
      </c>
      <c r="G339" t="inlineStr">
        <is>
          <t>ÖVERKALIX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46230</v>
      </c>
      <c r="F340" t="inlineStr">
        <is>
          <t>NORRBOTTENS LÄN</t>
        </is>
      </c>
      <c r="G340" t="inlineStr">
        <is>
          <t>ÖVERKALIX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45604</v>
      </c>
      <c r="E341" s="1" t="n">
        <v>46230</v>
      </c>
      <c r="F341" t="inlineStr">
        <is>
          <t>NORRBOTTENS LÄN</t>
        </is>
      </c>
      <c r="G341" t="inlineStr">
        <is>
          <t>ÖVERKALIX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46230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46230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46230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46230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46230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46230</v>
      </c>
      <c r="F347" t="inlineStr">
        <is>
          <t>NORRBOTTENS LÄN</t>
        </is>
      </c>
      <c r="G347" t="inlineStr">
        <is>
          <t>ÖVERKALIX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46230</v>
      </c>
      <c r="F348" t="inlineStr">
        <is>
          <t>NORRBOTTENS LÄN</t>
        </is>
      </c>
      <c r="G348" t="inlineStr">
        <is>
          <t>ÖVERKALIX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46230</v>
      </c>
      <c r="F349" t="inlineStr">
        <is>
          <t>NORRBOTTENS LÄN</t>
        </is>
      </c>
      <c r="G349" t="inlineStr">
        <is>
          <t>ÖVERKALIX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46230</v>
      </c>
      <c r="F350" t="inlineStr">
        <is>
          <t>NORRBOTTENS LÄN</t>
        </is>
      </c>
      <c r="G350" t="inlineStr">
        <is>
          <t>ÖVERKALIX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46230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22.8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45518</v>
      </c>
      <c r="E352" s="1" t="n">
        <v>46230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46230</v>
      </c>
      <c r="F353" t="inlineStr">
        <is>
          <t>NORRBOTTENS LÄN</t>
        </is>
      </c>
      <c r="G353" t="inlineStr">
        <is>
          <t>ÖVERKALIX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45699</v>
      </c>
      <c r="E354" s="1" t="n">
        <v>46230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28.8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46230</v>
      </c>
      <c r="F355" t="inlineStr">
        <is>
          <t>NORRBOTTENS LÄN</t>
        </is>
      </c>
      <c r="G355" t="inlineStr">
        <is>
          <t>ÖVERKALIX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46230</v>
      </c>
      <c r="F356" t="inlineStr">
        <is>
          <t>NORRBOTTENS LÄN</t>
        </is>
      </c>
      <c r="G356" t="inlineStr">
        <is>
          <t>ÖVERKALIX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46230</v>
      </c>
      <c r="F357" t="inlineStr">
        <is>
          <t>NORRBOTTENS LÄN</t>
        </is>
      </c>
      <c r="G357" t="inlineStr">
        <is>
          <t>ÖVERKALIX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46230</v>
      </c>
      <c r="F358" t="inlineStr">
        <is>
          <t>NORRBOTTENS LÄN</t>
        </is>
      </c>
      <c r="G358" t="inlineStr">
        <is>
          <t>ÖVERKALIX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46230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46230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46230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45334</v>
      </c>
      <c r="E362" s="1" t="n">
        <v>46230</v>
      </c>
      <c r="F362" t="inlineStr">
        <is>
          <t>NORRBOTTENS LÄN</t>
        </is>
      </c>
      <c r="G362" t="inlineStr">
        <is>
          <t>ÖVERKALIX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45621</v>
      </c>
      <c r="E363" s="1" t="n">
        <v>46230</v>
      </c>
      <c r="F363" t="inlineStr">
        <is>
          <t>NORRBOTTENS LÄN</t>
        </is>
      </c>
      <c r="G363" t="inlineStr">
        <is>
          <t>ÖVERKALIX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46230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46230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46230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46230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46230</v>
      </c>
      <c r="F368" t="inlineStr">
        <is>
          <t>NORRBOTTENS LÄN</t>
        </is>
      </c>
      <c r="G368" t="inlineStr">
        <is>
          <t>ÖVERKALIX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46230</v>
      </c>
      <c r="F369" t="inlineStr">
        <is>
          <t>NORRBOTTENS LÄN</t>
        </is>
      </c>
      <c r="G369" t="inlineStr">
        <is>
          <t>ÖVERKALIX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46230</v>
      </c>
      <c r="F370" t="inlineStr">
        <is>
          <t>NORRBOTTENS LÄN</t>
        </is>
      </c>
      <c r="G370" t="inlineStr">
        <is>
          <t>ÖVERKALIX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46230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46230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18522-2026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46230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46230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46225</v>
      </c>
      <c r="E375" s="1" t="n">
        <v>46230</v>
      </c>
      <c r="F375" t="inlineStr">
        <is>
          <t>NORRBOTTENS LÄN</t>
        </is>
      </c>
      <c r="G375" t="inlineStr">
        <is>
          <t>ÖVERKALIX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46230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46230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46230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46230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46230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72212-2021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44543</v>
      </c>
      <c r="E381" s="1" t="n">
        <v>46230</v>
      </c>
      <c r="F381" t="inlineStr">
        <is>
          <t>NORRBOTTENS LÄN</t>
        </is>
      </c>
      <c r="G381" t="inlineStr">
        <is>
          <t>ÖVERKALIX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46230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45404</v>
      </c>
      <c r="E383" s="1" t="n">
        <v>46230</v>
      </c>
      <c r="F383" t="inlineStr">
        <is>
          <t>NORRBOTTENS LÄN</t>
        </is>
      </c>
      <c r="G383" t="inlineStr">
        <is>
          <t>ÖVERKALIX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46230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46230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46230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29.9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46230</v>
      </c>
      <c r="F387" t="inlineStr">
        <is>
          <t>NORRBOTTENS LÄN</t>
        </is>
      </c>
      <c r="G387" t="inlineStr">
        <is>
          <t>ÖVERKALIX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46230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45401</v>
      </c>
      <c r="E389" s="1" t="n">
        <v>46230</v>
      </c>
      <c r="F389" t="inlineStr">
        <is>
          <t>NORRBOTTENS LÄN</t>
        </is>
      </c>
      <c r="G389" t="inlineStr">
        <is>
          <t>ÖVERKALIX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46230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46230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44446</v>
      </c>
      <c r="E392" s="1" t="n">
        <v>46230</v>
      </c>
      <c r="F392" t="inlineStr">
        <is>
          <t>NORRBOTTENS LÄN</t>
        </is>
      </c>
      <c r="G392" t="inlineStr">
        <is>
          <t>ÖVERKALIX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46230</v>
      </c>
      <c r="F393" t="inlineStr">
        <is>
          <t>NORRBOTTENS LÄN</t>
        </is>
      </c>
      <c r="G393" t="inlineStr">
        <is>
          <t>ÖVERKALIX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46230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43673-2021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44433</v>
      </c>
      <c r="E395" s="1" t="n">
        <v>46230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45693</v>
      </c>
      <c r="E396" s="1" t="n">
        <v>46230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45315</v>
      </c>
      <c r="E397" s="1" t="n">
        <v>46230</v>
      </c>
      <c r="F397" t="inlineStr">
        <is>
          <t>NORRBOTTENS LÄN</t>
        </is>
      </c>
      <c r="G397" t="inlineStr">
        <is>
          <t>ÖVERKALIX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45621</v>
      </c>
      <c r="E398" s="1" t="n">
        <v>46230</v>
      </c>
      <c r="F398" t="inlineStr">
        <is>
          <t>NORRBOTTENS LÄN</t>
        </is>
      </c>
      <c r="G398" t="inlineStr">
        <is>
          <t>ÖVERKALIX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46230</v>
      </c>
      <c r="F399" t="inlineStr">
        <is>
          <t>NORRBOTTENS LÄN</t>
        </is>
      </c>
      <c r="G399" t="inlineStr">
        <is>
          <t>ÖVERKALIX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58037-2024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46230</v>
      </c>
      <c r="F400" t="inlineStr">
        <is>
          <t>NORRBOTTENS LÄN</t>
        </is>
      </c>
      <c r="G400" t="inlineStr">
        <is>
          <t>ÖVERKALIX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45771</v>
      </c>
      <c r="E401" s="1" t="n">
        <v>46230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46230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48577-2023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45208</v>
      </c>
      <c r="E403" s="1" t="n">
        <v>46230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38941-2024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46230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46230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45153</v>
      </c>
      <c r="E406" s="1" t="n">
        <v>46230</v>
      </c>
      <c r="F406" t="inlineStr">
        <is>
          <t>NORRBOTTENS LÄN</t>
        </is>
      </c>
      <c r="G406" t="inlineStr">
        <is>
          <t>ÖVERKALIX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46230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46230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45076</v>
      </c>
      <c r="E409" s="1" t="n">
        <v>46230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Övriga statliga verk och myndigheter</t>
        </is>
      </c>
      <c r="I409" t="n">
        <v>38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19529-2024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45429</v>
      </c>
      <c r="E410" s="1" t="n">
        <v>46230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46230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45692</v>
      </c>
      <c r="E412" s="1" t="n">
        <v>46230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46230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45520</v>
      </c>
      <c r="E414" s="1" t="n">
        <v>46230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45782</v>
      </c>
      <c r="E415" s="1" t="n">
        <v>46230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39974-2021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44417</v>
      </c>
      <c r="E416" s="1" t="n">
        <v>46230</v>
      </c>
      <c r="F416" t="inlineStr">
        <is>
          <t>NORRBOTTENS LÄN</t>
        </is>
      </c>
      <c r="G416" t="inlineStr">
        <is>
          <t>ÖVERKALIX</t>
        </is>
      </c>
      <c r="I416" t="n">
        <v>21.6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46230</v>
      </c>
      <c r="F417" t="inlineStr">
        <is>
          <t>NORRBOTTENS LÄN</t>
        </is>
      </c>
      <c r="G417" t="inlineStr">
        <is>
          <t>ÖVERKALIX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46230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46230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46230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46230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46230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45323</v>
      </c>
      <c r="E423" s="1" t="n">
        <v>46230</v>
      </c>
      <c r="F423" t="inlineStr">
        <is>
          <t>NORRBOTTENS LÄN</t>
        </is>
      </c>
      <c r="G423" t="inlineStr">
        <is>
          <t>ÖVERKALIX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46230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45377</v>
      </c>
      <c r="E425" s="1" t="n">
        <v>46230</v>
      </c>
      <c r="F425" t="inlineStr">
        <is>
          <t>NORRBOTTENS LÄN</t>
        </is>
      </c>
      <c r="G425" t="inlineStr">
        <is>
          <t>ÖVERKALIX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46230</v>
      </c>
      <c r="F426" t="inlineStr">
        <is>
          <t>NORRBOTTENS LÄN</t>
        </is>
      </c>
      <c r="G426" t="inlineStr">
        <is>
          <t>ÖVERKALIX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46230</v>
      </c>
      <c r="F427" t="inlineStr">
        <is>
          <t>NORRBOTTENS LÄN</t>
        </is>
      </c>
      <c r="G427" t="inlineStr">
        <is>
          <t>ÖVERKALIX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45810</v>
      </c>
      <c r="E428" s="1" t="n">
        <v>46230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46230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46230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46230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46230</v>
      </c>
      <c r="F432" t="inlineStr">
        <is>
          <t>NORRBOTTENS LÄN</t>
        </is>
      </c>
      <c r="G432" t="inlineStr">
        <is>
          <t>ÖVERKALIX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46230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46230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8.699999999999999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46230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46230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46230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46230</v>
      </c>
      <c r="F438" t="inlineStr">
        <is>
          <t>NORRBOTTENS LÄN</t>
        </is>
      </c>
      <c r="G438" t="inlineStr">
        <is>
          <t>ÖVERKALIX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46230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46230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46230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46230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46230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9.699999999999999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46230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46230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46230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46230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46230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46230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46230</v>
      </c>
      <c r="F450" t="inlineStr">
        <is>
          <t>NORRBOTTENS LÄN</t>
        </is>
      </c>
      <c r="G450" t="inlineStr">
        <is>
          <t>ÖVERKALIX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46230</v>
      </c>
      <c r="F451" t="inlineStr">
        <is>
          <t>NORRBOTTENS LÄN</t>
        </is>
      </c>
      <c r="G451" t="inlineStr">
        <is>
          <t>ÖVERKALIX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46230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46230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31744-2025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45834</v>
      </c>
      <c r="E454" s="1" t="n">
        <v>46230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46230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45838</v>
      </c>
      <c r="E456" s="1" t="n">
        <v>46230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45837</v>
      </c>
      <c r="E457" s="1" t="n">
        <v>46230</v>
      </c>
      <c r="F457" t="inlineStr">
        <is>
          <t>NORRBOTTENS LÄN</t>
        </is>
      </c>
      <c r="G457" t="inlineStr">
        <is>
          <t>ÖVERKALIX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45839</v>
      </c>
      <c r="E458" s="1" t="n">
        <v>46230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45838</v>
      </c>
      <c r="E459" s="1" t="n">
        <v>46230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45837</v>
      </c>
      <c r="E460" s="1" t="n">
        <v>46230</v>
      </c>
      <c r="F460" t="inlineStr">
        <is>
          <t>NORRBOTTENS LÄN</t>
        </is>
      </c>
      <c r="G460" t="inlineStr">
        <is>
          <t>ÖVERKALIX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45837</v>
      </c>
      <c r="E461" s="1" t="n">
        <v>46230</v>
      </c>
      <c r="F461" t="inlineStr">
        <is>
          <t>NORRBOTTENS LÄN</t>
        </is>
      </c>
      <c r="G461" t="inlineStr">
        <is>
          <t>ÖVERKALIX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33266-2025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46230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46230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34128-2025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45845</v>
      </c>
      <c r="E464" s="1" t="n">
        <v>46230</v>
      </c>
      <c r="F464" t="inlineStr">
        <is>
          <t>NORRBOTTENS LÄN</t>
        </is>
      </c>
      <c r="G464" t="inlineStr">
        <is>
          <t>ÖVERKALIX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41706-2021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44424</v>
      </c>
      <c r="E465" s="1" t="n">
        <v>46230</v>
      </c>
      <c r="F465" t="inlineStr">
        <is>
          <t>NORRBOTTENS LÄN</t>
        </is>
      </c>
      <c r="G465" t="inlineStr">
        <is>
          <t>ÖVERKALIX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45869</v>
      </c>
      <c r="E466" s="1" t="n">
        <v>46230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46230</v>
      </c>
      <c r="F467" t="inlineStr">
        <is>
          <t>NORRBOTTENS LÄN</t>
        </is>
      </c>
      <c r="G467" t="inlineStr">
        <is>
          <t>ÖVERKALIX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46230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46230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46230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46230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46230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46230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46230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2026-07-27T01:50:06Z</dcterms:created>
  <dcterms:modified xmlns:dcterms="http://purl.org/dc/terms/" xmlns:xsi="http://www.w3.org/2001/XMLSchema-instance" xsi:type="dcterms:W3CDTF">2026-07-27T01:50:07Z</dcterms:modified>
</cp:coreProperties>
</file>