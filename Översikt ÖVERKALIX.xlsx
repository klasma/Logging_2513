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46281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46281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46281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63242-2025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46010</v>
      </c>
      <c r="E5" s="1" t="n">
        <v>46281</v>
      </c>
      <c r="F5" t="inlineStr">
        <is>
          <t>NORRBOTTENS LÄN</t>
        </is>
      </c>
      <c r="G5" t="inlineStr">
        <is>
          <t>ÖVERKALIX</t>
        </is>
      </c>
      <c r="I5" t="n">
        <v>9.5</v>
      </c>
      <c r="J5" t="n">
        <v>3</v>
      </c>
      <c r="K5" t="n">
        <v>2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13</v>
      </c>
      <c r="T5" t="n">
        <v>45</v>
      </c>
      <c r="U5" t="n">
        <v>45</v>
      </c>
      <c r="V5" s="2" t="inlineStr">
        <is>
          <t>Garnlav
Dropptaggsvamp
Kolflarnlav
Nordtagging
Orange taggsvamp
Skarp dropptaggsvamp
Tallriska
Talltagel
Talltita
Vaddporing
Nästlav
Plattlummer
Tjäder</t>
        </is>
      </c>
      <c r="W5">
        <f>HYPERLINK("https://klasma.github.io/Logging_2513/artfynd/A 63242-2025 artfynd.xlsx", "A 63242-2025")</f>
        <v/>
      </c>
      <c r="X5">
        <f>HYPERLINK("https://klasma.github.io/Logging_2513/kartor/A 63242-2025 karta.png", "A 63242-2025")</f>
        <v/>
      </c>
      <c r="Y5">
        <f>HYPERLINK("https://klasma.github.io/Logging_2513/kartor_geotiff/A 63242-2025 georefererad karta.tif", "A 63242-2025")</f>
        <v/>
      </c>
      <c r="AA5">
        <f>HYPERLINK("https://klasma.github.io/Logging_2513/klagomål/A 63242-2025 FSC-klagomål.docx", "A 63242-2025")</f>
        <v/>
      </c>
      <c r="AB5">
        <f>HYPERLINK("https://klasma.github.io/Logging_2513/klagomålsmail/A 63242-2025 FSC-klagomål mail.docx", "A 63242-2025")</f>
        <v/>
      </c>
      <c r="AC5">
        <f>HYPERLINK("https://klasma.github.io/Logging_2513/tillsyn/A 63242-2025 tillsynsbegäran.docx", "A 63242-2025")</f>
        <v/>
      </c>
      <c r="AD5">
        <f>HYPERLINK("https://klasma.github.io/Logging_2513/tillsynsmail/A 63242-2025 tillsynsbegäran mail.docx", "A 63242-2025")</f>
        <v/>
      </c>
      <c r="AE5">
        <f>HYPERLINK("https://klasma.github.io/Logging_2513/fåglar/A 63242-2025 prioriterade fågelarter.docx", "A 63242-2025")</f>
        <v/>
      </c>
    </row>
    <row r="6" ht="15" customHeight="1">
      <c r="A6" t="inlineStr">
        <is>
          <t>A 43065-2025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45909</v>
      </c>
      <c r="E6" s="1" t="n">
        <v>46281</v>
      </c>
      <c r="F6" t="inlineStr">
        <is>
          <t>NORRBOTTENS LÄN</t>
        </is>
      </c>
      <c r="G6" t="inlineStr">
        <is>
          <t>ÖVERKALIX</t>
        </is>
      </c>
      <c r="I6" t="n">
        <v>8.9</v>
      </c>
      <c r="J6" t="n">
        <v>3</v>
      </c>
      <c r="K6" t="n">
        <v>2</v>
      </c>
      <c r="L6" t="n">
        <v>8</v>
      </c>
      <c r="M6" t="n">
        <v>2</v>
      </c>
      <c r="N6" t="n">
        <v>0</v>
      </c>
      <c r="O6" t="n">
        <v>0</v>
      </c>
      <c r="P6" t="n">
        <v>0</v>
      </c>
      <c r="Q6" t="n">
        <v>10</v>
      </c>
      <c r="R6" t="n">
        <v>2</v>
      </c>
      <c r="S6" t="n">
        <v>13</v>
      </c>
      <c r="T6" t="n">
        <v>39</v>
      </c>
      <c r="U6" t="n">
        <v>39</v>
      </c>
      <c r="V6" s="2" t="inlineStr">
        <is>
          <t>Garnlav
Smalfotad taggsvamp
Dropptaggsvamp
Nordtagging
Orange taggsvamp
Skarp dropptaggsvamp
Tallriska
Talltagel
Talltita
Vedskivlav
Nästlav
Plattlummer
Tjäder</t>
        </is>
      </c>
      <c r="W6">
        <f>HYPERLINK("https://klasma.github.io/Logging_2513/artfynd/A 43065-2025 artfynd.xlsx", "A 43065-2025")</f>
        <v/>
      </c>
      <c r="X6">
        <f>HYPERLINK("https://klasma.github.io/Logging_2513/kartor/A 43065-2025 karta.png", "A 43065-2025")</f>
        <v/>
      </c>
      <c r="Y6">
        <f>HYPERLINK("https://klasma.github.io/Logging_2513/kartor_geotiff/A 43065-2025 georefererad karta.tif", "A 43065-2025")</f>
        <v/>
      </c>
      <c r="AA6">
        <f>HYPERLINK("https://klasma.github.io/Logging_2513/klagomål/A 43065-2025 FSC-klagomål.docx", "A 43065-2025")</f>
        <v/>
      </c>
      <c r="AB6">
        <f>HYPERLINK("https://klasma.github.io/Logging_2513/klagomålsmail/A 43065-2025 FSC-klagomål mail.docx", "A 43065-2025")</f>
        <v/>
      </c>
      <c r="AC6">
        <f>HYPERLINK("https://klasma.github.io/Logging_2513/tillsyn/A 43065-2025 tillsynsbegäran.docx", "A 43065-2025")</f>
        <v/>
      </c>
      <c r="AD6">
        <f>HYPERLINK("https://klasma.github.io/Logging_2513/tillsynsmail/A 43065-2025 tillsynsbegäran mail.docx", "A 43065-2025")</f>
        <v/>
      </c>
      <c r="AE6">
        <f>HYPERLINK("https://klasma.github.io/Logging_2513/fåglar/A 43065-2025 prioriterade fågelarter.docx", "A 43065-2025")</f>
        <v/>
      </c>
    </row>
    <row r="7" ht="15" customHeight="1">
      <c r="A7" t="inlineStr">
        <is>
          <t>A 23383-2026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46162</v>
      </c>
      <c r="E7" s="1" t="n">
        <v>46281</v>
      </c>
      <c r="F7" t="inlineStr">
        <is>
          <t>NORRBOTTENS LÄN</t>
        </is>
      </c>
      <c r="G7" t="inlineStr">
        <is>
          <t>ÖVERKALIX</t>
        </is>
      </c>
      <c r="I7" t="n">
        <v>2.6</v>
      </c>
      <c r="J7" t="n">
        <v>4</v>
      </c>
      <c r="K7" t="n">
        <v>5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13</v>
      </c>
      <c r="T7" t="n">
        <v>26</v>
      </c>
      <c r="U7" t="n">
        <v>26</v>
      </c>
      <c r="V7" s="2" t="inlineStr">
        <is>
          <t>Garnlav
Knärot
Myskmåra
Tretåig hackspett
Björksplintborre
Nästlav
Sotlav
Trådticka
Vågbandad barkbock
Järpe
Liljekonvalj
Sälg
Tjäder</t>
        </is>
      </c>
      <c r="W7">
        <f>HYPERLINK("https://klasma.github.io/Logging_2513/artfynd/A 23383-2026 artfynd.xlsx", "A 23383-2026")</f>
        <v/>
      </c>
      <c r="X7">
        <f>HYPERLINK("https://klasma.github.io/Logging_2513/kartor/A 23383-2026 karta.png", "A 23383-2026")</f>
        <v/>
      </c>
      <c r="Y7">
        <f>HYPERLINK("https://klasma.github.io/Logging_2513/kartor_geotiff/A 23383-2026 georefererad karta.tif", "A 23383-2026")</f>
        <v/>
      </c>
      <c r="Z7">
        <f>HYPERLINK("https://klasma.github.io/Logging_2513/knärot/A 23383-2026 karta knärot.png", "A 23383-2026")</f>
        <v/>
      </c>
      <c r="AA7">
        <f>HYPERLINK("https://klasma.github.io/Logging_2513/klagomål/A 23383-2026 FSC-klagomål.docx", "A 23383-2026")</f>
        <v/>
      </c>
      <c r="AB7">
        <f>HYPERLINK("https://klasma.github.io/Logging_2513/klagomålsmail/A 23383-2026 FSC-klagomål mail.docx", "A 23383-2026")</f>
        <v/>
      </c>
      <c r="AC7">
        <f>HYPERLINK("https://klasma.github.io/Logging_2513/tillsyn/A 23383-2026 tillsynsbegäran.docx", "A 23383-2026")</f>
        <v/>
      </c>
      <c r="AD7">
        <f>HYPERLINK("https://klasma.github.io/Logging_2513/tillsynsmail/A 23383-2026 tillsynsbegäran mail.docx", "A 23383-2026")</f>
        <v/>
      </c>
      <c r="AE7">
        <f>HYPERLINK("https://klasma.github.io/Logging_2513/fåglar/A 23383-2026 prioriterade fågelarter.docx", "A 23383-2026")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46281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46281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16</v>
      </c>
      <c r="U9" t="n">
        <v>16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46281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46281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46281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46281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46281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46281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46281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46281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46281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46281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46281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46281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46281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46281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46281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46281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46281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46281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46281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30525-2025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45831</v>
      </c>
      <c r="E29" s="1" t="n">
        <v>46281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5.3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Gammelgransskål
Bollvitmossa
Järpe</t>
        </is>
      </c>
      <c r="W29">
        <f>HYPERLINK("https://klasma.github.io/Logging_2513/artfynd/A 30525-2025 artfynd.xlsx", "A 30525-2025")</f>
        <v/>
      </c>
      <c r="X29">
        <f>HYPERLINK("https://klasma.github.io/Logging_2513/kartor/A 30525-2025 karta.png", "A 30525-2025")</f>
        <v/>
      </c>
      <c r="Y29">
        <f>HYPERLINK("https://klasma.github.io/Logging_2513/kartor_geotiff/A 30525-2025 georefererad karta.tif", "A 30525-2025")</f>
        <v/>
      </c>
      <c r="AA29">
        <f>HYPERLINK("https://klasma.github.io/Logging_2513/klagomål/A 30525-2025 FSC-klagomål.docx", "A 30525-2025")</f>
        <v/>
      </c>
      <c r="AB29">
        <f>HYPERLINK("https://klasma.github.io/Logging_2513/klagomålsmail/A 30525-2025 FSC-klagomål mail.docx", "A 30525-2025")</f>
        <v/>
      </c>
      <c r="AC29">
        <f>HYPERLINK("https://klasma.github.io/Logging_2513/tillsyn/A 30525-2025 tillsynsbegäran.docx", "A 30525-2025")</f>
        <v/>
      </c>
      <c r="AD29">
        <f>HYPERLINK("https://klasma.github.io/Logging_2513/tillsynsmail/A 30525-2025 tillsynsbegäran mail.docx", "A 30525-2025")</f>
        <v/>
      </c>
      <c r="AE29">
        <f>HYPERLINK("https://klasma.github.io/Logging_2513/fåglar/A 30525-2025 prioriterade fågelarter.docx", "A 30525-2025")</f>
        <v/>
      </c>
    </row>
    <row r="30" ht="15" customHeight="1">
      <c r="A30" t="inlineStr">
        <is>
          <t>A 36378-2024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46281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Lunglav
Fläcknycklar</t>
        </is>
      </c>
      <c r="W30">
        <f>HYPERLINK("https://klasma.github.io/Logging_2513/artfynd/A 36378-2024 artfynd.xlsx", "A 36378-2024")</f>
        <v/>
      </c>
      <c r="X30">
        <f>HYPERLINK("https://klasma.github.io/Logging_2513/kartor/A 36378-2024 karta.png", "A 36378-2024")</f>
        <v/>
      </c>
      <c r="Y30">
        <f>HYPERLINK("https://klasma.github.io/Logging_2513/kartor_geotiff/A 36378-2024 georefererad karta.tif", "A 36378-2024")</f>
        <v/>
      </c>
      <c r="AA30">
        <f>HYPERLINK("https://klasma.github.io/Logging_2513/klagomål/A 36378-2024 FSC-klagomål.docx", "A 36378-2024")</f>
        <v/>
      </c>
      <c r="AB30">
        <f>HYPERLINK("https://klasma.github.io/Logging_2513/klagomålsmail/A 36378-2024 FSC-klagomål mail.docx", "A 36378-2024")</f>
        <v/>
      </c>
      <c r="AC30">
        <f>HYPERLINK("https://klasma.github.io/Logging_2513/tillsyn/A 36378-2024 tillsynsbegäran.docx", "A 36378-2024")</f>
        <v/>
      </c>
      <c r="AD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46281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26.7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Gammelgransskål
Orre</t>
        </is>
      </c>
      <c r="W31">
        <f>HYPERLINK("https://klasma.github.io/Logging_2513/artfynd/A 36381-2024 artfynd.xlsx", "A 36381-2024")</f>
        <v/>
      </c>
      <c r="X31">
        <f>HYPERLINK("https://klasma.github.io/Logging_2513/kartor/A 36381-2024 karta.png", "A 36381-2024")</f>
        <v/>
      </c>
      <c r="Y31">
        <f>HYPERLINK("https://klasma.github.io/Logging_2513/kartor_geotiff/A 36381-2024 georefererad karta.tif", "A 36381-2024")</f>
        <v/>
      </c>
      <c r="AA31">
        <f>HYPERLINK("https://klasma.github.io/Logging_2513/klagomål/A 36381-2024 FSC-klagomål.docx", "A 36381-2024")</f>
        <v/>
      </c>
      <c r="AB31">
        <f>HYPERLINK("https://klasma.github.io/Logging_2513/klagomålsmail/A 36381-2024 FSC-klagomål mail.docx", "A 36381-2024")</f>
        <v/>
      </c>
      <c r="AC31">
        <f>HYPERLINK("https://klasma.github.io/Logging_2513/tillsyn/A 36381-2024 tillsynsbegäran.docx", "A 36381-2024")</f>
        <v/>
      </c>
      <c r="AD31">
        <f>HYPERLINK("https://klasma.github.io/Logging_2513/tillsynsmail/A 36381-2024 tillsynsbegäran mail.docx", "A 36381-2024")</f>
        <v/>
      </c>
      <c r="AE31">
        <f>HYPERLINK("https://klasma.github.io/Logging_2513/fåglar/A 36381-2024 prioriterade fågelarter.docx", "A 36381-2024")</f>
        <v/>
      </c>
    </row>
    <row r="32" ht="15" customHeight="1">
      <c r="A32" t="inlineStr">
        <is>
          <t>A 5797-2022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46281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Skarp dropptaggsvamp
Violmussling</t>
        </is>
      </c>
      <c r="W32">
        <f>HYPERLINK("https://klasma.github.io/Logging_2513/artfynd/A 5797-2022 artfynd.xlsx", "A 5797-2022")</f>
        <v/>
      </c>
      <c r="X32">
        <f>HYPERLINK("https://klasma.github.io/Logging_2513/kartor/A 5797-2022 karta.png", "A 5797-2022")</f>
        <v/>
      </c>
      <c r="Y32">
        <f>HYPERLINK("https://klasma.github.io/Logging_2513/kartor_geotiff/A 5797-2022 georefererad karta.tif", "A 5797-2022")</f>
        <v/>
      </c>
      <c r="AA32">
        <f>HYPERLINK("https://klasma.github.io/Logging_2513/klagomål/A 5797-2022 FSC-klagomål.docx", "A 5797-2022")</f>
        <v/>
      </c>
      <c r="AB32">
        <f>HYPERLINK("https://klasma.github.io/Logging_2513/klagomålsmail/A 5797-2022 FSC-klagomål mail.docx", "A 5797-2022")</f>
        <v/>
      </c>
      <c r="AC32">
        <f>HYPERLINK("https://klasma.github.io/Logging_2513/tillsyn/A 5797-2022 tillsynsbegäran.docx", "A 5797-2022")</f>
        <v/>
      </c>
      <c r="AD32">
        <f>HYPERLINK("https://klasma.github.io/Logging_2513/tillsynsmail/A 5797-2022 tillsynsbegäran mail.docx", "A 5797-2022")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46281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14152-2026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46099</v>
      </c>
      <c r="E34" s="1" t="n">
        <v>46281</v>
      </c>
      <c r="F34" t="inlineStr">
        <is>
          <t>NORRBOTTENS LÄN</t>
        </is>
      </c>
      <c r="G34" t="inlineStr">
        <is>
          <t>ÖVERKALIX</t>
        </is>
      </c>
      <c r="I34" t="n">
        <v>4.6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Källpraktmossa
Spädstarr</t>
        </is>
      </c>
      <c r="W34">
        <f>HYPERLINK("https://klasma.github.io/Logging_2513/artfynd/A 14152-2026 artfynd.xlsx", "A 14152-2026")</f>
        <v/>
      </c>
      <c r="X34">
        <f>HYPERLINK("https://klasma.github.io/Logging_2513/kartor/A 14152-2026 karta.png", "A 14152-2026")</f>
        <v/>
      </c>
      <c r="Y34">
        <f>HYPERLINK("https://klasma.github.io/Logging_2513/kartor_geotiff/A 14152-2026 georefererad karta.tif", "A 14152-2026")</f>
        <v/>
      </c>
      <c r="AA34">
        <f>HYPERLINK("https://klasma.github.io/Logging_2513/klagomål/A 14152-2026 FSC-klagomål.docx", "A 14152-2026")</f>
        <v/>
      </c>
      <c r="AB34">
        <f>HYPERLINK("https://klasma.github.io/Logging_2513/klagomålsmail/A 14152-2026 FSC-klagomål mail.docx", "A 14152-2026")</f>
        <v/>
      </c>
      <c r="AC34">
        <f>HYPERLINK("https://klasma.github.io/Logging_2513/tillsyn/A 14152-2026 tillsynsbegäran.docx", "A 14152-2026")</f>
        <v/>
      </c>
      <c r="AD34">
        <f>HYPERLINK("https://klasma.github.io/Logging_2513/tillsynsmail/A 14152-2026 tillsynsbegäran mail.docx", "A 14152-2026")</f>
        <v/>
      </c>
    </row>
    <row r="35" ht="15" customHeight="1">
      <c r="A35" t="inlineStr">
        <is>
          <t>A 42285-2025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45904</v>
      </c>
      <c r="E35" s="1" t="n">
        <v>46281</v>
      </c>
      <c r="F35" t="inlineStr">
        <is>
          <t>NORRBOTTENS LÄN</t>
        </is>
      </c>
      <c r="G35" t="inlineStr">
        <is>
          <t>ÖVERKALIX</t>
        </is>
      </c>
      <c r="I35" t="n">
        <v>0.3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Kungsfågel
Vanlig padda</t>
        </is>
      </c>
      <c r="W35">
        <f>HYPERLINK("https://klasma.github.io/Logging_2513/artfynd/A 42285-2025 artfynd.xlsx", "A 42285-2025")</f>
        <v/>
      </c>
      <c r="X35">
        <f>HYPERLINK("https://klasma.github.io/Logging_2513/kartor/A 42285-2025 karta.png", "A 42285-2025")</f>
        <v/>
      </c>
      <c r="Y35">
        <f>HYPERLINK("https://klasma.github.io/Logging_2513/kartor_geotiff/A 42285-2025 georefererad karta.tif", "A 42285-2025")</f>
        <v/>
      </c>
      <c r="AA35">
        <f>HYPERLINK("https://klasma.github.io/Logging_2513/klagomål/A 42285-2025 FSC-klagomål.docx", "A 42285-2025")</f>
        <v/>
      </c>
      <c r="AB35">
        <f>HYPERLINK("https://klasma.github.io/Logging_2513/klagomålsmail/A 42285-2025 FSC-klagomål mail.docx", "A 42285-2025")</f>
        <v/>
      </c>
      <c r="AC35">
        <f>HYPERLINK("https://klasma.github.io/Logging_2513/tillsyn/A 42285-2025 tillsynsbegäran.docx", "A 42285-2025")</f>
        <v/>
      </c>
      <c r="AD35">
        <f>HYPERLINK("https://klasma.github.io/Logging_2513/tillsynsmail/A 42285-2025 tillsynsbegäran mail.docx", "A 42285-2025")</f>
        <v/>
      </c>
    </row>
    <row r="36" ht="15" customHeight="1">
      <c r="A36" t="inlineStr">
        <is>
          <t>A 7477-2023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46281</v>
      </c>
      <c r="F36" t="inlineStr">
        <is>
          <t>NORRBOTTENS LÄN</t>
        </is>
      </c>
      <c r="G36" t="inlineStr">
        <is>
          <t>ÖVERKALIX</t>
        </is>
      </c>
      <c r="I36" t="n">
        <v>2.6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Motaggsvamp
Skarp dropptaggsvamp</t>
        </is>
      </c>
      <c r="W36">
        <f>HYPERLINK("https://klasma.github.io/Logging_2513/artfynd/A 7477-2023 artfynd.xlsx", "A 7477-2023")</f>
        <v/>
      </c>
      <c r="X36">
        <f>HYPERLINK("https://klasma.github.io/Logging_2513/kartor/A 7477-2023 karta.png", "A 7477-2023")</f>
        <v/>
      </c>
      <c r="Y36">
        <f>HYPERLINK("https://klasma.github.io/Logging_2513/kartor_geotiff/A 7477-2023 georefererad karta.tif", "A 7477-2023")</f>
        <v/>
      </c>
      <c r="AA36">
        <f>HYPERLINK("https://klasma.github.io/Logging_2513/klagomål/A 7477-2023 FSC-klagomål.docx", "A 7477-2023")</f>
        <v/>
      </c>
      <c r="AB36">
        <f>HYPERLINK("https://klasma.github.io/Logging_2513/klagomålsmail/A 7477-2023 FSC-klagomål mail.docx", "A 7477-2023")</f>
        <v/>
      </c>
      <c r="AC36">
        <f>HYPERLINK("https://klasma.github.io/Logging_2513/tillsyn/A 7477-2023 tillsynsbegäran.docx", "A 7477-2023")</f>
        <v/>
      </c>
      <c r="AD36">
        <f>HYPERLINK("https://klasma.github.io/Logging_2513/tillsynsmail/A 7477-2023 tillsynsbegäran mail.docx", "A 7477-2023")</f>
        <v/>
      </c>
    </row>
    <row r="37" ht="15" customHeight="1">
      <c r="A37" t="inlineStr">
        <is>
          <t>A 50691-2024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46281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4.2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Gammelgransskål
Vedticka</t>
        </is>
      </c>
      <c r="W37">
        <f>HYPERLINK("https://klasma.github.io/Logging_2513/artfynd/A 50691-2024 artfynd.xlsx", "A 50691-2024")</f>
        <v/>
      </c>
      <c r="X37">
        <f>HYPERLINK("https://klasma.github.io/Logging_2513/kartor/A 50691-2024 karta.png", "A 50691-2024")</f>
        <v/>
      </c>
      <c r="Y37">
        <f>HYPERLINK("https://klasma.github.io/Logging_2513/kartor_geotiff/A 50691-2024 georefererad karta.tif", "A 50691-2024")</f>
        <v/>
      </c>
      <c r="AA37">
        <f>HYPERLINK("https://klasma.github.io/Logging_2513/klagomål/A 50691-2024 FSC-klagomål.docx", "A 50691-2024")</f>
        <v/>
      </c>
      <c r="AB37">
        <f>HYPERLINK("https://klasma.github.io/Logging_2513/klagomålsmail/A 50691-2024 FSC-klagomål mail.docx", "A 50691-2024")</f>
        <v/>
      </c>
      <c r="AC37">
        <f>HYPERLINK("https://klasma.github.io/Logging_2513/tillsyn/A 50691-2024 tillsynsbegäran.docx", "A 50691-2024")</f>
        <v/>
      </c>
      <c r="AD37">
        <f>HYPERLINK("https://klasma.github.io/Logging_2513/tillsynsmail/A 50691-2024 tillsynsbegäran mail.docx", "A 50691-2024")</f>
        <v/>
      </c>
    </row>
    <row r="38" ht="15" customHeight="1">
      <c r="A38" t="inlineStr">
        <is>
          <t>A 47680-2024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46281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2.1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Blå taggsvamp
Skarp dropptaggsvamp</t>
        </is>
      </c>
      <c r="W38">
        <f>HYPERLINK("https://klasma.github.io/Logging_2513/artfynd/A 47680-2024 artfynd.xlsx", "A 47680-2024")</f>
        <v/>
      </c>
      <c r="X38">
        <f>HYPERLINK("https://klasma.github.io/Logging_2513/kartor/A 47680-2024 karta.png", "A 47680-2024")</f>
        <v/>
      </c>
      <c r="Y38">
        <f>HYPERLINK("https://klasma.github.io/Logging_2513/kartor_geotiff/A 47680-2024 georefererad karta.tif", "A 47680-2024")</f>
        <v/>
      </c>
      <c r="AA38">
        <f>HYPERLINK("https://klasma.github.io/Logging_2513/klagomål/A 47680-2024 FSC-klagomål.docx", "A 47680-2024")</f>
        <v/>
      </c>
      <c r="AB38">
        <f>HYPERLINK("https://klasma.github.io/Logging_2513/klagomålsmail/A 47680-2024 FSC-klagomål mail.docx", "A 47680-2024")</f>
        <v/>
      </c>
      <c r="AC38">
        <f>HYPERLINK("https://klasma.github.io/Logging_2513/tillsyn/A 47680-2024 tillsynsbegäran.docx", "A 47680-2024")</f>
        <v/>
      </c>
      <c r="AD38">
        <f>HYPERLINK("https://klasma.github.io/Logging_2513/tillsynsmail/A 47680-2024 tillsynsbegäran mail.docx", "A 47680-2024")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46281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46281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46281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46281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36803-2023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46281</v>
      </c>
      <c r="F43" t="inlineStr">
        <is>
          <t>NORRBOTTENS LÄN</t>
        </is>
      </c>
      <c r="G43" t="inlineStr">
        <is>
          <t>ÖVERKALIX</t>
        </is>
      </c>
      <c r="I43" t="n">
        <v>3.1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6</v>
      </c>
      <c r="U43" t="n">
        <v>6</v>
      </c>
      <c r="V43" s="2" t="inlineStr">
        <is>
          <t>Knärot
Revlummer</t>
        </is>
      </c>
      <c r="W43">
        <f>HYPERLINK("https://klasma.github.io/Logging_2513/artfynd/A 36803-2023 artfynd.xlsx", "A 36803-2023")</f>
        <v/>
      </c>
      <c r="X43">
        <f>HYPERLINK("https://klasma.github.io/Logging_2513/kartor/A 36803-2023 karta.png", "A 36803-2023")</f>
        <v/>
      </c>
      <c r="Y43">
        <f>HYPERLINK("https://klasma.github.io/Logging_2513/kartor_geotiff/A 36803-2023 georefererad karta.tif", "A 36803-2023")</f>
        <v/>
      </c>
      <c r="Z43">
        <f>HYPERLINK("https://klasma.github.io/Logging_2513/knärot/A 36803-2023 karta knärot.png", "A 36803-2023")</f>
        <v/>
      </c>
      <c r="AA43">
        <f>HYPERLINK("https://klasma.github.io/Logging_2513/klagomål/A 36803-2023 FSC-klagomål.docx", "A 36803-2023")</f>
        <v/>
      </c>
      <c r="AB43">
        <f>HYPERLINK("https://klasma.github.io/Logging_2513/klagomålsmail/A 36803-2023 FSC-klagomål mail.docx", "A 36803-2023")</f>
        <v/>
      </c>
      <c r="AC43">
        <f>HYPERLINK("https://klasma.github.io/Logging_2513/tillsyn/A 36803-2023 tillsynsbegäran.docx", "A 36803-2023")</f>
        <v/>
      </c>
      <c r="AD43">
        <f>HYPERLINK("https://klasma.github.io/Logging_2513/tillsynsmail/A 36803-2023 tillsynsbegäran mail.docx", "A 36803-2023")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46281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31704-2026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46281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Blå taggsvamp
Skarp dropptaggsvamp</t>
        </is>
      </c>
      <c r="W45">
        <f>HYPERLINK("https://klasma.github.io/Logging_2513/artfynd/A 31704-2026 artfynd.xlsx", "A 31704-2026")</f>
        <v/>
      </c>
      <c r="X45">
        <f>HYPERLINK("https://klasma.github.io/Logging_2513/kartor/A 31704-2026 karta.png", "A 31704-2026")</f>
        <v/>
      </c>
      <c r="Y45">
        <f>HYPERLINK("https://klasma.github.io/Logging_2513/kartor_geotiff/A 31704-2026 georefererad karta.tif", "A 31704-2026")</f>
        <v/>
      </c>
      <c r="AA45">
        <f>HYPERLINK("https://klasma.github.io/Logging_2513/klagomål/A 31704-2026 FSC-klagomål.docx", "A 31704-2026")</f>
        <v/>
      </c>
      <c r="AB45">
        <f>HYPERLINK("https://klasma.github.io/Logging_2513/klagomålsmail/A 31704-2026 FSC-klagomål mail.docx", "A 31704-2026")</f>
        <v/>
      </c>
      <c r="AC45">
        <f>HYPERLINK("https://klasma.github.io/Logging_2513/tillsyn/A 31704-2026 tillsynsbegäran.docx", "A 31704-2026")</f>
        <v/>
      </c>
      <c r="AD45">
        <f>HYPERLINK("https://klasma.github.io/Logging_2513/tillsynsmail/A 31704-2026 tillsynsbegäran mail.docx", "A 31704-2026")</f>
        <v/>
      </c>
    </row>
    <row r="46" ht="15" customHeight="1">
      <c r="A46" t="inlineStr">
        <is>
          <t>A 60509-2021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44496</v>
      </c>
      <c r="E46" s="1" t="n">
        <v>46281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13.5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Stor aspticka
Vedticka</t>
        </is>
      </c>
      <c r="W46">
        <f>HYPERLINK("https://klasma.github.io/Logging_2513/artfynd/A 60509-2021 artfynd.xlsx", "A 60509-2021")</f>
        <v/>
      </c>
      <c r="X46">
        <f>HYPERLINK("https://klasma.github.io/Logging_2513/kartor/A 60509-2021 karta.png", "A 60509-2021")</f>
        <v/>
      </c>
      <c r="Y46">
        <f>HYPERLINK("https://klasma.github.io/Logging_2513/kartor_geotiff/A 60509-2021 georefererad karta.tif", "A 60509-2021")</f>
        <v/>
      </c>
      <c r="AA46">
        <f>HYPERLINK("https://klasma.github.io/Logging_2513/klagomål/A 60509-2021 FSC-klagomål.docx", "A 60509-2021")</f>
        <v/>
      </c>
      <c r="AB46">
        <f>HYPERLINK("https://klasma.github.io/Logging_2513/klagomålsmail/A 60509-2021 FSC-klagomål mail.docx", "A 60509-2021")</f>
        <v/>
      </c>
      <c r="AC46">
        <f>HYPERLINK("https://klasma.github.io/Logging_2513/tillsyn/A 60509-2021 tillsynsbegäran.docx", "A 60509-2021")</f>
        <v/>
      </c>
      <c r="AD46">
        <f>HYPERLINK("https://klasma.github.io/Logging_2513/tillsynsmail/A 60509-2021 tillsynsbegäran mail.docx", "A 60509-2021")</f>
        <v/>
      </c>
    </row>
    <row r="47" ht="15" customHeight="1">
      <c r="A47" t="inlineStr">
        <is>
          <t>A 26452-2025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45807</v>
      </c>
      <c r="E47" s="1" t="n">
        <v>46281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1.2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Gammelgransskål
Stor aspticka</t>
        </is>
      </c>
      <c r="W47">
        <f>HYPERLINK("https://klasma.github.io/Logging_2513/artfynd/A 26452-2025 artfynd.xlsx", "A 26452-2025")</f>
        <v/>
      </c>
      <c r="X47">
        <f>HYPERLINK("https://klasma.github.io/Logging_2513/kartor/A 26452-2025 karta.png", "A 26452-2025")</f>
        <v/>
      </c>
      <c r="Y47">
        <f>HYPERLINK("https://klasma.github.io/Logging_2513/kartor_geotiff/A 26452-2025 georefererad karta.tif", "A 26452-2025")</f>
        <v/>
      </c>
      <c r="AA47">
        <f>HYPERLINK("https://klasma.github.io/Logging_2513/klagomål/A 26452-2025 FSC-klagomål.docx", "A 26452-2025")</f>
        <v/>
      </c>
      <c r="AB47">
        <f>HYPERLINK("https://klasma.github.io/Logging_2513/klagomålsmail/A 26452-2025 FSC-klagomål mail.docx", "A 26452-2025")</f>
        <v/>
      </c>
      <c r="AC47">
        <f>HYPERLINK("https://klasma.github.io/Logging_2513/tillsyn/A 26452-2025 tillsynsbegäran.docx", "A 26452-2025")</f>
        <v/>
      </c>
      <c r="AD47">
        <f>HYPERLINK("https://klasma.github.io/Logging_2513/tillsynsmail/A 26452-2025 tillsynsbegäran mail.docx", "A 26452-2025")</f>
        <v/>
      </c>
    </row>
    <row r="48" ht="15" customHeight="1">
      <c r="A48" t="inlineStr">
        <is>
          <t>A 34921-2025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45849</v>
      </c>
      <c r="E48" s="1" t="n">
        <v>46281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16.4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Gammelgransskål
Lunglav</t>
        </is>
      </c>
      <c r="W48">
        <f>HYPERLINK("https://klasma.github.io/Logging_2513/artfynd/A 34921-2025 artfynd.xlsx", "A 34921-2025")</f>
        <v/>
      </c>
      <c r="X48">
        <f>HYPERLINK("https://klasma.github.io/Logging_2513/kartor/A 34921-2025 karta.png", "A 34921-2025")</f>
        <v/>
      </c>
      <c r="Y48">
        <f>HYPERLINK("https://klasma.github.io/Logging_2513/kartor_geotiff/A 34921-2025 georefererad karta.tif", "A 34921-2025")</f>
        <v/>
      </c>
      <c r="AA48">
        <f>HYPERLINK("https://klasma.github.io/Logging_2513/klagomål/A 34921-2025 FSC-klagomål.docx", "A 34921-2025")</f>
        <v/>
      </c>
      <c r="AB48">
        <f>HYPERLINK("https://klasma.github.io/Logging_2513/klagomålsmail/A 34921-2025 FSC-klagomål mail.docx", "A 34921-2025")</f>
        <v/>
      </c>
      <c r="AC48">
        <f>HYPERLINK("https://klasma.github.io/Logging_2513/tillsyn/A 34921-2025 tillsynsbegäran.docx", "A 34921-2025")</f>
        <v/>
      </c>
      <c r="AD48">
        <f>HYPERLINK("https://klasma.github.io/Logging_2513/tillsynsmail/A 34921-2025 tillsynsbegäran mail.docx", "A 34921-2025")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46281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46281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46281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8407-2025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45709</v>
      </c>
      <c r="E52" s="1" t="n">
        <v>46281</v>
      </c>
      <c r="F52" t="inlineStr">
        <is>
          <t>NORRBOTTENS LÄN</t>
        </is>
      </c>
      <c r="G52" t="inlineStr">
        <is>
          <t>ÖVERKALIX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Tallbit</t>
        </is>
      </c>
      <c r="W52">
        <f>HYPERLINK("https://klasma.github.io/Logging_2513/artfynd/A 8407-2025 artfynd.xlsx", "A 8407-2025")</f>
        <v/>
      </c>
      <c r="X52">
        <f>HYPERLINK("https://klasma.github.io/Logging_2513/kartor/A 8407-2025 karta.png", "A 8407-2025")</f>
        <v/>
      </c>
      <c r="Y52">
        <f>HYPERLINK("https://klasma.github.io/Logging_2513/kartor_geotiff/A 8407-2025 georefererad karta.tif", "A 8407-2025")</f>
        <v/>
      </c>
      <c r="AA52">
        <f>HYPERLINK("https://klasma.github.io/Logging_2513/klagomål/A 8407-2025 FSC-klagomål.docx", "A 8407-2025")</f>
        <v/>
      </c>
      <c r="AB52">
        <f>HYPERLINK("https://klasma.github.io/Logging_2513/klagomålsmail/A 8407-2025 FSC-klagomål mail.docx", "A 8407-2025")</f>
        <v/>
      </c>
      <c r="AC52">
        <f>HYPERLINK("https://klasma.github.io/Logging_2513/tillsyn/A 8407-2025 tillsynsbegäran.docx", "A 8407-2025")</f>
        <v/>
      </c>
      <c r="AD52">
        <f>HYPERLINK("https://klasma.github.io/Logging_2513/tillsynsmail/A 8407-2025 tillsynsbegäran mail.docx", "A 8407-2025")</f>
        <v/>
      </c>
      <c r="AE52">
        <f>HYPERLINK("https://klasma.github.io/Logging_2513/fåglar/A 8407-2025 prioriterade fågelarter.docx", "A 8407-2025")</f>
        <v/>
      </c>
    </row>
    <row r="53" ht="15" customHeight="1">
      <c r="A53" t="inlineStr">
        <is>
          <t>A 7234-2023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44970</v>
      </c>
      <c r="E53" s="1" t="n">
        <v>46281</v>
      </c>
      <c r="F53" t="inlineStr">
        <is>
          <t>NORRBOTTENS LÄN</t>
        </is>
      </c>
      <c r="G53" t="inlineStr">
        <is>
          <t>ÖVERKALIX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HYPERLINK("https://klasma.github.io/Logging_2513/artfynd/A 7234-2023 artfynd.xlsx", "A 7234-2023")</f>
        <v/>
      </c>
      <c r="X53">
        <f>HYPERLINK("https://klasma.github.io/Logging_2513/kartor/A 7234-2023 karta.png", "A 7234-2023")</f>
        <v/>
      </c>
      <c r="Y53">
        <f>HYPERLINK("https://klasma.github.io/Logging_2513/kartor_geotiff/A 7234-2023 georefererad karta.tif", "A 7234-2023")</f>
        <v/>
      </c>
      <c r="AA53">
        <f>HYPERLINK("https://klasma.github.io/Logging_2513/klagomål/A 7234-2023 FSC-klagomål.docx", "A 7234-2023")</f>
        <v/>
      </c>
      <c r="AB53">
        <f>HYPERLINK("https://klasma.github.io/Logging_2513/klagomålsmail/A 7234-2023 FSC-klagomål mail.docx", "A 7234-2023")</f>
        <v/>
      </c>
      <c r="AC53">
        <f>HYPERLINK("https://klasma.github.io/Logging_2513/tillsyn/A 7234-2023 tillsynsbegäran.docx", "A 7234-2023")</f>
        <v/>
      </c>
      <c r="AD53">
        <f>HYPERLINK("https://klasma.github.io/Logging_2513/tillsynsmail/A 7234-2023 tillsynsbegäran mail.docx", "A 7234-2023")</f>
        <v/>
      </c>
      <c r="AE53">
        <f>HYPERLINK("https://klasma.github.io/Logging_2513/fåglar/A 7234-2023 prioriterade fågelarter.docx", "A 7234-2023")</f>
        <v/>
      </c>
    </row>
    <row r="54" ht="15" customHeight="1">
      <c r="A54" t="inlineStr">
        <is>
          <t>A 22977-2022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44717</v>
      </c>
      <c r="E54" s="1" t="n">
        <v>46281</v>
      </c>
      <c r="F54" t="inlineStr">
        <is>
          <t>NORRBOTTENS LÄN</t>
        </is>
      </c>
      <c r="G54" t="inlineStr">
        <is>
          <t>ÖVERKALIX</t>
        </is>
      </c>
      <c r="I54" t="n">
        <v>19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Bivråk</t>
        </is>
      </c>
      <c r="W54">
        <f>HYPERLINK("https://klasma.github.io/Logging_2513/artfynd/A 22977-2022 artfynd.xlsx", "A 22977-2022")</f>
        <v/>
      </c>
      <c r="X54">
        <f>HYPERLINK("https://klasma.github.io/Logging_2513/kartor/A 22977-2022 karta.png", "A 22977-2022")</f>
        <v/>
      </c>
      <c r="Y54">
        <f>HYPERLINK("https://klasma.github.io/Logging_2513/kartor_geotiff/A 22977-2022 georefererad karta.tif", "A 22977-2022")</f>
        <v/>
      </c>
      <c r="AA54">
        <f>HYPERLINK("https://klasma.github.io/Logging_2513/klagomål/A 22977-2022 FSC-klagomål.docx", "A 22977-2022")</f>
        <v/>
      </c>
      <c r="AB54">
        <f>HYPERLINK("https://klasma.github.io/Logging_2513/klagomålsmail/A 22977-2022 FSC-klagomål mail.docx", "A 22977-2022")</f>
        <v/>
      </c>
      <c r="AC54">
        <f>HYPERLINK("https://klasma.github.io/Logging_2513/tillsyn/A 22977-2022 tillsynsbegäran.docx", "A 22977-2022")</f>
        <v/>
      </c>
      <c r="AD54">
        <f>HYPERLINK("https://klasma.github.io/Logging_2513/tillsynsmail/A 22977-2022 tillsynsbegäran mail.docx", "A 22977-2022")</f>
        <v/>
      </c>
      <c r="AE54">
        <f>HYPERLINK("https://klasma.github.io/Logging_2513/fåglar/A 22977-2022 prioriterade fågelarter.docx", "A 22977-2022")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46281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46281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46280-2024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46281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HYPERLINK("https://klasma.github.io/Logging_2513/artfynd/A 46280-2024 artfynd.xlsx", "A 46280-2024")</f>
        <v/>
      </c>
      <c r="X57">
        <f>HYPERLINK("https://klasma.github.io/Logging_2513/kartor/A 46280-2024 karta.png", "A 46280-2024")</f>
        <v/>
      </c>
      <c r="Y57">
        <f>HYPERLINK("https://klasma.github.io/Logging_2513/kartor_geotiff/A 46280-2024 georefererad karta.tif", "A 46280-2024")</f>
        <v/>
      </c>
      <c r="AA57">
        <f>HYPERLINK("https://klasma.github.io/Logging_2513/klagomål/A 46280-2024 FSC-klagomål.docx", "A 46280-2024")</f>
        <v/>
      </c>
      <c r="AB57">
        <f>HYPERLINK("https://klasma.github.io/Logging_2513/klagomålsmail/A 46280-2024 FSC-klagomål mail.docx", "A 46280-2024")</f>
        <v/>
      </c>
      <c r="AC57">
        <f>HYPERLINK("https://klasma.github.io/Logging_2513/tillsyn/A 46280-2024 tillsynsbegäran.docx", "A 46280-2024")</f>
        <v/>
      </c>
      <c r="AD57">
        <f>HYPERLINK("https://klasma.github.io/Logging_2513/tillsynsmail/A 46280-2024 tillsynsbegäran mail.docx", "A 46280-2024")</f>
        <v/>
      </c>
      <c r="AE57">
        <f>HYPERLINK("https://klasma.github.io/Logging_2513/fåglar/A 46280-2024 prioriterade fågelarter.docx", "A 46280-2024")</f>
        <v/>
      </c>
    </row>
    <row r="58" ht="15" customHeight="1">
      <c r="A58" t="inlineStr">
        <is>
          <t>A 46281-2024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45581</v>
      </c>
      <c r="E58" s="1" t="n">
        <v>46281</v>
      </c>
      <c r="F58" t="inlineStr">
        <is>
          <t>NORRBOTTENS LÄN</t>
        </is>
      </c>
      <c r="G58" t="inlineStr">
        <is>
          <t>ÖVERKALIX</t>
        </is>
      </c>
      <c r="H58" t="inlineStr">
        <is>
          <t>SCA</t>
        </is>
      </c>
      <c r="I58" t="n">
        <v>1.2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HYPERLINK("https://klasma.github.io/Logging_2513/artfynd/A 46281-2024 artfynd.xlsx", "A 46281-2024")</f>
        <v/>
      </c>
      <c r="X58">
        <f>HYPERLINK("https://klasma.github.io/Logging_2513/kartor/A 46281-2024 karta.png", "A 46281-2024")</f>
        <v/>
      </c>
      <c r="Y58">
        <f>HYPERLINK("https://klasma.github.io/Logging_2513/kartor_geotiff/A 46281-2024 georefererad karta.tif", "A 46281-2024")</f>
        <v/>
      </c>
      <c r="AA58">
        <f>HYPERLINK("https://klasma.github.io/Logging_2513/klagomål/A 46281-2024 FSC-klagomål.docx", "A 46281-2024")</f>
        <v/>
      </c>
      <c r="AB58">
        <f>HYPERLINK("https://klasma.github.io/Logging_2513/klagomålsmail/A 46281-2024 FSC-klagomål mail.docx", "A 46281-2024")</f>
        <v/>
      </c>
      <c r="AC58">
        <f>HYPERLINK("https://klasma.github.io/Logging_2513/tillsyn/A 46281-2024 tillsynsbegäran.docx", "A 46281-2024")</f>
        <v/>
      </c>
      <c r="AD58">
        <f>HYPERLINK("https://klasma.github.io/Logging_2513/tillsynsmail/A 46281-2024 tillsynsbegäran mail.docx", "A 46281-2024")</f>
        <v/>
      </c>
    </row>
    <row r="59" ht="15" customHeight="1">
      <c r="A59" t="inlineStr">
        <is>
          <t>A 20949-2026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46142</v>
      </c>
      <c r="E59" s="1" t="n">
        <v>46281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9.1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HYPERLINK("https://klasma.github.io/Logging_2513/artfynd/A 20949-2026 artfynd.xlsx", "A 20949-2026")</f>
        <v/>
      </c>
      <c r="X59">
        <f>HYPERLINK("https://klasma.github.io/Logging_2513/kartor/A 20949-2026 karta.png", "A 20949-2026")</f>
        <v/>
      </c>
      <c r="Y59">
        <f>HYPERLINK("https://klasma.github.io/Logging_2513/kartor_geotiff/A 20949-2026 georefererad karta.tif", "A 20949-2026")</f>
        <v/>
      </c>
      <c r="AA59">
        <f>HYPERLINK("https://klasma.github.io/Logging_2513/klagomål/A 20949-2026 FSC-klagomål.docx", "A 20949-2026")</f>
        <v/>
      </c>
      <c r="AB59">
        <f>HYPERLINK("https://klasma.github.io/Logging_2513/klagomålsmail/A 20949-2026 FSC-klagomål mail.docx", "A 20949-2026")</f>
        <v/>
      </c>
      <c r="AC59">
        <f>HYPERLINK("https://klasma.github.io/Logging_2513/tillsyn/A 20949-2026 tillsynsbegäran.docx", "A 20949-2026")</f>
        <v/>
      </c>
      <c r="AD59">
        <f>HYPERLINK("https://klasma.github.io/Logging_2513/tillsynsmail/A 20949-2026 tillsynsbegäran mail.docx", "A 20949-2026")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46281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46281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A 26305-2025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46281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5.2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Luddlav</t>
        </is>
      </c>
      <c r="W62">
        <f>HYPERLINK("https://klasma.github.io/Logging_2513/artfynd/A 26305-2025 artfynd.xlsx", "A 26305-2025")</f>
        <v/>
      </c>
      <c r="X62">
        <f>HYPERLINK("https://klasma.github.io/Logging_2513/kartor/A 26305-2025 karta.png", "A 26305-2025")</f>
        <v/>
      </c>
      <c r="Y62">
        <f>HYPERLINK("https://klasma.github.io/Logging_2513/kartor_geotiff/A 26305-2025 georefererad karta.tif", "A 26305-2025")</f>
        <v/>
      </c>
      <c r="AA62">
        <f>HYPERLINK("https://klasma.github.io/Logging_2513/klagomål/A 26305-2025 FSC-klagomål.docx", "A 26305-2025")</f>
        <v/>
      </c>
      <c r="AB62">
        <f>HYPERLINK("https://klasma.github.io/Logging_2513/klagomålsmail/A 26305-2025 FSC-klagomål mail.docx", "A 26305-2025")</f>
        <v/>
      </c>
      <c r="AC62">
        <f>HYPERLINK("https://klasma.github.io/Logging_2513/tillsyn/A 26305-2025 tillsynsbegäran.docx", "A 26305-2025")</f>
        <v/>
      </c>
      <c r="AD62">
        <f>HYPERLINK("https://klasma.github.io/Logging_2513/tillsynsmail/A 26305-2025 tillsynsbegäran mail.docx", "A 26305-2025")</f>
        <v/>
      </c>
    </row>
    <row r="63" ht="15" customHeight="1">
      <c r="A63" t="inlineStr">
        <is>
          <t>A 27452-2025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46281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6.3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HYPERLINK("https://klasma.github.io/Logging_2513/artfynd/A 27452-2025 artfynd.xlsx", "A 27452-2025")</f>
        <v/>
      </c>
      <c r="X63">
        <f>HYPERLINK("https://klasma.github.io/Logging_2513/kartor/A 27452-2025 karta.png", "A 27452-2025")</f>
        <v/>
      </c>
      <c r="Y63">
        <f>HYPERLINK("https://klasma.github.io/Logging_2513/kartor_geotiff/A 27452-2025 georefererad karta.tif", "A 27452-2025")</f>
        <v/>
      </c>
      <c r="AA63">
        <f>HYPERLINK("https://klasma.github.io/Logging_2513/klagomål/A 27452-2025 FSC-klagomål.docx", "A 27452-2025")</f>
        <v/>
      </c>
      <c r="AB63">
        <f>HYPERLINK("https://klasma.github.io/Logging_2513/klagomålsmail/A 27452-2025 FSC-klagomål mail.docx", "A 27452-2025")</f>
        <v/>
      </c>
      <c r="AC63">
        <f>HYPERLINK("https://klasma.github.io/Logging_2513/tillsyn/A 27452-2025 tillsynsbegäran.docx", "A 27452-2025")</f>
        <v/>
      </c>
      <c r="AD63">
        <f>HYPERLINK("https://klasma.github.io/Logging_2513/tillsynsmail/A 27452-2025 tillsynsbegäran mail.docx", "A 27452-2025")</f>
        <v/>
      </c>
      <c r="AE63">
        <f>HYPERLINK("https://klasma.github.io/Logging_2513/fåglar/A 27452-2025 prioriterade fågelarter.docx", "A 27452-2025")</f>
        <v/>
      </c>
    </row>
    <row r="64" ht="15" customHeight="1">
      <c r="A64" t="inlineStr">
        <is>
          <t>A 35602-2025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45859</v>
      </c>
      <c r="E64" s="1" t="n">
        <v>46281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2.9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HYPERLINK("https://klasma.github.io/Logging_2513/artfynd/A 35602-2025 artfynd.xlsx", "A 35602-2025")</f>
        <v/>
      </c>
      <c r="X64">
        <f>HYPERLINK("https://klasma.github.io/Logging_2513/kartor/A 35602-2025 karta.png", "A 35602-2025")</f>
        <v/>
      </c>
      <c r="Y64">
        <f>HYPERLINK("https://klasma.github.io/Logging_2513/kartor_geotiff/A 35602-2025 georefererad karta.tif", "A 35602-2025")</f>
        <v/>
      </c>
      <c r="AA64">
        <f>HYPERLINK("https://klasma.github.io/Logging_2513/klagomål/A 35602-2025 FSC-klagomål.docx", "A 35602-2025")</f>
        <v/>
      </c>
      <c r="AB64">
        <f>HYPERLINK("https://klasma.github.io/Logging_2513/klagomålsmail/A 35602-2025 FSC-klagomål mail.docx", "A 35602-2025")</f>
        <v/>
      </c>
      <c r="AC64">
        <f>HYPERLINK("https://klasma.github.io/Logging_2513/tillsyn/A 35602-2025 tillsynsbegäran.docx", "A 35602-2025")</f>
        <v/>
      </c>
      <c r="AD64">
        <f>HYPERLINK("https://klasma.github.io/Logging_2513/tillsynsmail/A 35602-2025 tillsynsbegäran mail.docx", "A 35602-2025")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46281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46281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73348-2021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46281</v>
      </c>
      <c r="F67" t="inlineStr">
        <is>
          <t>NORRBOTTENS LÄN</t>
        </is>
      </c>
      <c r="G67" t="inlineStr">
        <is>
          <t>ÖVERKALIX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44582</v>
      </c>
      <c r="E68" s="1" t="n">
        <v>46281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46281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46281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46281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46281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46281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46281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46281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46281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46281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46281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46281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46281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46281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46281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46281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46281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6916-2022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44602</v>
      </c>
      <c r="E85" s="1" t="n">
        <v>46281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45238</v>
      </c>
      <c r="E86" s="1" t="n">
        <v>46281</v>
      </c>
      <c r="F86" t="inlineStr">
        <is>
          <t>NORRBOTTENS LÄN</t>
        </is>
      </c>
      <c r="G86" t="inlineStr">
        <is>
          <t>ÖVERKALIX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46281</v>
      </c>
      <c r="F87" t="inlineStr">
        <is>
          <t>NORRBOTTENS LÄN</t>
        </is>
      </c>
      <c r="G87" t="inlineStr">
        <is>
          <t>ÖVERKALIX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45231</v>
      </c>
      <c r="E88" s="1" t="n">
        <v>46281</v>
      </c>
      <c r="F88" t="inlineStr">
        <is>
          <t>NORRBOTTENS LÄN</t>
        </is>
      </c>
      <c r="G88" t="inlineStr">
        <is>
          <t>ÖVERKALIX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58764-2023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45251</v>
      </c>
      <c r="E89" s="1" t="n">
        <v>46281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46281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45463</v>
      </c>
      <c r="E91" s="1" t="n">
        <v>46281</v>
      </c>
      <c r="F91" t="inlineStr">
        <is>
          <t>NORRBOTTENS LÄN</t>
        </is>
      </c>
      <c r="G91" t="inlineStr">
        <is>
          <t>ÖVERKALIX</t>
        </is>
      </c>
      <c r="H91" t="inlineStr">
        <is>
          <t>Sveaskog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45693</v>
      </c>
      <c r="E92" s="1" t="n">
        <v>46281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46281</v>
      </c>
      <c r="F93" t="inlineStr">
        <is>
          <t>NORRBOTTENS LÄN</t>
        </is>
      </c>
      <c r="G93" t="inlineStr">
        <is>
          <t>ÖVERKALIX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46281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46281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62259-2021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46281</v>
      </c>
      <c r="F96" t="inlineStr">
        <is>
          <t>NORRBOTTENS LÄN</t>
        </is>
      </c>
      <c r="G96" t="inlineStr">
        <is>
          <t>ÖVERKALIX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45181</v>
      </c>
      <c r="E97" s="1" t="n">
        <v>46281</v>
      </c>
      <c r="F97" t="inlineStr">
        <is>
          <t>NORRBOTTENS LÄN</t>
        </is>
      </c>
      <c r="G97" t="inlineStr">
        <is>
          <t>ÖVERKALIX</t>
        </is>
      </c>
      <c r="I97" t="n">
        <v>13.1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11535-2024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45372</v>
      </c>
      <c r="E98" s="1" t="n">
        <v>46281</v>
      </c>
      <c r="F98" t="inlineStr">
        <is>
          <t>NORRBOTTENS LÄN</t>
        </is>
      </c>
      <c r="G98" t="inlineStr">
        <is>
          <t>ÖVERKALIX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45709</v>
      </c>
      <c r="E99" s="1" t="n">
        <v>46281</v>
      </c>
      <c r="F99" t="inlineStr">
        <is>
          <t>NORRBOTTENS LÄN</t>
        </is>
      </c>
      <c r="G99" t="inlineStr">
        <is>
          <t>ÖVERKALIX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45379</v>
      </c>
      <c r="E100" s="1" t="n">
        <v>46281</v>
      </c>
      <c r="F100" t="inlineStr">
        <is>
          <t>NORRBOTTENS LÄN</t>
        </is>
      </c>
      <c r="G100" t="inlineStr">
        <is>
          <t>ÖVERKALIX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45882</v>
      </c>
      <c r="E101" s="1" t="n">
        <v>46281</v>
      </c>
      <c r="F101" t="inlineStr">
        <is>
          <t>NORRBOTTENS LÄN</t>
        </is>
      </c>
      <c r="G101" t="inlineStr">
        <is>
          <t>ÖVERKALIX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45771</v>
      </c>
      <c r="E102" s="1" t="n">
        <v>46281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45882</v>
      </c>
      <c r="E103" s="1" t="n">
        <v>46281</v>
      </c>
      <c r="F103" t="inlineStr">
        <is>
          <t>NORRBOTTENS LÄN</t>
        </is>
      </c>
      <c r="G103" t="inlineStr">
        <is>
          <t>ÖVERKALIX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45882</v>
      </c>
      <c r="E104" s="1" t="n">
        <v>46281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13.4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46281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46281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46281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64524-2023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45281</v>
      </c>
      <c r="E108" s="1" t="n">
        <v>46281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44797</v>
      </c>
      <c r="E109" s="1" t="n">
        <v>46281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45086</v>
      </c>
      <c r="E110" s="1" t="n">
        <v>46281</v>
      </c>
      <c r="F110" t="inlineStr">
        <is>
          <t>NORRBOTTENS LÄN</t>
        </is>
      </c>
      <c r="G110" t="inlineStr">
        <is>
          <t>ÖVERKALIX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46281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46281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23302-2023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45075</v>
      </c>
      <c r="E113" s="1" t="n">
        <v>46281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72809-2021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46281</v>
      </c>
      <c r="F114" t="inlineStr">
        <is>
          <t>NORRBOTTENS LÄN</t>
        </is>
      </c>
      <c r="G114" t="inlineStr">
        <is>
          <t>ÖVERKALIX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72623-2021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46281</v>
      </c>
      <c r="F115" t="inlineStr">
        <is>
          <t>NORRBOTTENS LÄN</t>
        </is>
      </c>
      <c r="G115" t="inlineStr">
        <is>
          <t>ÖVERKALIX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25692-2024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45463</v>
      </c>
      <c r="E116" s="1" t="n">
        <v>46281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26554-2023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45092</v>
      </c>
      <c r="E117" s="1" t="n">
        <v>46281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28343-2025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45818</v>
      </c>
      <c r="E118" s="1" t="n">
        <v>46281</v>
      </c>
      <c r="F118" t="inlineStr">
        <is>
          <t>NORRBOTTENS LÄN</t>
        </is>
      </c>
      <c r="G118" t="inlineStr">
        <is>
          <t>ÖVERKALIX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46281</v>
      </c>
      <c r="F119" t="inlineStr">
        <is>
          <t>NORRBOTTENS LÄN</t>
        </is>
      </c>
      <c r="G119" t="inlineStr">
        <is>
          <t>ÖVERKALIX</t>
        </is>
      </c>
      <c r="I119" t="n">
        <v>21.7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11181-2026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46080</v>
      </c>
      <c r="E120" s="1" t="n">
        <v>46281</v>
      </c>
      <c r="F120" t="inlineStr">
        <is>
          <t>NORRBOTTENS LÄN</t>
        </is>
      </c>
      <c r="G120" t="inlineStr">
        <is>
          <t>ÖVERKALIX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46080</v>
      </c>
      <c r="E121" s="1" t="n">
        <v>46281</v>
      </c>
      <c r="F121" t="inlineStr">
        <is>
          <t>NORRBOTTENS LÄN</t>
        </is>
      </c>
      <c r="G121" t="inlineStr">
        <is>
          <t>ÖVERKALIX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11772-2026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46084</v>
      </c>
      <c r="E122" s="1" t="n">
        <v>46281</v>
      </c>
      <c r="F122" t="inlineStr">
        <is>
          <t>NORRBOTTENS LÄN</t>
        </is>
      </c>
      <c r="G122" t="inlineStr">
        <is>
          <t>ÖVERKALIX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11770-2026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46281</v>
      </c>
      <c r="F123" t="inlineStr">
        <is>
          <t>NORRBOTTENS LÄN</t>
        </is>
      </c>
      <c r="G123" t="inlineStr">
        <is>
          <t>ÖVERKALIX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46084</v>
      </c>
      <c r="E124" s="1" t="n">
        <v>46281</v>
      </c>
      <c r="F124" t="inlineStr">
        <is>
          <t>NORRBOTTENS LÄN</t>
        </is>
      </c>
      <c r="G124" t="inlineStr">
        <is>
          <t>ÖVERKALIX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46084</v>
      </c>
      <c r="E125" s="1" t="n">
        <v>46281</v>
      </c>
      <c r="F125" t="inlineStr">
        <is>
          <t>NORRBOTTENS LÄN</t>
        </is>
      </c>
      <c r="G125" t="inlineStr">
        <is>
          <t>ÖVERKALIX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46281</v>
      </c>
      <c r="F126" t="inlineStr">
        <is>
          <t>NORRBOTTENS LÄN</t>
        </is>
      </c>
      <c r="G126" t="inlineStr">
        <is>
          <t>ÖVERKALIX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46084</v>
      </c>
      <c r="E127" s="1" t="n">
        <v>46281</v>
      </c>
      <c r="F127" t="inlineStr">
        <is>
          <t>NORRBOTTENS LÄN</t>
        </is>
      </c>
      <c r="G127" t="inlineStr">
        <is>
          <t>ÖVERKALIX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46281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46281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46281</v>
      </c>
      <c r="F130" t="inlineStr">
        <is>
          <t>NORRBOTTENS LÄN</t>
        </is>
      </c>
      <c r="G130" t="inlineStr">
        <is>
          <t>ÖVERKALIX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46281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45890</v>
      </c>
      <c r="E132" s="1" t="n">
        <v>46281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45807</v>
      </c>
      <c r="E133" s="1" t="n">
        <v>46281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19259-2024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46281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44575</v>
      </c>
      <c r="E135" s="1" t="n">
        <v>46281</v>
      </c>
      <c r="F135" t="inlineStr">
        <is>
          <t>NORRBOTTENS LÄN</t>
        </is>
      </c>
      <c r="G135" t="inlineStr">
        <is>
          <t>ÖVERKALIX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45693</v>
      </c>
      <c r="E136" s="1" t="n">
        <v>46281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45631</v>
      </c>
      <c r="E137" s="1" t="n">
        <v>46281</v>
      </c>
      <c r="F137" t="inlineStr">
        <is>
          <t>NORRBOTTENS LÄN</t>
        </is>
      </c>
      <c r="G137" t="inlineStr">
        <is>
          <t>ÖVERKALIX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13058-2026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46281</v>
      </c>
      <c r="F138" t="inlineStr">
        <is>
          <t>NORRBOTTENS LÄN</t>
        </is>
      </c>
      <c r="G138" t="inlineStr">
        <is>
          <t>ÖVERKALIX</t>
        </is>
      </c>
      <c r="I138" t="n">
        <v>12.5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46281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37.4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46281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44899</v>
      </c>
      <c r="E141" s="1" t="n">
        <v>46281</v>
      </c>
      <c r="F141" t="inlineStr">
        <is>
          <t>NORRBOTTENS LÄN</t>
        </is>
      </c>
      <c r="G141" t="inlineStr">
        <is>
          <t>ÖVERKALIX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46281</v>
      </c>
      <c r="F142" t="inlineStr">
        <is>
          <t>NORRBOTTENS LÄN</t>
        </is>
      </c>
      <c r="G142" t="inlineStr">
        <is>
          <t>ÖVERKALIX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46281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29.9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45460</v>
      </c>
      <c r="E144" s="1" t="n">
        <v>46281</v>
      </c>
      <c r="F144" t="inlineStr">
        <is>
          <t>NORRBOTTENS LÄN</t>
        </is>
      </c>
      <c r="G144" t="inlineStr">
        <is>
          <t>ÖVERKALIX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46281</v>
      </c>
      <c r="F145" t="inlineStr">
        <is>
          <t>NORRBOTTENS LÄN</t>
        </is>
      </c>
      <c r="G145" t="inlineStr">
        <is>
          <t>ÖVERKALIX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15011-2026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46104</v>
      </c>
      <c r="E146" s="1" t="n">
        <v>46281</v>
      </c>
      <c r="F146" t="inlineStr">
        <is>
          <t>NORRBOTTENS LÄN</t>
        </is>
      </c>
      <c r="G146" t="inlineStr">
        <is>
          <t>ÖVERKALIX</t>
        </is>
      </c>
      <c r="I146" t="n">
        <v>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46281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46281</v>
      </c>
      <c r="F148" t="inlineStr">
        <is>
          <t>NORRBOTTENS LÄN</t>
        </is>
      </c>
      <c r="G148" t="inlineStr">
        <is>
          <t>ÖVERKALIX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15358-2026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46105</v>
      </c>
      <c r="E149" s="1" t="n">
        <v>46281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45539</v>
      </c>
      <c r="E150" s="1" t="n">
        <v>46281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46281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33301-2024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45518</v>
      </c>
      <c r="E152" s="1" t="n">
        <v>46281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33315-2024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45518</v>
      </c>
      <c r="E153" s="1" t="n">
        <v>46281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44754-2025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45917</v>
      </c>
      <c r="E154" s="1" t="n">
        <v>46281</v>
      </c>
      <c r="F154" t="inlineStr">
        <is>
          <t>NORRBOTTENS LÄN</t>
        </is>
      </c>
      <c r="G154" t="inlineStr">
        <is>
          <t>ÖVERKALIX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46281</v>
      </c>
      <c r="F155" t="inlineStr">
        <is>
          <t>NORRBOTTENS LÄN</t>
        </is>
      </c>
      <c r="G155" t="inlineStr">
        <is>
          <t>ÖVERKALIX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46113</v>
      </c>
      <c r="E156" s="1" t="n">
        <v>46281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72212-2021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46281</v>
      </c>
      <c r="F157" t="inlineStr">
        <is>
          <t>NORRBOTTENS LÄN</t>
        </is>
      </c>
      <c r="G157" t="inlineStr">
        <is>
          <t>ÖVERKALIX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46112</v>
      </c>
      <c r="E158" s="1" t="n">
        <v>46281</v>
      </c>
      <c r="F158" t="inlineStr">
        <is>
          <t>NORRBOTTENS LÄN</t>
        </is>
      </c>
      <c r="G158" t="inlineStr">
        <is>
          <t>ÖVERKALIX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45513</v>
      </c>
      <c r="E159" s="1" t="n">
        <v>46281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9.800000000000001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45535-2025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45922</v>
      </c>
      <c r="E160" s="1" t="n">
        <v>46281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46281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46281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17469-2026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46120</v>
      </c>
      <c r="E163" s="1" t="n">
        <v>46281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45471</v>
      </c>
      <c r="E164" s="1" t="n">
        <v>46281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45471</v>
      </c>
      <c r="E165" s="1" t="n">
        <v>46281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32.6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44966</v>
      </c>
      <c r="E166" s="1" t="n">
        <v>46281</v>
      </c>
      <c r="F166" t="inlineStr">
        <is>
          <t>NORRBOTTENS LÄN</t>
        </is>
      </c>
      <c r="G166" t="inlineStr">
        <is>
          <t>ÖVERKALIX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46281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46127</v>
      </c>
      <c r="E168" s="1" t="n">
        <v>46281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44950</v>
      </c>
      <c r="E169" s="1" t="n">
        <v>46281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46281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46132</v>
      </c>
      <c r="E171" s="1" t="n">
        <v>46281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19410-2026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46133</v>
      </c>
      <c r="E172" s="1" t="n">
        <v>46281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46133</v>
      </c>
      <c r="E173" s="1" t="n">
        <v>46281</v>
      </c>
      <c r="F173" t="inlineStr">
        <is>
          <t>NORRBOTTENS LÄN</t>
        </is>
      </c>
      <c r="G173" t="inlineStr">
        <is>
          <t>ÖVERKALIX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46281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45940</v>
      </c>
      <c r="E175" s="1" t="n">
        <v>46281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11329-2024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46281</v>
      </c>
      <c r="F176" t="inlineStr">
        <is>
          <t>NORRBOTTENS LÄN</t>
        </is>
      </c>
      <c r="G176" t="inlineStr">
        <is>
          <t>ÖVERKALIX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46281</v>
      </c>
      <c r="F177" t="inlineStr">
        <is>
          <t>NORRBOTTENS LÄN</t>
        </is>
      </c>
      <c r="G177" t="inlineStr">
        <is>
          <t>ÖVERKALIX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46281</v>
      </c>
      <c r="F178" t="inlineStr">
        <is>
          <t>NORRBOTTENS LÄN</t>
        </is>
      </c>
      <c r="G178" t="inlineStr">
        <is>
          <t>ÖVERKALIX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46281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45946</v>
      </c>
      <c r="E180" s="1" t="n">
        <v>46281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45947</v>
      </c>
      <c r="E181" s="1" t="n">
        <v>46281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45947</v>
      </c>
      <c r="E182" s="1" t="n">
        <v>46281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45949</v>
      </c>
      <c r="E183" s="1" t="n">
        <v>46281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51634-2025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45951</v>
      </c>
      <c r="E184" s="1" t="n">
        <v>46281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46281</v>
      </c>
      <c r="F185" t="inlineStr">
        <is>
          <t>NORRBOTTENS LÄN</t>
        </is>
      </c>
      <c r="G185" t="inlineStr">
        <is>
          <t>ÖVERKALIX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45429</v>
      </c>
      <c r="E186" s="1" t="n">
        <v>46281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52591-2025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45954</v>
      </c>
      <c r="E187" s="1" t="n">
        <v>46281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45401</v>
      </c>
      <c r="E188" s="1" t="n">
        <v>46281</v>
      </c>
      <c r="F188" t="inlineStr">
        <is>
          <t>NORRBOTTENS LÄN</t>
        </is>
      </c>
      <c r="G188" t="inlineStr">
        <is>
          <t>ÖVERKALIX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46281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46281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45909</v>
      </c>
      <c r="E191" s="1" t="n">
        <v>46281</v>
      </c>
      <c r="F191" t="inlineStr">
        <is>
          <t>NORRBOTTENS LÄN</t>
        </is>
      </c>
      <c r="G191" t="inlineStr">
        <is>
          <t>ÖVERKALIX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46281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46281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9.9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54118-2025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46281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Sveaskog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45268</v>
      </c>
      <c r="E195" s="1" t="n">
        <v>46281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23324-2023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45076</v>
      </c>
      <c r="E196" s="1" t="n">
        <v>46281</v>
      </c>
      <c r="F196" t="inlineStr">
        <is>
          <t>NORRBOTTENS LÄN</t>
        </is>
      </c>
      <c r="G196" t="inlineStr">
        <is>
          <t>ÖVERKALIX</t>
        </is>
      </c>
      <c r="H196" t="inlineStr">
        <is>
          <t>Övriga statliga verk och myndigheter</t>
        </is>
      </c>
      <c r="I196" t="n">
        <v>38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46281</v>
      </c>
      <c r="F197" t="inlineStr">
        <is>
          <t>NORRBOTTENS LÄN</t>
        </is>
      </c>
      <c r="G197" t="inlineStr">
        <is>
          <t>ÖVERKALIX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46281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46281</v>
      </c>
      <c r="F199" t="inlineStr">
        <is>
          <t>NORRBOTTENS LÄN</t>
        </is>
      </c>
      <c r="G199" t="inlineStr">
        <is>
          <t>ÖVERKALIX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46281</v>
      </c>
      <c r="F200" t="inlineStr">
        <is>
          <t>NORRBOTTENS LÄN</t>
        </is>
      </c>
      <c r="G200" t="inlineStr">
        <is>
          <t>ÖVERKALIX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15301-2022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44659</v>
      </c>
      <c r="E201" s="1" t="n">
        <v>46281</v>
      </c>
      <c r="F201" t="inlineStr">
        <is>
          <t>NORRBOTTENS LÄN</t>
        </is>
      </c>
      <c r="G201" t="inlineStr">
        <is>
          <t>ÖVERKALIX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28208-2025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45818</v>
      </c>
      <c r="E202" s="1" t="n">
        <v>46281</v>
      </c>
      <c r="F202" t="inlineStr">
        <is>
          <t>NORRBOTTENS LÄN</t>
        </is>
      </c>
      <c r="G202" t="inlineStr">
        <is>
          <t>ÖVERKALIX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45643</v>
      </c>
      <c r="E203" s="1" t="n">
        <v>46281</v>
      </c>
      <c r="F203" t="inlineStr">
        <is>
          <t>NORRBOTTENS LÄN</t>
        </is>
      </c>
      <c r="G203" t="inlineStr">
        <is>
          <t>ÖVERKALIX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45631</v>
      </c>
      <c r="E204" s="1" t="n">
        <v>46281</v>
      </c>
      <c r="F204" t="inlineStr">
        <is>
          <t>NORRBOTTENS LÄN</t>
        </is>
      </c>
      <c r="G204" t="inlineStr">
        <is>
          <t>ÖVERKALIX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44960</v>
      </c>
      <c r="E205" s="1" t="n">
        <v>46281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44648</v>
      </c>
      <c r="E206" s="1" t="n">
        <v>46281</v>
      </c>
      <c r="F206" t="inlineStr">
        <is>
          <t>NORRBOTTENS LÄN</t>
        </is>
      </c>
      <c r="G206" t="inlineStr">
        <is>
          <t>ÖVERKALIX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45463</v>
      </c>
      <c r="E207" s="1" t="n">
        <v>46281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46139</v>
      </c>
      <c r="E208" s="1" t="n">
        <v>46281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11919-2023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44993</v>
      </c>
      <c r="E209" s="1" t="n">
        <v>46281</v>
      </c>
      <c r="F209" t="inlineStr">
        <is>
          <t>NORRBOTTENS LÄN</t>
        </is>
      </c>
      <c r="G209" t="inlineStr">
        <is>
          <t>ÖVERKALIX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46140</v>
      </c>
      <c r="E210" s="1" t="n">
        <v>46281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57744-2025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45981</v>
      </c>
      <c r="E211" s="1" t="n">
        <v>46281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46281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51561-2024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45604</v>
      </c>
      <c r="E213" s="1" t="n">
        <v>46281</v>
      </c>
      <c r="F213" t="inlineStr">
        <is>
          <t>NORRBOTTENS LÄN</t>
        </is>
      </c>
      <c r="G213" t="inlineStr">
        <is>
          <t>ÖVERKALIX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52976-2024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45611</v>
      </c>
      <c r="E214" s="1" t="n">
        <v>46281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46281</v>
      </c>
      <c r="F215" t="inlineStr">
        <is>
          <t>NORRBOTTENS LÄN</t>
        </is>
      </c>
      <c r="G215" t="inlineStr">
        <is>
          <t>ÖVERKALIX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46281</v>
      </c>
      <c r="F216" t="inlineStr">
        <is>
          <t>NORRBOTTENS LÄN</t>
        </is>
      </c>
      <c r="G216" t="inlineStr">
        <is>
          <t>ÖVERKALIX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46281</v>
      </c>
      <c r="F217" t="inlineStr">
        <is>
          <t>NORRBOTTENS LÄN</t>
        </is>
      </c>
      <c r="G217" t="inlineStr">
        <is>
          <t>ÖVERKALIX</t>
        </is>
      </c>
      <c r="I217" t="n">
        <v>16.1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46281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46281</v>
      </c>
      <c r="F219" t="inlineStr">
        <is>
          <t>NORRBOTTENS LÄN</t>
        </is>
      </c>
      <c r="G219" t="inlineStr">
        <is>
          <t>ÖVERKALIX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46281</v>
      </c>
      <c r="F220" t="inlineStr">
        <is>
          <t>NORRBOTTENS LÄN</t>
        </is>
      </c>
      <c r="G220" t="inlineStr">
        <is>
          <t>ÖVERKALIX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45308</v>
      </c>
      <c r="E221" s="1" t="n">
        <v>46281</v>
      </c>
      <c r="F221" t="inlineStr">
        <is>
          <t>NORRBOTTENS LÄN</t>
        </is>
      </c>
      <c r="G221" t="inlineStr">
        <is>
          <t>ÖVERKALIX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46281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46281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44823</v>
      </c>
      <c r="E224" s="1" t="n">
        <v>46281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46281</v>
      </c>
      <c r="F225" t="inlineStr">
        <is>
          <t>NORRBOTTENS LÄN</t>
        </is>
      </c>
      <c r="G225" t="inlineStr">
        <is>
          <t>ÖVERKALIX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46281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45699</v>
      </c>
      <c r="E227" s="1" t="n">
        <v>46281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28.8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45993</v>
      </c>
      <c r="E228" s="1" t="n">
        <v>46281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46281</v>
      </c>
      <c r="F229" t="inlineStr">
        <is>
          <t>NORRBOTTENS LÄN</t>
        </is>
      </c>
      <c r="G229" t="inlineStr">
        <is>
          <t>ÖVERKALIX</t>
        </is>
      </c>
      <c r="I229" t="n">
        <v>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46148</v>
      </c>
      <c r="E230" s="1" t="n">
        <v>46281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46148</v>
      </c>
      <c r="E231" s="1" t="n">
        <v>46281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46148</v>
      </c>
      <c r="E232" s="1" t="n">
        <v>46281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46148</v>
      </c>
      <c r="E233" s="1" t="n">
        <v>46281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21411-2026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46148</v>
      </c>
      <c r="E234" s="1" t="n">
        <v>46281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Sveaskog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46148</v>
      </c>
      <c r="E235" s="1" t="n">
        <v>46281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46148</v>
      </c>
      <c r="E236" s="1" t="n">
        <v>46281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45996</v>
      </c>
      <c r="E237" s="1" t="n">
        <v>46281</v>
      </c>
      <c r="F237" t="inlineStr">
        <is>
          <t>NORRBOTTENS LÄN</t>
        </is>
      </c>
      <c r="G237" t="inlineStr">
        <is>
          <t>ÖVERKALIX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46148</v>
      </c>
      <c r="E238" s="1" t="n">
        <v>46281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11.5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21429-2026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46148</v>
      </c>
      <c r="E239" s="1" t="n">
        <v>46281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18.8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46281</v>
      </c>
      <c r="F240" t="inlineStr">
        <is>
          <t>NORRBOTTENS LÄN</t>
        </is>
      </c>
      <c r="G240" t="inlineStr">
        <is>
          <t>ÖVERKALIX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46048</v>
      </c>
      <c r="E241" s="1" t="n">
        <v>46281</v>
      </c>
      <c r="F241" t="inlineStr">
        <is>
          <t>NORRBOTTENS LÄN</t>
        </is>
      </c>
      <c r="G241" t="inlineStr">
        <is>
          <t>ÖVERKALIX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46281</v>
      </c>
      <c r="F242" t="inlineStr">
        <is>
          <t>NORRBOTTENS LÄN</t>
        </is>
      </c>
      <c r="G242" t="inlineStr">
        <is>
          <t>ÖVERKALIX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46281</v>
      </c>
      <c r="F243" t="inlineStr">
        <is>
          <t>NORRBOTTENS LÄN</t>
        </is>
      </c>
      <c r="G243" t="inlineStr">
        <is>
          <t>ÖVERKALIX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46281</v>
      </c>
      <c r="F244" t="inlineStr">
        <is>
          <t>NORRBOTTENS LÄN</t>
        </is>
      </c>
      <c r="G244" t="inlineStr">
        <is>
          <t>ÖVERKALIX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46281</v>
      </c>
      <c r="F245" t="inlineStr">
        <is>
          <t>NORRBOTTENS LÄN</t>
        </is>
      </c>
      <c r="G245" t="inlineStr">
        <is>
          <t>ÖVERKALIX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46281</v>
      </c>
      <c r="F246" t="inlineStr">
        <is>
          <t>NORRBOTTENS LÄN</t>
        </is>
      </c>
      <c r="G246" t="inlineStr">
        <is>
          <t>ÖVERKALIX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46281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46281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46281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23.2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45643</v>
      </c>
      <c r="E250" s="1" t="n">
        <v>46281</v>
      </c>
      <c r="F250" t="inlineStr">
        <is>
          <t>NORRBOTTENS LÄN</t>
        </is>
      </c>
      <c r="G250" t="inlineStr">
        <is>
          <t>ÖVERKALIX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46281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48577-2023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45208</v>
      </c>
      <c r="E252" s="1" t="n">
        <v>46281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26450-2025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45807</v>
      </c>
      <c r="E253" s="1" t="n">
        <v>46281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8.300000000000001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9849-2024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45363</v>
      </c>
      <c r="E254" s="1" t="n">
        <v>46281</v>
      </c>
      <c r="F254" t="inlineStr">
        <is>
          <t>NORRBOTTENS LÄN</t>
        </is>
      </c>
      <c r="G254" t="inlineStr">
        <is>
          <t>ÖVERKALIX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45691</v>
      </c>
      <c r="E255" s="1" t="n">
        <v>46281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20.3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51058-2024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46281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45671</v>
      </c>
      <c r="E257" s="1" t="n">
        <v>46281</v>
      </c>
      <c r="F257" t="inlineStr">
        <is>
          <t>NORRBOTTENS LÄN</t>
        </is>
      </c>
      <c r="G257" t="inlineStr">
        <is>
          <t>ÖVERKALIX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43314-2022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44834</v>
      </c>
      <c r="E258" s="1" t="n">
        <v>46281</v>
      </c>
      <c r="F258" t="inlineStr">
        <is>
          <t>NORRBOTTENS LÄN</t>
        </is>
      </c>
      <c r="G258" t="inlineStr">
        <is>
          <t>ÖVERKALIX</t>
        </is>
      </c>
      <c r="I258" t="n">
        <v>13.1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46281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46281</v>
      </c>
      <c r="F260" t="inlineStr">
        <is>
          <t>NORRBOTTENS LÄN</t>
        </is>
      </c>
      <c r="G260" t="inlineStr">
        <is>
          <t>ÖVERKALIX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46281</v>
      </c>
      <c r="F261" t="inlineStr">
        <is>
          <t>NORRBOTTENS LÄN</t>
        </is>
      </c>
      <c r="G261" t="inlineStr">
        <is>
          <t>ÖVERKALIX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46281</v>
      </c>
      <c r="F262" t="inlineStr">
        <is>
          <t>NORRBOTTENS LÄN</t>
        </is>
      </c>
      <c r="G262" t="inlineStr">
        <is>
          <t>ÖVERKALIX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46160</v>
      </c>
      <c r="E263" s="1" t="n">
        <v>46281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46281</v>
      </c>
      <c r="F264" t="inlineStr">
        <is>
          <t>NORRBOTTENS LÄN</t>
        </is>
      </c>
      <c r="G264" t="inlineStr">
        <is>
          <t>ÖVERKALIX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46160</v>
      </c>
      <c r="E265" s="1" t="n">
        <v>46281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22742-2026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46157</v>
      </c>
      <c r="E266" s="1" t="n">
        <v>46281</v>
      </c>
      <c r="F266" t="inlineStr">
        <is>
          <t>NORRBOTTENS LÄN</t>
        </is>
      </c>
      <c r="G266" t="inlineStr">
        <is>
          <t>ÖVERKALIX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46162</v>
      </c>
      <c r="E267" s="1" t="n">
        <v>46281</v>
      </c>
      <c r="F267" t="inlineStr">
        <is>
          <t>NORRBOTTENS LÄN</t>
        </is>
      </c>
      <c r="G267" t="inlineStr">
        <is>
          <t>ÖVERKALIX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45747</v>
      </c>
      <c r="E268" s="1" t="n">
        <v>46281</v>
      </c>
      <c r="F268" t="inlineStr">
        <is>
          <t>NORRBOTTENS LÄN</t>
        </is>
      </c>
      <c r="G268" t="inlineStr">
        <is>
          <t>ÖVERKALIX</t>
        </is>
      </c>
      <c r="I268" t="n">
        <v>10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46162</v>
      </c>
      <c r="E269" s="1" t="n">
        <v>46281</v>
      </c>
      <c r="F269" t="inlineStr">
        <is>
          <t>NORRBOTTENS LÄN</t>
        </is>
      </c>
      <c r="G269" t="inlineStr">
        <is>
          <t>ÖVERKALIX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23362-2026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46162</v>
      </c>
      <c r="E270" s="1" t="n">
        <v>46281</v>
      </c>
      <c r="F270" t="inlineStr">
        <is>
          <t>NORRBOTTENS LÄN</t>
        </is>
      </c>
      <c r="G270" t="inlineStr">
        <is>
          <t>ÖVERKALIX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30881-2024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45498</v>
      </c>
      <c r="E271" s="1" t="n">
        <v>46281</v>
      </c>
      <c r="F271" t="inlineStr">
        <is>
          <t>NORRBOTTENS LÄN</t>
        </is>
      </c>
      <c r="G271" t="inlineStr">
        <is>
          <t>ÖVERKALIX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46281</v>
      </c>
      <c r="F272" t="inlineStr">
        <is>
          <t>NORRBOTTENS LÄN</t>
        </is>
      </c>
      <c r="G272" t="inlineStr">
        <is>
          <t>ÖVERKALIX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46281</v>
      </c>
      <c r="F273" t="inlineStr">
        <is>
          <t>NORRBOTTENS LÄN</t>
        </is>
      </c>
      <c r="G273" t="inlineStr">
        <is>
          <t>ÖVERKALIX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46281</v>
      </c>
      <c r="F274" t="inlineStr">
        <is>
          <t>NORRBOTTENS LÄN</t>
        </is>
      </c>
      <c r="G274" t="inlineStr">
        <is>
          <t>ÖVERKALIX</t>
        </is>
      </c>
      <c r="I274" t="n">
        <v>10.1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44930</v>
      </c>
      <c r="E275" s="1" t="n">
        <v>46281</v>
      </c>
      <c r="F275" t="inlineStr">
        <is>
          <t>NORRBOTTENS LÄN</t>
        </is>
      </c>
      <c r="G275" t="inlineStr">
        <is>
          <t>ÖVERKALIX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46281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46164</v>
      </c>
      <c r="E277" s="1" t="n">
        <v>46281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45950</v>
      </c>
      <c r="E278" s="1" t="n">
        <v>46281</v>
      </c>
      <c r="F278" t="inlineStr">
        <is>
          <t>NORRBOTTENS LÄN</t>
        </is>
      </c>
      <c r="G278" t="inlineStr">
        <is>
          <t>ÖVERKALIX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46163</v>
      </c>
      <c r="E279" s="1" t="n">
        <v>46281</v>
      </c>
      <c r="F279" t="inlineStr">
        <is>
          <t>NORRBOTTENS LÄN</t>
        </is>
      </c>
      <c r="G279" t="inlineStr">
        <is>
          <t>ÖVERKALIX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28372-2025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45818</v>
      </c>
      <c r="E280" s="1" t="n">
        <v>46281</v>
      </c>
      <c r="F280" t="inlineStr">
        <is>
          <t>NORRBOTTENS LÄN</t>
        </is>
      </c>
      <c r="G280" t="inlineStr">
        <is>
          <t>ÖVERKALIX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24170-2026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46168</v>
      </c>
      <c r="E281" s="1" t="n">
        <v>46281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23938-2026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46167</v>
      </c>
      <c r="E282" s="1" t="n">
        <v>46281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24129-2026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46168</v>
      </c>
      <c r="E283" s="1" t="n">
        <v>46281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46281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23953-2026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46281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23942-2026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46281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46168</v>
      </c>
      <c r="E287" s="1" t="n">
        <v>46281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18.6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23935-2026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46167</v>
      </c>
      <c r="E288" s="1" t="n">
        <v>46281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Sveaskog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45747</v>
      </c>
      <c r="E289" s="1" t="n">
        <v>46281</v>
      </c>
      <c r="F289" t="inlineStr">
        <is>
          <t>NORRBOTTENS LÄN</t>
        </is>
      </c>
      <c r="G289" t="inlineStr">
        <is>
          <t>ÖVERKALIX</t>
        </is>
      </c>
      <c r="I289" t="n">
        <v>10.4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54143-2021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44469</v>
      </c>
      <c r="E290" s="1" t="n">
        <v>46281</v>
      </c>
      <c r="F290" t="inlineStr">
        <is>
          <t>NORRBOTTENS LÄN</t>
        </is>
      </c>
      <c r="G290" t="inlineStr">
        <is>
          <t>ÖVERKALIX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44890</v>
      </c>
      <c r="E291" s="1" t="n">
        <v>46281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13.8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46281</v>
      </c>
      <c r="F292" t="inlineStr">
        <is>
          <t>NORRBOTTENS LÄN</t>
        </is>
      </c>
      <c r="G292" t="inlineStr">
        <is>
          <t>ÖVERKALIX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46042</v>
      </c>
      <c r="E293" s="1" t="n">
        <v>46281</v>
      </c>
      <c r="F293" t="inlineStr">
        <is>
          <t>NORRBOTTENS LÄN</t>
        </is>
      </c>
      <c r="G293" t="inlineStr">
        <is>
          <t>ÖVERKALIX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24587-2026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46170</v>
      </c>
      <c r="E294" s="1" t="n">
        <v>46281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45712</v>
      </c>
      <c r="E295" s="1" t="n">
        <v>46281</v>
      </c>
      <c r="F295" t="inlineStr">
        <is>
          <t>NORRBOTTENS LÄN</t>
        </is>
      </c>
      <c r="G295" t="inlineStr">
        <is>
          <t>ÖVERKALIX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45944</v>
      </c>
      <c r="E296" s="1" t="n">
        <v>46281</v>
      </c>
      <c r="F296" t="inlineStr">
        <is>
          <t>NORRBOTTENS LÄN</t>
        </is>
      </c>
      <c r="G296" t="inlineStr">
        <is>
          <t>ÖVERKALIX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46175</v>
      </c>
      <c r="E297" s="1" t="n">
        <v>46281</v>
      </c>
      <c r="F297" t="inlineStr">
        <is>
          <t>NORRBOTTENS LÄN</t>
        </is>
      </c>
      <c r="G297" t="inlineStr">
        <is>
          <t>ÖVERKALIX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46281</v>
      </c>
      <c r="F298" t="inlineStr">
        <is>
          <t>NORRBOTTENS LÄN</t>
        </is>
      </c>
      <c r="G298" t="inlineStr">
        <is>
          <t>ÖVERKALIX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46281</v>
      </c>
      <c r="F299" t="inlineStr">
        <is>
          <t>NORRBOTTENS LÄN</t>
        </is>
      </c>
      <c r="G299" t="inlineStr">
        <is>
          <t>ÖVERKALIX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62269-2021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44502</v>
      </c>
      <c r="E300" s="1" t="n">
        <v>46281</v>
      </c>
      <c r="F300" t="inlineStr">
        <is>
          <t>NORRBOTTENS LÄN</t>
        </is>
      </c>
      <c r="G300" t="inlineStr">
        <is>
          <t>ÖVERKALIX</t>
        </is>
      </c>
      <c r="I300" t="n">
        <v>9.199999999999999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45315</v>
      </c>
      <c r="E301" s="1" t="n">
        <v>46281</v>
      </c>
      <c r="F301" t="inlineStr">
        <is>
          <t>NORRBOTTENS LÄN</t>
        </is>
      </c>
      <c r="G301" t="inlineStr">
        <is>
          <t>ÖVERKALIX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46281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46281</v>
      </c>
      <c r="F303" t="inlineStr">
        <is>
          <t>NORRBOTTENS LÄN</t>
        </is>
      </c>
      <c r="G303" t="inlineStr">
        <is>
          <t>ÖVERKALIX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46281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46281</v>
      </c>
      <c r="F305" t="inlineStr">
        <is>
          <t>NORRBOTTENS LÄN</t>
        </is>
      </c>
      <c r="G305" t="inlineStr">
        <is>
          <t>ÖVERKALIX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46281</v>
      </c>
      <c r="F306" t="inlineStr">
        <is>
          <t>NORRBOTTENS LÄN</t>
        </is>
      </c>
      <c r="G306" t="inlineStr">
        <is>
          <t>ÖVERKALIX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45005</v>
      </c>
      <c r="E307" s="1" t="n">
        <v>46281</v>
      </c>
      <c r="F307" t="inlineStr">
        <is>
          <t>NORRBOTTENS LÄN</t>
        </is>
      </c>
      <c r="G307" t="inlineStr">
        <is>
          <t>ÖVERKALIX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46059</v>
      </c>
      <c r="E308" s="1" t="n">
        <v>46281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7487-2026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46059</v>
      </c>
      <c r="E309" s="1" t="n">
        <v>46281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46281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46181</v>
      </c>
      <c r="E311" s="1" t="n">
        <v>46281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45153</v>
      </c>
      <c r="E312" s="1" t="n">
        <v>46281</v>
      </c>
      <c r="F312" t="inlineStr">
        <is>
          <t>NORRBOTTENS LÄN</t>
        </is>
      </c>
      <c r="G312" t="inlineStr">
        <is>
          <t>ÖVERKALIX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46183</v>
      </c>
      <c r="E313" s="1" t="n">
        <v>46281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44966</v>
      </c>
      <c r="E314" s="1" t="n">
        <v>46281</v>
      </c>
      <c r="F314" t="inlineStr">
        <is>
          <t>NORRBOTTENS LÄN</t>
        </is>
      </c>
      <c r="G314" t="inlineStr">
        <is>
          <t>ÖVERKALIX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26426-2026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46281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13.8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46281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17.7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46187</v>
      </c>
      <c r="E317" s="1" t="n">
        <v>46281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73216-2021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44547</v>
      </c>
      <c r="E318" s="1" t="n">
        <v>46281</v>
      </c>
      <c r="F318" t="inlineStr">
        <is>
          <t>NORRBOTTENS LÄN</t>
        </is>
      </c>
      <c r="G318" t="inlineStr">
        <is>
          <t>ÖVERKALIX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46076</v>
      </c>
      <c r="E319" s="1" t="n">
        <v>46281</v>
      </c>
      <c r="F319" t="inlineStr">
        <is>
          <t>NORRBOTTENS LÄN</t>
        </is>
      </c>
      <c r="G319" t="inlineStr">
        <is>
          <t>ÖVERKALIX</t>
        </is>
      </c>
      <c r="I319" t="n">
        <v>10.8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46281</v>
      </c>
      <c r="F320" t="inlineStr">
        <is>
          <t>NORRBOTTENS LÄN</t>
        </is>
      </c>
      <c r="G320" t="inlineStr">
        <is>
          <t>ÖVERKALIX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45767-2023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46281</v>
      </c>
      <c r="F321" t="inlineStr">
        <is>
          <t>NORRBOTTENS LÄN</t>
        </is>
      </c>
      <c r="G321" t="inlineStr">
        <is>
          <t>ÖVERKALIX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45639</v>
      </c>
      <c r="E322" s="1" t="n">
        <v>46281</v>
      </c>
      <c r="F322" t="inlineStr">
        <is>
          <t>NORRBOTTENS LÄN</t>
        </is>
      </c>
      <c r="G322" t="inlineStr">
        <is>
          <t>ÖVERKALIX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45379</v>
      </c>
      <c r="E323" s="1" t="n">
        <v>46281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44964</v>
      </c>
      <c r="E324" s="1" t="n">
        <v>46281</v>
      </c>
      <c r="F324" t="inlineStr">
        <is>
          <t>NORRBOTTENS LÄN</t>
        </is>
      </c>
      <c r="G324" t="inlineStr">
        <is>
          <t>ÖVERKALIX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46281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45469</v>
      </c>
      <c r="E326" s="1" t="n">
        <v>46281</v>
      </c>
      <c r="F326" t="inlineStr">
        <is>
          <t>NORRBOTTENS LÄN</t>
        </is>
      </c>
      <c r="G326" t="inlineStr">
        <is>
          <t>ÖVERKALIX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6641-2022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44601</v>
      </c>
      <c r="E327" s="1" t="n">
        <v>46281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28210-2026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46196</v>
      </c>
      <c r="E328" s="1" t="n">
        <v>46281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45594</v>
      </c>
      <c r="E329" s="1" t="n">
        <v>46281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8026-2023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44973</v>
      </c>
      <c r="E330" s="1" t="n">
        <v>46281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45154</v>
      </c>
      <c r="E331" s="1" t="n">
        <v>46281</v>
      </c>
      <c r="F331" t="inlineStr">
        <is>
          <t>NORRBOTTENS LÄN</t>
        </is>
      </c>
      <c r="G331" t="inlineStr">
        <is>
          <t>ÖVERKALIX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15854-2024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46281</v>
      </c>
      <c r="F332" t="inlineStr">
        <is>
          <t>NORRBOTTENS LÄN</t>
        </is>
      </c>
      <c r="G332" t="inlineStr">
        <is>
          <t>ÖVERKALIX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32933-2026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46244</v>
      </c>
      <c r="E333" s="1" t="n">
        <v>46281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46281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10.1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45513</v>
      </c>
      <c r="E335" s="1" t="n">
        <v>46281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44910</v>
      </c>
      <c r="E336" s="1" t="n">
        <v>46281</v>
      </c>
      <c r="F336" t="inlineStr">
        <is>
          <t>NORRBOTTENS LÄN</t>
        </is>
      </c>
      <c r="G336" t="inlineStr">
        <is>
          <t>ÖVERKALIX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45460</v>
      </c>
      <c r="E337" s="1" t="n">
        <v>46281</v>
      </c>
      <c r="F337" t="inlineStr">
        <is>
          <t>NORRBOTTENS LÄN</t>
        </is>
      </c>
      <c r="G337" t="inlineStr">
        <is>
          <t>ÖVERKALIX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28641-2026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46198</v>
      </c>
      <c r="E338" s="1" t="n">
        <v>46281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46281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46199</v>
      </c>
      <c r="E340" s="1" t="n">
        <v>46281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45429</v>
      </c>
      <c r="E341" s="1" t="n">
        <v>46281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32962-2026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46281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45009</v>
      </c>
      <c r="E343" s="1" t="n">
        <v>46281</v>
      </c>
      <c r="F343" t="inlineStr">
        <is>
          <t>NORRBOTTENS LÄN</t>
        </is>
      </c>
      <c r="G343" t="inlineStr">
        <is>
          <t>ÖVERKALIX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33284-2026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46246</v>
      </c>
      <c r="E344" s="1" t="n">
        <v>46281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45133</v>
      </c>
      <c r="E345" s="1" t="n">
        <v>46281</v>
      </c>
      <c r="F345" t="inlineStr">
        <is>
          <t>NORRBOTTENS LÄN</t>
        </is>
      </c>
      <c r="G345" t="inlineStr">
        <is>
          <t>ÖVERKALIX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45771</v>
      </c>
      <c r="E346" s="1" t="n">
        <v>46281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10.5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45160</v>
      </c>
      <c r="E347" s="1" t="n">
        <v>46281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47734-2024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45588</v>
      </c>
      <c r="E348" s="1" t="n">
        <v>46281</v>
      </c>
      <c r="F348" t="inlineStr">
        <is>
          <t>NORRBOTTENS LÄN</t>
        </is>
      </c>
      <c r="G348" t="inlineStr">
        <is>
          <t>ÖVERKALIX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46281</v>
      </c>
      <c r="F349" t="inlineStr">
        <is>
          <t>NORRBOTTENS LÄN</t>
        </is>
      </c>
      <c r="G349" t="inlineStr">
        <is>
          <t>ÖVERKALIX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37429-2024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45540</v>
      </c>
      <c r="E350" s="1" t="n">
        <v>46281</v>
      </c>
      <c r="F350" t="inlineStr">
        <is>
          <t>NORRBOTTENS LÄN</t>
        </is>
      </c>
      <c r="G350" t="inlineStr">
        <is>
          <t>ÖVERKALIX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45070</v>
      </c>
      <c r="E351" s="1" t="n">
        <v>46281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45141</v>
      </c>
      <c r="E352" s="1" t="n">
        <v>46281</v>
      </c>
      <c r="F352" t="inlineStr">
        <is>
          <t>NORRBOTTENS LÄN</t>
        </is>
      </c>
      <c r="G352" t="inlineStr">
        <is>
          <t>ÖVERKALIX</t>
        </is>
      </c>
      <c r="I352" t="n">
        <v>8.6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29927-2026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46205</v>
      </c>
      <c r="E353" s="1" t="n">
        <v>46281</v>
      </c>
      <c r="F353" t="inlineStr">
        <is>
          <t>NORRBOTTENS LÄN</t>
        </is>
      </c>
      <c r="G353" t="inlineStr">
        <is>
          <t>ÖVERKALIX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72364-2021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44543</v>
      </c>
      <c r="E354" s="1" t="n">
        <v>46281</v>
      </c>
      <c r="F354" t="inlineStr">
        <is>
          <t>NORRBOTTENS LÄN</t>
        </is>
      </c>
      <c r="G354" t="inlineStr">
        <is>
          <t>ÖVERKALIX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29937-2026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46205</v>
      </c>
      <c r="E355" s="1" t="n">
        <v>46281</v>
      </c>
      <c r="F355" t="inlineStr">
        <is>
          <t>NORRBOTTENS LÄN</t>
        </is>
      </c>
      <c r="G355" t="inlineStr">
        <is>
          <t>ÖVERKALIX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5653-2022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44595</v>
      </c>
      <c r="E356" s="1" t="n">
        <v>46281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46247</v>
      </c>
      <c r="E357" s="1" t="n">
        <v>46281</v>
      </c>
      <c r="F357" t="inlineStr">
        <is>
          <t>NORRBOTTENS LÄN</t>
        </is>
      </c>
      <c r="G357" t="inlineStr">
        <is>
          <t>ÖVERKALIX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32477-2024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45513</v>
      </c>
      <c r="E358" s="1" t="n">
        <v>46281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55857-2024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45622</v>
      </c>
      <c r="E359" s="1" t="n">
        <v>46281</v>
      </c>
      <c r="F359" t="inlineStr">
        <is>
          <t>NORRBOTTENS LÄN</t>
        </is>
      </c>
      <c r="G359" t="inlineStr">
        <is>
          <t>ÖVERKALIX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30326-2026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46207</v>
      </c>
      <c r="E360" s="1" t="n">
        <v>46281</v>
      </c>
      <c r="F360" t="inlineStr">
        <is>
          <t>NORRBOTTENS LÄN</t>
        </is>
      </c>
      <c r="G360" t="inlineStr">
        <is>
          <t>ÖVERKALIX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30327-2026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46207</v>
      </c>
      <c r="E361" s="1" t="n">
        <v>46281</v>
      </c>
      <c r="F361" t="inlineStr">
        <is>
          <t>NORRBOTTENS LÄN</t>
        </is>
      </c>
      <c r="G361" t="inlineStr">
        <is>
          <t>ÖVERKALIX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46281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55226-2024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45621</v>
      </c>
      <c r="E363" s="1" t="n">
        <v>46281</v>
      </c>
      <c r="F363" t="inlineStr">
        <is>
          <t>NORRBOTTENS LÄN</t>
        </is>
      </c>
      <c r="G363" t="inlineStr">
        <is>
          <t>ÖVERKALIX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7039-2022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44603</v>
      </c>
      <c r="E364" s="1" t="n">
        <v>46281</v>
      </c>
      <c r="F364" t="inlineStr">
        <is>
          <t>NORRBOTTENS LÄN</t>
        </is>
      </c>
      <c r="G364" t="inlineStr">
        <is>
          <t>ÖVERKALIX</t>
        </is>
      </c>
      <c r="H364" t="inlineStr">
        <is>
          <t>Övriga statliga verk och myndigheter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46281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30019-2026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46281</v>
      </c>
      <c r="F366" t="inlineStr">
        <is>
          <t>NORRBOTTENS LÄN</t>
        </is>
      </c>
      <c r="G366" t="inlineStr">
        <is>
          <t>ÖVERKALIX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30241-2026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46206</v>
      </c>
      <c r="E367" s="1" t="n">
        <v>46281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46281</v>
      </c>
      <c r="F368" t="inlineStr">
        <is>
          <t>NORRBOTTENS LÄN</t>
        </is>
      </c>
      <c r="G368" t="inlineStr">
        <is>
          <t>ÖVERKALIX</t>
        </is>
      </c>
      <c r="I368" t="n">
        <v>22.3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30328-2026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46207</v>
      </c>
      <c r="E369" s="1" t="n">
        <v>46281</v>
      </c>
      <c r="F369" t="inlineStr">
        <is>
          <t>NORRBOTTENS LÄN</t>
        </is>
      </c>
      <c r="G369" t="inlineStr">
        <is>
          <t>ÖVERKALIX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33927-2026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46252</v>
      </c>
      <c r="E370" s="1" t="n">
        <v>46281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45321</v>
      </c>
      <c r="E371" s="1" t="n">
        <v>46281</v>
      </c>
      <c r="F371" t="inlineStr">
        <is>
          <t>NORRBOTTENS LÄN</t>
        </is>
      </c>
      <c r="G371" t="inlineStr">
        <is>
          <t>ÖVERKALIX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46254</v>
      </c>
      <c r="E372" s="1" t="n">
        <v>46281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27681-2026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46281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45593</v>
      </c>
      <c r="E374" s="1" t="n">
        <v>46281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8.199999999999999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45677</v>
      </c>
      <c r="E375" s="1" t="n">
        <v>46281</v>
      </c>
      <c r="F375" t="inlineStr">
        <is>
          <t>NORRBOTTENS LÄN</t>
        </is>
      </c>
      <c r="G375" t="inlineStr">
        <is>
          <t>ÖVERKALIX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50862-2023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45218</v>
      </c>
      <c r="E376" s="1" t="n">
        <v>46281</v>
      </c>
      <c r="F376" t="inlineStr">
        <is>
          <t>NORRBOTTENS LÄN</t>
        </is>
      </c>
      <c r="G376" t="inlineStr">
        <is>
          <t>ÖVERKALIX</t>
        </is>
      </c>
      <c r="I376" t="n">
        <v>8.199999999999999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46254</v>
      </c>
      <c r="E377" s="1" t="n">
        <v>46281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46281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46281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17.6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44554-2023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45189</v>
      </c>
      <c r="E380" s="1" t="n">
        <v>46281</v>
      </c>
      <c r="F380" t="inlineStr">
        <is>
          <t>NORRBOTTENS LÄN</t>
        </is>
      </c>
      <c r="G380" t="inlineStr">
        <is>
          <t>ÖVERKALIX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27681-2023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45097</v>
      </c>
      <c r="E381" s="1" t="n">
        <v>46281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34358-2026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46281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33.7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34362-2026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46254</v>
      </c>
      <c r="E383" s="1" t="n">
        <v>46281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9.199999999999999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46258</v>
      </c>
      <c r="E384" s="1" t="n">
        <v>46281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45748-2023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46281</v>
      </c>
      <c r="F385" t="inlineStr">
        <is>
          <t>NORRBOTTENS LÄN</t>
        </is>
      </c>
      <c r="G385" t="inlineStr">
        <is>
          <t>ÖVERKALIX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52075-2023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46281</v>
      </c>
      <c r="F386" t="inlineStr">
        <is>
          <t>NORRBOTTENS LÄN</t>
        </is>
      </c>
      <c r="G386" t="inlineStr">
        <is>
          <t>ÖVERKALIX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46260</v>
      </c>
      <c r="E387" s="1" t="n">
        <v>46281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46281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55838-2024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45622</v>
      </c>
      <c r="E389" s="1" t="n">
        <v>46281</v>
      </c>
      <c r="F389" t="inlineStr">
        <is>
          <t>NORRBOTTENS LÄN</t>
        </is>
      </c>
      <c r="G389" t="inlineStr">
        <is>
          <t>ÖVERKALIX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55857-2024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45622</v>
      </c>
      <c r="E390" s="1" t="n">
        <v>46281</v>
      </c>
      <c r="F390" t="inlineStr">
        <is>
          <t>NORRBOTTENS LÄN</t>
        </is>
      </c>
      <c r="G390" t="inlineStr">
        <is>
          <t>ÖVERKALIX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45180</v>
      </c>
      <c r="E391" s="1" t="n">
        <v>46281</v>
      </c>
      <c r="F391" t="inlineStr">
        <is>
          <t>NORRBOTTENS LÄN</t>
        </is>
      </c>
      <c r="G391" t="inlineStr">
        <is>
          <t>ÖVERKALIX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45715</v>
      </c>
      <c r="E392" s="1" t="n">
        <v>46281</v>
      </c>
      <c r="F392" t="inlineStr">
        <is>
          <t>NORRBOTTENS LÄN</t>
        </is>
      </c>
      <c r="G392" t="inlineStr">
        <is>
          <t>ÖVERKALIX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35235-2026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46260</v>
      </c>
      <c r="E393" s="1" t="n">
        <v>46281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45621</v>
      </c>
      <c r="E394" s="1" t="n">
        <v>46281</v>
      </c>
      <c r="F394" t="inlineStr">
        <is>
          <t>NORRBOTTENS LÄN</t>
        </is>
      </c>
      <c r="G394" t="inlineStr">
        <is>
          <t>ÖVERKALIX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45315</v>
      </c>
      <c r="E395" s="1" t="n">
        <v>46281</v>
      </c>
      <c r="F395" t="inlineStr">
        <is>
          <t>NORRBOTTENS LÄN</t>
        </is>
      </c>
      <c r="G395" t="inlineStr">
        <is>
          <t>ÖVERKALIX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41830-2024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45561</v>
      </c>
      <c r="E396" s="1" t="n">
        <v>46281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45709</v>
      </c>
      <c r="E397" s="1" t="n">
        <v>46281</v>
      </c>
      <c r="F397" t="inlineStr">
        <is>
          <t>NORRBOTTENS LÄN</t>
        </is>
      </c>
      <c r="G397" t="inlineStr">
        <is>
          <t>ÖVERKALIX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45693</v>
      </c>
      <c r="E398" s="1" t="n">
        <v>46281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59911-2024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45641</v>
      </c>
      <c r="E399" s="1" t="n">
        <v>46281</v>
      </c>
      <c r="F399" t="inlineStr">
        <is>
          <t>NORRBOTTENS LÄN</t>
        </is>
      </c>
      <c r="G399" t="inlineStr">
        <is>
          <t>ÖVERKALIX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35966-2026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46266</v>
      </c>
      <c r="E400" s="1" t="n">
        <v>46281</v>
      </c>
      <c r="F400" t="inlineStr">
        <is>
          <t>NORRBOTTENS LÄN</t>
        </is>
      </c>
      <c r="G400" t="inlineStr">
        <is>
          <t>ÖVERKALIX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35191-2026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46260</v>
      </c>
      <c r="E401" s="1" t="n">
        <v>46281</v>
      </c>
      <c r="F401" t="inlineStr">
        <is>
          <t>NORRBOTTENS LÄN</t>
        </is>
      </c>
      <c r="G401" t="inlineStr">
        <is>
          <t>ÖVERKALIX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35950-2026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46266</v>
      </c>
      <c r="E402" s="1" t="n">
        <v>46281</v>
      </c>
      <c r="F402" t="inlineStr">
        <is>
          <t>NORRBOTTENS LÄN</t>
        </is>
      </c>
      <c r="G402" t="inlineStr">
        <is>
          <t>ÖVERKALIX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45321</v>
      </c>
      <c r="E403" s="1" t="n">
        <v>46281</v>
      </c>
      <c r="F403" t="inlineStr">
        <is>
          <t>NORRBOTTENS LÄN</t>
        </is>
      </c>
      <c r="G403" t="inlineStr">
        <is>
          <t>ÖVERKALIX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46225</v>
      </c>
      <c r="E404" s="1" t="n">
        <v>46281</v>
      </c>
      <c r="F404" t="inlineStr">
        <is>
          <t>NORRBOTTENS LÄN</t>
        </is>
      </c>
      <c r="G404" t="inlineStr">
        <is>
          <t>ÖVERKALIX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46267</v>
      </c>
      <c r="E405" s="1" t="n">
        <v>46281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52647-2024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46281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45667</v>
      </c>
      <c r="E407" s="1" t="n">
        <v>46281</v>
      </c>
      <c r="F407" t="inlineStr">
        <is>
          <t>NORRBOTTENS LÄN</t>
        </is>
      </c>
      <c r="G407" t="inlineStr">
        <is>
          <t>ÖVERKALIX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36683-2026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46272</v>
      </c>
      <c r="E408" s="1" t="n">
        <v>46281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20.5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46269</v>
      </c>
      <c r="E409" s="1" t="n">
        <v>46281</v>
      </c>
      <c r="F409" t="inlineStr">
        <is>
          <t>NORRBOTTENS LÄN</t>
        </is>
      </c>
      <c r="G409" t="inlineStr">
        <is>
          <t>ÖVERKALIX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25697-2024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45463</v>
      </c>
      <c r="E410" s="1" t="n">
        <v>46281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46281</v>
      </c>
      <c r="F411" t="inlineStr">
        <is>
          <t>NORRBOTTENS LÄN</t>
        </is>
      </c>
      <c r="G411" t="inlineStr">
        <is>
          <t>ÖVERKALIX</t>
        </is>
      </c>
      <c r="I411" t="n">
        <v>9.4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40155-2024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45554</v>
      </c>
      <c r="E412" s="1" t="n">
        <v>46281</v>
      </c>
      <c r="F412" t="inlineStr">
        <is>
          <t>NORRBOTTENS LÄN</t>
        </is>
      </c>
      <c r="G412" t="inlineStr">
        <is>
          <t>ÖVERKALIX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31832-2026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46230</v>
      </c>
      <c r="E413" s="1" t="n">
        <v>46281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46029</v>
      </c>
      <c r="E414" s="1" t="n">
        <v>46281</v>
      </c>
      <c r="F414" t="inlineStr">
        <is>
          <t>NORRBOTTENS LÄN</t>
        </is>
      </c>
      <c r="G414" t="inlineStr">
        <is>
          <t>ÖVERKALIX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38941-2024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45548</v>
      </c>
      <c r="E415" s="1" t="n">
        <v>46281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46280</v>
      </c>
      <c r="E416" s="1" t="n">
        <v>46281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12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37683-2026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46278</v>
      </c>
      <c r="E417" s="1" t="n">
        <v>46281</v>
      </c>
      <c r="F417" t="inlineStr">
        <is>
          <t>NORRBOTTENS LÄN</t>
        </is>
      </c>
      <c r="G417" t="inlineStr">
        <is>
          <t>ÖVERKALIX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45782</v>
      </c>
      <c r="E418" s="1" t="n">
        <v>46281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32382-2026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46238</v>
      </c>
      <c r="E419" s="1" t="n">
        <v>46281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45785</v>
      </c>
      <c r="E420" s="1" t="n">
        <v>46281</v>
      </c>
      <c r="F420" t="inlineStr">
        <is>
          <t>NORRBOTTENS LÄN</t>
        </is>
      </c>
      <c r="G420" t="inlineStr">
        <is>
          <t>ÖVERKALIX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45793</v>
      </c>
      <c r="E421" s="1" t="n">
        <v>46281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8.5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45796</v>
      </c>
      <c r="E422" s="1" t="n">
        <v>46281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45796</v>
      </c>
      <c r="E423" s="1" t="n">
        <v>46281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45793</v>
      </c>
      <c r="E424" s="1" t="n">
        <v>46281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45793</v>
      </c>
      <c r="E425" s="1" t="n">
        <v>46281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12177-2024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45377</v>
      </c>
      <c r="E426" s="1" t="n">
        <v>46281</v>
      </c>
      <c r="F426" t="inlineStr">
        <is>
          <t>NORRBOTTENS LÄN</t>
        </is>
      </c>
      <c r="G426" t="inlineStr">
        <is>
          <t>ÖVERKALIX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45323</v>
      </c>
      <c r="E427" s="1" t="n">
        <v>46281</v>
      </c>
      <c r="F427" t="inlineStr">
        <is>
          <t>NORRBOTTENS LÄN</t>
        </is>
      </c>
      <c r="G427" t="inlineStr">
        <is>
          <t>ÖVERKALIX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45803</v>
      </c>
      <c r="E428" s="1" t="n">
        <v>46281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45810</v>
      </c>
      <c r="E429" s="1" t="n">
        <v>46281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17.5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26945-2025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45811</v>
      </c>
      <c r="E430" s="1" t="n">
        <v>46281</v>
      </c>
      <c r="F430" t="inlineStr">
        <is>
          <t>NORRBOTTENS LÄN</t>
        </is>
      </c>
      <c r="G430" t="inlineStr">
        <is>
          <t>ÖVERKALIX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45811</v>
      </c>
      <c r="E431" s="1" t="n">
        <v>46281</v>
      </c>
      <c r="F431" t="inlineStr">
        <is>
          <t>NORRBOTTENS LÄN</t>
        </is>
      </c>
      <c r="G431" t="inlineStr">
        <is>
          <t>ÖVERKALIX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45813</v>
      </c>
      <c r="E432" s="1" t="n">
        <v>46281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46281</v>
      </c>
      <c r="F433" t="inlineStr">
        <is>
          <t>NORRBOTTENS LÄN</t>
        </is>
      </c>
      <c r="G433" t="inlineStr">
        <is>
          <t>ÖVERKALIX</t>
        </is>
      </c>
      <c r="I433" t="n">
        <v>11.9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46281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46281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27455-2025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46281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46281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46281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45820</v>
      </c>
      <c r="E439" s="1" t="n">
        <v>46281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9.699999999999999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28402-2025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45819</v>
      </c>
      <c r="E440" s="1" t="n">
        <v>46281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28912-2025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45820</v>
      </c>
      <c r="E441" s="1" t="n">
        <v>46281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46281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45819</v>
      </c>
      <c r="E443" s="1" t="n">
        <v>46281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45820</v>
      </c>
      <c r="E444" s="1" t="n">
        <v>46281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45821</v>
      </c>
      <c r="E445" s="1" t="n">
        <v>46281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17.2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46281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46281</v>
      </c>
      <c r="F447" t="inlineStr">
        <is>
          <t>NORRBOTTENS LÄN</t>
        </is>
      </c>
      <c r="G447" t="inlineStr">
        <is>
          <t>ÖVERKALIX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46281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45824</v>
      </c>
      <c r="E449" s="1" t="n">
        <v>46281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45824</v>
      </c>
      <c r="E450" s="1" t="n">
        <v>46281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45826</v>
      </c>
      <c r="E451" s="1" t="n">
        <v>46281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45826</v>
      </c>
      <c r="E452" s="1" t="n">
        <v>46281</v>
      </c>
      <c r="F452" t="inlineStr">
        <is>
          <t>NORRBOTTENS LÄN</t>
        </is>
      </c>
      <c r="G452" t="inlineStr">
        <is>
          <t>ÖVERKALIX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45825</v>
      </c>
      <c r="E453" s="1" t="n">
        <v>46281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30776-2025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46281</v>
      </c>
      <c r="F454" t="inlineStr">
        <is>
          <t>NORRBOTTENS LÄN</t>
        </is>
      </c>
      <c r="G454" t="inlineStr">
        <is>
          <t>ÖVERKALIX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45834</v>
      </c>
      <c r="E455" s="1" t="n">
        <v>46281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31744-2025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45834</v>
      </c>
      <c r="E456" s="1" t="n">
        <v>46281</v>
      </c>
      <c r="F456" t="inlineStr">
        <is>
          <t>NORRBOTTENS LÄN</t>
        </is>
      </c>
      <c r="G456" t="inlineStr">
        <is>
          <t>ÖVERKALIX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46281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45835</v>
      </c>
      <c r="E458" s="1" t="n">
        <v>46281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32371-2025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45837</v>
      </c>
      <c r="E459" s="1" t="n">
        <v>46281</v>
      </c>
      <c r="F459" t="inlineStr">
        <is>
          <t>NORRBOTTENS LÄN</t>
        </is>
      </c>
      <c r="G459" t="inlineStr">
        <is>
          <t>ÖVERKALIX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46281</v>
      </c>
      <c r="F460" t="inlineStr">
        <is>
          <t>NORRBOTTENS LÄN</t>
        </is>
      </c>
      <c r="G460" t="inlineStr">
        <is>
          <t>ÖVERKALIX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31961-2025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45835</v>
      </c>
      <c r="E461" s="1" t="n">
        <v>46281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45837</v>
      </c>
      <c r="E462" s="1" t="n">
        <v>46281</v>
      </c>
      <c r="F462" t="inlineStr">
        <is>
          <t>NORRBOTTENS LÄN</t>
        </is>
      </c>
      <c r="G462" t="inlineStr">
        <is>
          <t>ÖVERKALIX</t>
        </is>
      </c>
      <c r="I462" t="n">
        <v>9.800000000000001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45837</v>
      </c>
      <c r="E463" s="1" t="n">
        <v>46281</v>
      </c>
      <c r="F463" t="inlineStr">
        <is>
          <t>NORRBOTTENS LÄN</t>
        </is>
      </c>
      <c r="G463" t="inlineStr">
        <is>
          <t>ÖVERKALIX</t>
        </is>
      </c>
      <c r="I463" t="n">
        <v>8.5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45839</v>
      </c>
      <c r="E464" s="1" t="n">
        <v>46281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9.199999999999999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33266-2025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46281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33224-2025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45840</v>
      </c>
      <c r="E466" s="1" t="n">
        <v>46281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34128-2025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45845</v>
      </c>
      <c r="E467" s="1" t="n">
        <v>46281</v>
      </c>
      <c r="F467" t="inlineStr">
        <is>
          <t>NORRBOTTENS LÄN</t>
        </is>
      </c>
      <c r="G467" t="inlineStr">
        <is>
          <t>ÖVERKALIX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45869</v>
      </c>
      <c r="E468" s="1" t="n">
        <v>46281</v>
      </c>
      <c r="F468" t="inlineStr">
        <is>
          <t>NORRBOTTENS LÄN</t>
        </is>
      </c>
      <c r="G468" t="inlineStr">
        <is>
          <t>ÖVERKALIX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45870</v>
      </c>
      <c r="E469" s="1" t="n">
        <v>46281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45870</v>
      </c>
      <c r="E470" s="1" t="n">
        <v>46281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36501-2025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45869</v>
      </c>
      <c r="E471" s="1" t="n">
        <v>46281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45873</v>
      </c>
      <c r="E472" s="1" t="n">
        <v>46281</v>
      </c>
      <c r="F472" t="inlineStr">
        <is>
          <t>NORRBOTTENS LÄN</t>
        </is>
      </c>
      <c r="G472" t="inlineStr">
        <is>
          <t>ÖVERKALIX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3721-2022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44741</v>
      </c>
      <c r="E473" s="1" t="n">
        <v>46281</v>
      </c>
      <c r="F473" t="inlineStr">
        <is>
          <t>NORRBOTTENS LÄN</t>
        </is>
      </c>
      <c r="G473" t="inlineStr">
        <is>
          <t>ÖVERKALIX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2792-2024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45485</v>
      </c>
      <c r="E474" s="1" t="n">
        <v>46281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2700-2024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45482</v>
      </c>
      <c r="E475" s="1" t="n">
        <v>46281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4734-2024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45607</v>
      </c>
      <c r="E476" s="1" t="n">
        <v>46281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1178-2025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45756</v>
      </c>
      <c r="E477" s="1" t="n">
        <v>46281</v>
      </c>
      <c r="F477" t="inlineStr">
        <is>
          <t>NORRBOTTENS LÄN</t>
        </is>
      </c>
      <c r="G477" t="inlineStr">
        <is>
          <t>ÖVERKALIX</t>
        </is>
      </c>
      <c r="I477" t="n">
        <v>39.9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1667-2025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45800</v>
      </c>
      <c r="E478" s="1" t="n">
        <v>46281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50-2026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46030</v>
      </c>
      <c r="E479" s="1" t="n">
        <v>46281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9.800000000000001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2026-09-16T01:58:38Z</dcterms:created>
  <dcterms:modified xmlns:dcterms="http://purl.org/dc/terms/" xmlns:xsi="http://www.w3.org/2001/XMLSchema-instance" xsi:type="dcterms:W3CDTF">2026-09-16T01:58:39Z</dcterms:modified>
</cp:coreProperties>
</file>