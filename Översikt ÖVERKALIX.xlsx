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46233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46233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46233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46233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46233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46233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46233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Tallgråticka
Blå taggsvamp
Dropptaggsvamp
Orange taggsvamp
Svartvit taggsvamp</t>
        </is>
      </c>
      <c r="W9">
        <f>HYPERLINK("https://klasma.github.io/Logging_2513/artfynd/A 49422-2023 artfynd.xlsx", "A 49422-2023")</f>
        <v/>
      </c>
      <c r="X9">
        <f>HYPERLINK("https://klasma.github.io/Logging_2513/kartor/A 49422-2023 karta.png", "A 49422-2023")</f>
        <v/>
      </c>
      <c r="Y9">
        <f>HYPERLINK("https://klasma.github.io/Logging_2513/kartor_geotiff/A 49422-2023 georefererad karta.tif", "A 49422-2023")</f>
        <v/>
      </c>
      <c r="AA9">
        <f>HYPERLINK("https://klasma.github.io/Logging_2513/klagomål/A 49422-2023 FSC-klagomål.docx", "A 49422-2023")</f>
        <v/>
      </c>
      <c r="AB9">
        <f>HYPERLINK("https://klasma.github.io/Logging_2513/klagomålsmail/A 49422-2023 FSC-klagomål mail.docx", "A 49422-2023")</f>
        <v/>
      </c>
      <c r="AC9">
        <f>HYPERLINK("https://klasma.github.io/Logging_2513/tillsyn/A 49422-2023 tillsynsbegäran.docx", "A 49422-2023")</f>
        <v/>
      </c>
      <c r="AD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46233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Blå taggsvamp
Orange taggsvamp
Skarp dropptaggsvamp
Tallfingersvamp
Vaxspindling</t>
        </is>
      </c>
      <c r="W10">
        <f>HYPERLINK("https://klasma.github.io/Logging_2513/artfynd/A 31751-2025 artfynd.xlsx", "A 31751-2025")</f>
        <v/>
      </c>
      <c r="X10">
        <f>HYPERLINK("https://klasma.github.io/Logging_2513/kartor/A 31751-2025 karta.png", "A 31751-2025")</f>
        <v/>
      </c>
      <c r="Y10">
        <f>HYPERLINK("https://klasma.github.io/Logging_2513/kartor_geotiff/A 31751-2025 georefererad karta.tif", "A 31751-2025")</f>
        <v/>
      </c>
      <c r="AA10">
        <f>HYPERLINK("https://klasma.github.io/Logging_2513/klagomål/A 31751-2025 FSC-klagomål.docx", "A 31751-2025")</f>
        <v/>
      </c>
      <c r="AB10">
        <f>HYPERLINK("https://klasma.github.io/Logging_2513/klagomålsmail/A 31751-2025 FSC-klagomål mail.docx", "A 31751-2025")</f>
        <v/>
      </c>
      <c r="AC10">
        <f>HYPERLINK("https://klasma.github.io/Logging_2513/tillsyn/A 31751-2025 tillsynsbegäran.docx", "A 31751-2025")</f>
        <v/>
      </c>
      <c r="AD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46233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Goliatmusseron
Blå taggsvamp
Dropptaggsvamp
Motaggsvamp
Orange taggsvamp</t>
        </is>
      </c>
      <c r="W11">
        <f>HYPERLINK("https://klasma.github.io/Logging_2513/artfynd/A 38989-2023 artfynd.xlsx", "A 38989-2023")</f>
        <v/>
      </c>
      <c r="X11">
        <f>HYPERLINK("https://klasma.github.io/Logging_2513/kartor/A 38989-2023 karta.png", "A 38989-2023")</f>
        <v/>
      </c>
      <c r="Y11">
        <f>HYPERLINK("https://klasma.github.io/Logging_2513/kartor_geotiff/A 38989-2023 georefererad karta.tif", "A 38989-2023")</f>
        <v/>
      </c>
      <c r="AA11">
        <f>HYPERLINK("https://klasma.github.io/Logging_2513/klagomål/A 38989-2023 FSC-klagomål.docx", "A 38989-2023")</f>
        <v/>
      </c>
      <c r="AB11">
        <f>HYPERLINK("https://klasma.github.io/Logging_2513/klagomålsmail/A 38989-2023 FSC-klagomål mail.docx", "A 38989-2023")</f>
        <v/>
      </c>
      <c r="AC11">
        <f>HYPERLINK("https://klasma.github.io/Logging_2513/tillsyn/A 38989-2023 tillsynsbegäran.docx", "A 38989-2023")</f>
        <v/>
      </c>
      <c r="AD11">
        <f>HYPERLINK("https://klasma.github.io/Logging_2513/tillsynsmail/A 38989-2023 tillsynsbegäran mail.docx", "A 38989-2023")</f>
        <v/>
      </c>
    </row>
    <row r="12" ht="15" customHeight="1">
      <c r="A12" t="inlineStr">
        <is>
          <t>A 23383-2026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46233</v>
      </c>
      <c r="F12" t="inlineStr">
        <is>
          <t>NORRBOTTENS LÄN</t>
        </is>
      </c>
      <c r="G12" t="inlineStr">
        <is>
          <t>ÖVERKALIX</t>
        </is>
      </c>
      <c r="I12" t="n">
        <v>2.6</v>
      </c>
      <c r="J12" t="n">
        <v>2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13</v>
      </c>
      <c r="U12" t="n">
        <v>13</v>
      </c>
      <c r="V12" s="2" t="inlineStr">
        <is>
          <t>Garnlav
Knärot
Myskmåra
Tretåig hackspett</t>
        </is>
      </c>
      <c r="W12">
        <f>HYPERLINK("https://klasma.github.io/Logging_2513/artfynd/A 23383-2026 artfynd.xlsx", "A 23383-2026")</f>
        <v/>
      </c>
      <c r="X12">
        <f>HYPERLINK("https://klasma.github.io/Logging_2513/kartor/A 23383-2026 karta.png", "A 23383-2026")</f>
        <v/>
      </c>
      <c r="Y12">
        <f>HYPERLINK("https://klasma.github.io/Logging_2513/kartor_geotiff/A 23383-2026 georefererad karta.tif", "A 23383-2026")</f>
        <v/>
      </c>
      <c r="Z12">
        <f>HYPERLINK("https://klasma.github.io/Logging_2513/knärot/A 23383-2026 karta knärot.png", "A 23383-2026")</f>
        <v/>
      </c>
      <c r="AA12">
        <f>HYPERLINK("https://klasma.github.io/Logging_2513/klagomål/A 23383-2026 FSC-klagomål.docx", "A 23383-2026")</f>
        <v/>
      </c>
      <c r="AB12">
        <f>HYPERLINK("https://klasma.github.io/Logging_2513/klagomålsmail/A 23383-2026 FSC-klagomål mail.docx", "A 23383-2026")</f>
        <v/>
      </c>
      <c r="AC12">
        <f>HYPERLINK("https://klasma.github.io/Logging_2513/tillsyn/A 23383-2026 tillsynsbegäran.docx", "A 23383-2026")</f>
        <v/>
      </c>
      <c r="AD12">
        <f>HYPERLINK("https://klasma.github.io/Logging_2513/tillsynsmail/A 23383-2026 tillsynsbegäran mail.docx", "A 23383-2026")</f>
        <v/>
      </c>
      <c r="AE12">
        <f>HYPERLINK("https://klasma.github.io/Logging_2513/fåglar/A 23383-2026 prioriterade fågelarter.docx", "A 23383-2026")</f>
        <v/>
      </c>
    </row>
    <row r="13" ht="15" customHeight="1">
      <c r="A13" t="inlineStr">
        <is>
          <t>A 23373-2026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46233</v>
      </c>
      <c r="F13" t="inlineStr">
        <is>
          <t>NORRBOTTENS LÄN</t>
        </is>
      </c>
      <c r="G13" t="inlineStr">
        <is>
          <t>ÖVERKALIX</t>
        </is>
      </c>
      <c r="I13" t="n">
        <v>2</v>
      </c>
      <c r="J13" t="n">
        <v>2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5</v>
      </c>
      <c r="U13" t="n">
        <v>5</v>
      </c>
      <c r="V13" s="2" t="inlineStr">
        <is>
          <t>Garnlav
Knärot
Tretåig hackspett
Sälg</t>
        </is>
      </c>
      <c r="W13">
        <f>HYPERLINK("https://klasma.github.io/Logging_2513/artfynd/A 23373-2026 artfynd.xlsx", "A 23373-2026")</f>
        <v/>
      </c>
      <c r="X13">
        <f>HYPERLINK("https://klasma.github.io/Logging_2513/kartor/A 23373-2026 karta.png", "A 23373-2026")</f>
        <v/>
      </c>
      <c r="Y13">
        <f>HYPERLINK("https://klasma.github.io/Logging_2513/kartor_geotiff/A 23373-2026 georefererad karta.tif", "A 23373-2026")</f>
        <v/>
      </c>
      <c r="Z13">
        <f>HYPERLINK("https://klasma.github.io/Logging_2513/knärot/A 23373-2026 karta knärot.png", "A 23373-2026")</f>
        <v/>
      </c>
      <c r="AA13">
        <f>HYPERLINK("https://klasma.github.io/Logging_2513/klagomål/A 23373-2026 FSC-klagomål.docx", "A 23373-2026")</f>
        <v/>
      </c>
      <c r="AB13">
        <f>HYPERLINK("https://klasma.github.io/Logging_2513/klagomålsmail/A 23373-2026 FSC-klagomål mail.docx", "A 23373-2026")</f>
        <v/>
      </c>
      <c r="AC13">
        <f>HYPERLINK("https://klasma.github.io/Logging_2513/tillsyn/A 23373-2026 tillsynsbegäran.docx", "A 23373-2026")</f>
        <v/>
      </c>
      <c r="AD13">
        <f>HYPERLINK("https://klasma.github.io/Logging_2513/tillsynsmail/A 23373-2026 tillsynsbegäran mail.docx", "A 23373-2026")</f>
        <v/>
      </c>
      <c r="AE13">
        <f>HYPERLINK("https://klasma.github.io/Logging_2513/fåglar/A 23373-2026 prioriterade fågelarter.docx", "A 23373-2026")</f>
        <v/>
      </c>
    </row>
    <row r="14" ht="15" customHeight="1">
      <c r="A14" t="inlineStr">
        <is>
          <t>A 1827-2025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46233</v>
      </c>
      <c r="F14" t="inlineStr">
        <is>
          <t>NORRBOTTENS LÄN</t>
        </is>
      </c>
      <c r="G14" t="inlineStr">
        <is>
          <t>ÖVERKALIX</t>
        </is>
      </c>
      <c r="I14" t="n">
        <v>7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Garnlav
Stuplav
Spillkråka
Tjäder</t>
        </is>
      </c>
      <c r="W14">
        <f>HYPERLINK("https://klasma.github.io/Logging_2513/artfynd/A 1827-2025 artfynd.xlsx", "A 1827-2025")</f>
        <v/>
      </c>
      <c r="X14">
        <f>HYPERLINK("https://klasma.github.io/Logging_2513/kartor/A 1827-2025 karta.png", "A 1827-2025")</f>
        <v/>
      </c>
      <c r="Y14">
        <f>HYPERLINK("https://klasma.github.io/Logging_2513/kartor_geotiff/A 1827-2025 georefererad karta.tif", "A 1827-2025")</f>
        <v/>
      </c>
      <c r="AA14">
        <f>HYPERLINK("https://klasma.github.io/Logging_2513/klagomål/A 1827-2025 FSC-klagomål.docx", "A 1827-2025")</f>
        <v/>
      </c>
      <c r="AB14">
        <f>HYPERLINK("https://klasma.github.io/Logging_2513/klagomålsmail/A 1827-2025 FSC-klagomål mail.docx", "A 1827-2025")</f>
        <v/>
      </c>
      <c r="AC14">
        <f>HYPERLINK("https://klasma.github.io/Logging_2513/tillsyn/A 1827-2025 tillsynsbegäran.docx", "A 1827-2025")</f>
        <v/>
      </c>
      <c r="AD14">
        <f>HYPERLINK("https://klasma.github.io/Logging_2513/tillsynsmail/A 1827-2025 tillsynsbegäran mail.docx", "A 1827-2025")</f>
        <v/>
      </c>
      <c r="AE14">
        <f>HYPERLINK("https://klasma.github.io/Logging_2513/fåglar/A 1827-2025 prioriterade fågelarter.docx", "A 1827-2025")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46233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46233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30525-2025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45831</v>
      </c>
      <c r="E17" s="1" t="n">
        <v>46233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5.3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Gammelgransskål
Bollvitmossa
Järpe</t>
        </is>
      </c>
      <c r="W17">
        <f>HYPERLINK("https://klasma.github.io/Logging_2513/artfynd/A 30525-2025 artfynd.xlsx", "A 30525-2025")</f>
        <v/>
      </c>
      <c r="X17">
        <f>HYPERLINK("https://klasma.github.io/Logging_2513/kartor/A 30525-2025 karta.png", "A 30525-2025")</f>
        <v/>
      </c>
      <c r="Y17">
        <f>HYPERLINK("https://klasma.github.io/Logging_2513/kartor_geotiff/A 30525-2025 georefererad karta.tif", "A 30525-2025")</f>
        <v/>
      </c>
      <c r="AA17">
        <f>HYPERLINK("https://klasma.github.io/Logging_2513/klagomål/A 30525-2025 FSC-klagomål.docx", "A 30525-2025")</f>
        <v/>
      </c>
      <c r="AB17">
        <f>HYPERLINK("https://klasma.github.io/Logging_2513/klagomålsmail/A 30525-2025 FSC-klagomål mail.docx", "A 30525-2025")</f>
        <v/>
      </c>
      <c r="AC17">
        <f>HYPERLINK("https://klasma.github.io/Logging_2513/tillsyn/A 30525-2025 tillsynsbegäran.docx", "A 30525-2025")</f>
        <v/>
      </c>
      <c r="AD17">
        <f>HYPERLINK("https://klasma.github.io/Logging_2513/tillsynsmail/A 30525-2025 tillsynsbegäran mail.docx", "A 30525-2025")</f>
        <v/>
      </c>
      <c r="AE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46233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 taggsvamp
Dropptaggsvamp
Skarp dropptaggsvamp</t>
        </is>
      </c>
      <c r="W18">
        <f>HYPERLINK("https://klasma.github.io/Logging_2513/artfynd/A 42861-2025 artfynd.xlsx", "A 42861-2025")</f>
        <v/>
      </c>
      <c r="X18">
        <f>HYPERLINK("https://klasma.github.io/Logging_2513/kartor/A 42861-2025 karta.png", "A 42861-2025")</f>
        <v/>
      </c>
      <c r="Y18">
        <f>HYPERLINK("https://klasma.github.io/Logging_2513/kartor_geotiff/A 42861-2025 georefererad karta.tif", "A 42861-2025")</f>
        <v/>
      </c>
      <c r="AA18">
        <f>HYPERLINK("https://klasma.github.io/Logging_2513/klagomål/A 42861-2025 FSC-klagomål.docx", "A 42861-2025")</f>
        <v/>
      </c>
      <c r="AB18">
        <f>HYPERLINK("https://klasma.github.io/Logging_2513/klagomålsmail/A 42861-2025 FSC-klagomål mail.docx", "A 42861-2025")</f>
        <v/>
      </c>
      <c r="AC18">
        <f>HYPERLINK("https://klasma.github.io/Logging_2513/tillsyn/A 42861-2025 tillsynsbegäran.docx", "A 42861-2025")</f>
        <v/>
      </c>
      <c r="AD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 taggsvamp
Dropptaggsvamp
Skarp dropptaggsvamp</t>
        </is>
      </c>
      <c r="W19">
        <f>HYPERLINK("https://klasma.github.io/Logging_2513/artfynd/A 42872-2025 artfynd.xlsx", "A 42872-2025")</f>
        <v/>
      </c>
      <c r="X19">
        <f>HYPERLINK("https://klasma.github.io/Logging_2513/kartor/A 42872-2025 karta.png", "A 42872-2025")</f>
        <v/>
      </c>
      <c r="Y19">
        <f>HYPERLINK("https://klasma.github.io/Logging_2513/kartor_geotiff/A 42872-2025 georefererad karta.tif", "A 42872-2025")</f>
        <v/>
      </c>
      <c r="AA19">
        <f>HYPERLINK("https://klasma.github.io/Logging_2513/klagomål/A 42872-2025 FSC-klagomål.docx", "A 42872-2025")</f>
        <v/>
      </c>
      <c r="AB19">
        <f>HYPERLINK("https://klasma.github.io/Logging_2513/klagomålsmail/A 42872-2025 FSC-klagomål mail.docx", "A 42872-2025")</f>
        <v/>
      </c>
      <c r="AC19">
        <f>HYPERLINK("https://klasma.github.io/Logging_2513/tillsyn/A 42872-2025 tillsynsbegäran.docx", "A 42872-2025")</f>
        <v/>
      </c>
      <c r="AD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46233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46233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46233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46233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46233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46233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46233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Lunglav
Fläcknycklar</t>
        </is>
      </c>
      <c r="W28">
        <f>HYPERLINK("https://klasma.github.io/Logging_2513/artfynd/A 36378-2024 artfynd.xlsx", "A 36378-2024")</f>
        <v/>
      </c>
      <c r="X28">
        <f>HYPERLINK("https://klasma.github.io/Logging_2513/kartor/A 36378-2024 karta.png", "A 36378-2024")</f>
        <v/>
      </c>
      <c r="Y28">
        <f>HYPERLINK("https://klasma.github.io/Logging_2513/kartor_geotiff/A 36378-2024 georefererad karta.tif", "A 36378-2024")</f>
        <v/>
      </c>
      <c r="AA28">
        <f>HYPERLINK("https://klasma.github.io/Logging_2513/klagomål/A 36378-2024 FSC-klagomål.docx", "A 36378-2024")</f>
        <v/>
      </c>
      <c r="AB28">
        <f>HYPERLINK("https://klasma.github.io/Logging_2513/klagomålsmail/A 36378-2024 FSC-klagomål mail.docx", "A 36378-2024")</f>
        <v/>
      </c>
      <c r="AC28">
        <f>HYPERLINK("https://klasma.github.io/Logging_2513/tillsyn/A 36378-2024 tillsynsbegäran.docx", "A 36378-2024")</f>
        <v/>
      </c>
      <c r="AD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46233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Gammelgransskål
Orre</t>
        </is>
      </c>
      <c r="W29">
        <f>HYPERLINK("https://klasma.github.io/Logging_2513/artfynd/A 36381-2024 artfynd.xlsx", "A 36381-2024")</f>
        <v/>
      </c>
      <c r="X29">
        <f>HYPERLINK("https://klasma.github.io/Logging_2513/kartor/A 36381-2024 karta.png", "A 36381-2024")</f>
        <v/>
      </c>
      <c r="Y29">
        <f>HYPERLINK("https://klasma.github.io/Logging_2513/kartor_geotiff/A 36381-2024 georefererad karta.tif", "A 36381-2024")</f>
        <v/>
      </c>
      <c r="AA29">
        <f>HYPERLINK("https://klasma.github.io/Logging_2513/klagomål/A 36381-2024 FSC-klagomål.docx", "A 36381-2024")</f>
        <v/>
      </c>
      <c r="AB29">
        <f>HYPERLINK("https://klasma.github.io/Logging_2513/klagomålsmail/A 36381-2024 FSC-klagomål mail.docx", "A 36381-2024")</f>
        <v/>
      </c>
      <c r="AC29">
        <f>HYPERLINK("https://klasma.github.io/Logging_2513/tillsyn/A 36381-2024 tillsynsbegäran.docx", "A 36381-2024")</f>
        <v/>
      </c>
      <c r="AD29">
        <f>HYPERLINK("https://klasma.github.io/Logging_2513/tillsynsmail/A 36381-2024 tillsynsbegäran mail.docx", "A 36381-2024")</f>
        <v/>
      </c>
      <c r="AE29">
        <f>HYPERLINK("https://klasma.github.io/Logging_2513/fåglar/A 36381-2024 prioriterade fågelarter.docx", "A 36381-2024")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46233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46233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46233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46233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46233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50691-2024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46233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4.2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Vedticka</t>
        </is>
      </c>
      <c r="W35">
        <f>HYPERLINK("https://klasma.github.io/Logging_2513/artfynd/A 50691-2024 artfynd.xlsx", "A 50691-2024")</f>
        <v/>
      </c>
      <c r="X35">
        <f>HYPERLINK("https://klasma.github.io/Logging_2513/kartor/A 50691-2024 karta.png", "A 50691-2024")</f>
        <v/>
      </c>
      <c r="Y35">
        <f>HYPERLINK("https://klasma.github.io/Logging_2513/kartor_geotiff/A 50691-2024 georefererad karta.tif", "A 50691-2024")</f>
        <v/>
      </c>
      <c r="AA35">
        <f>HYPERLINK("https://klasma.github.io/Logging_2513/klagomål/A 50691-2024 FSC-klagomål.docx", "A 50691-2024")</f>
        <v/>
      </c>
      <c r="AB35">
        <f>HYPERLINK("https://klasma.github.io/Logging_2513/klagomålsmail/A 50691-2024 FSC-klagomål mail.docx", "A 50691-2024")</f>
        <v/>
      </c>
      <c r="AC35">
        <f>HYPERLINK("https://klasma.github.io/Logging_2513/tillsyn/A 50691-2024 tillsynsbegäran.docx", "A 50691-2024")</f>
        <v/>
      </c>
      <c r="AD35">
        <f>HYPERLINK("https://klasma.github.io/Logging_2513/tillsynsmail/A 50691-2024 tillsynsbegäran mail.docx", "A 50691-2024")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46233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46233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46233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Ullticka</t>
        </is>
      </c>
      <c r="W38">
        <f>HYPERLINK("https://klasma.github.io/Logging_2513/artfynd/A 62951-2025 artfynd.xlsx", "A 62951-2025")</f>
        <v/>
      </c>
      <c r="X38">
        <f>HYPERLINK("https://klasma.github.io/Logging_2513/kartor/A 62951-2025 karta.png", "A 62951-2025")</f>
        <v/>
      </c>
      <c r="Y38">
        <f>HYPERLINK("https://klasma.github.io/Logging_2513/kartor_geotiff/A 62951-2025 georefererad karta.tif", "A 62951-2025")</f>
        <v/>
      </c>
      <c r="AA38">
        <f>HYPERLINK("https://klasma.github.io/Logging_2513/klagomål/A 62951-2025 FSC-klagomål.docx", "A 62951-2025")</f>
        <v/>
      </c>
      <c r="AB38">
        <f>HYPERLINK("https://klasma.github.io/Logging_2513/klagomålsmail/A 62951-2025 FSC-klagomål mail.docx", "A 62951-2025")</f>
        <v/>
      </c>
      <c r="AC38">
        <f>HYPERLINK("https://klasma.github.io/Logging_2513/tillsyn/A 62951-2025 tillsynsbegäran.docx", "A 62951-2025")</f>
        <v/>
      </c>
      <c r="AD38">
        <f>HYPERLINK("https://klasma.github.io/Logging_2513/tillsynsmail/A 62951-2025 tillsynsbegäran mail.docx", "A 62951-2025")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46233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Blå taggsvamp
Skarp dropptaggsvamp</t>
        </is>
      </c>
      <c r="W39">
        <f>HYPERLINK("https://klasma.github.io/Logging_2513/artfynd/A 47680-2024 artfynd.xlsx", "A 47680-2024")</f>
        <v/>
      </c>
      <c r="X39">
        <f>HYPERLINK("https://klasma.github.io/Logging_2513/kartor/A 47680-2024 karta.png", "A 47680-2024")</f>
        <v/>
      </c>
      <c r="Y39">
        <f>HYPERLINK("https://klasma.github.io/Logging_2513/kartor_geotiff/A 47680-2024 georefererad karta.tif", "A 47680-2024")</f>
        <v/>
      </c>
      <c r="AA39">
        <f>HYPERLINK("https://klasma.github.io/Logging_2513/klagomål/A 47680-2024 FSC-klagomål.docx", "A 47680-2024")</f>
        <v/>
      </c>
      <c r="AB39">
        <f>HYPERLINK("https://klasma.github.io/Logging_2513/klagomålsmail/A 47680-2024 FSC-klagomål mail.docx", "A 47680-2024")</f>
        <v/>
      </c>
      <c r="AC39">
        <f>HYPERLINK("https://klasma.github.io/Logging_2513/tillsyn/A 47680-2024 tillsynsbegäran.docx", "A 47680-2024")</f>
        <v/>
      </c>
      <c r="AD39">
        <f>HYPERLINK("https://klasma.github.io/Logging_2513/tillsynsmail/A 47680-2024 tillsynsbegäran mail.docx", "A 47680-2024")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46233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46233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46233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46233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46233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46233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HYPERLINK("https://klasma.github.io/Logging_2513/artfynd/A 21777-2024 artfynd.xlsx", "A 21777-2024")</f>
        <v/>
      </c>
      <c r="X46">
        <f>HYPERLINK("https://klasma.github.io/Logging_2513/kartor/A 21777-2024 karta.png", "A 21777-2024")</f>
        <v/>
      </c>
      <c r="Y46">
        <f>HYPERLINK("https://klasma.github.io/Logging_2513/kartor_geotiff/A 21777-2024 georefererad karta.tif", "A 21777-2024")</f>
        <v/>
      </c>
      <c r="AA46">
        <f>HYPERLINK("https://klasma.github.io/Logging_2513/klagomål/A 21777-2024 FSC-klagomål.docx", "A 21777-2024")</f>
        <v/>
      </c>
      <c r="AB46">
        <f>HYPERLINK("https://klasma.github.io/Logging_2513/klagomålsmail/A 21777-2024 FSC-klagomål mail.docx", "A 21777-2024")</f>
        <v/>
      </c>
      <c r="AC46">
        <f>HYPERLINK("https://klasma.github.io/Logging_2513/tillsyn/A 21777-2024 tillsynsbegäran.docx", "A 21777-2024")</f>
        <v/>
      </c>
      <c r="AD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46233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Luddlav</t>
        </is>
      </c>
      <c r="W47">
        <f>HYPERLINK("https://klasma.github.io/Logging_2513/artfynd/A 26305-2025 artfynd.xlsx", "A 26305-2025")</f>
        <v/>
      </c>
      <c r="X47">
        <f>HYPERLINK("https://klasma.github.io/Logging_2513/kartor/A 26305-2025 karta.png", "A 26305-2025")</f>
        <v/>
      </c>
      <c r="Y47">
        <f>HYPERLINK("https://klasma.github.io/Logging_2513/kartor_geotiff/A 26305-2025 georefererad karta.tif", "A 26305-2025")</f>
        <v/>
      </c>
      <c r="AA47">
        <f>HYPERLINK("https://klasma.github.io/Logging_2513/klagomål/A 26305-2025 FSC-klagomål.docx", "A 26305-2025")</f>
        <v/>
      </c>
      <c r="AB47">
        <f>HYPERLINK("https://klasma.github.io/Logging_2513/klagomålsmail/A 26305-2025 FSC-klagomål mail.docx", "A 26305-2025")</f>
        <v/>
      </c>
      <c r="AC47">
        <f>HYPERLINK("https://klasma.github.io/Logging_2513/tillsyn/A 26305-2025 tillsynsbegäran.docx", "A 26305-2025")</f>
        <v/>
      </c>
      <c r="AD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46233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HYPERLINK("https://klasma.github.io/Logging_2513/artfynd/A 27452-2025 artfynd.xlsx", "A 27452-2025")</f>
        <v/>
      </c>
      <c r="X48">
        <f>HYPERLINK("https://klasma.github.io/Logging_2513/kartor/A 27452-2025 karta.png", "A 27452-2025")</f>
        <v/>
      </c>
      <c r="Y48">
        <f>HYPERLINK("https://klasma.github.io/Logging_2513/kartor_geotiff/A 27452-2025 georefererad karta.tif", "A 27452-2025")</f>
        <v/>
      </c>
      <c r="AA48">
        <f>HYPERLINK("https://klasma.github.io/Logging_2513/klagomål/A 27452-2025 FSC-klagomål.docx", "A 27452-2025")</f>
        <v/>
      </c>
      <c r="AB48">
        <f>HYPERLINK("https://klasma.github.io/Logging_2513/klagomålsmail/A 27452-2025 FSC-klagomål mail.docx", "A 27452-2025")</f>
        <v/>
      </c>
      <c r="AC48">
        <f>HYPERLINK("https://klasma.github.io/Logging_2513/tillsyn/A 27452-2025 tillsynsbegäran.docx", "A 27452-2025")</f>
        <v/>
      </c>
      <c r="AD48">
        <f>HYPERLINK("https://klasma.github.io/Logging_2513/tillsynsmail/A 27452-2025 tillsynsbegäran mail.docx", "A 27452-2025")</f>
        <v/>
      </c>
      <c r="AE48">
        <f>HYPERLINK("https://klasma.github.io/Logging_2513/fåglar/A 27452-2025 prioriterade fågelarter.docx", "A 27452-2025")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46233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46233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HYPERLINK("https://klasma.github.io/Logging_2513/artfynd/A 35602-2025 artfynd.xlsx", "A 35602-2025")</f>
        <v/>
      </c>
      <c r="X50">
        <f>HYPERLINK("https://klasma.github.io/Logging_2513/kartor/A 35602-2025 karta.png", "A 35602-2025")</f>
        <v/>
      </c>
      <c r="Y50">
        <f>HYPERLINK("https://klasma.github.io/Logging_2513/kartor_geotiff/A 35602-2025 georefererad karta.tif", "A 35602-2025")</f>
        <v/>
      </c>
      <c r="AA50">
        <f>HYPERLINK("https://klasma.github.io/Logging_2513/klagomål/A 35602-2025 FSC-klagomål.docx", "A 35602-2025")</f>
        <v/>
      </c>
      <c r="AB50">
        <f>HYPERLINK("https://klasma.github.io/Logging_2513/klagomålsmail/A 35602-2025 FSC-klagomål mail.docx", "A 35602-2025")</f>
        <v/>
      </c>
      <c r="AC50">
        <f>HYPERLINK("https://klasma.github.io/Logging_2513/tillsyn/A 35602-2025 tillsynsbegäran.docx", "A 35602-2025")</f>
        <v/>
      </c>
      <c r="AD50">
        <f>HYPERLINK("https://klasma.github.io/Logging_2513/tillsynsmail/A 35602-2025 tillsynsbegäran mail.docx", "A 35602-2025")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46233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46233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71902-2021 artfynd.xlsx", "A 71902-2021")</f>
        <v/>
      </c>
      <c r="X52">
        <f>HYPERLINK("https://klasma.github.io/Logging_2513/kartor/A 71902-2021 karta.png", "A 71902-2021")</f>
        <v/>
      </c>
      <c r="Y52">
        <f>HYPERLINK("https://klasma.github.io/Logging_2513/kartor_geotiff/A 71902-2021 georefererad karta.tif", "A 71902-2021")</f>
        <v/>
      </c>
      <c r="AA52">
        <f>HYPERLINK("https://klasma.github.io/Logging_2513/klagomål/A 71902-2021 FSC-klagomål.docx", "A 71902-2021")</f>
        <v/>
      </c>
      <c r="AB52">
        <f>HYPERLINK("https://klasma.github.io/Logging_2513/klagomålsmail/A 71902-2021 FSC-klagomål mail.docx", "A 71902-2021")</f>
        <v/>
      </c>
      <c r="AC52">
        <f>HYPERLINK("https://klasma.github.io/Logging_2513/tillsyn/A 71902-2021 tillsynsbegäran.docx", "A 71902-2021")</f>
        <v/>
      </c>
      <c r="AD52">
        <f>HYPERLINK("https://klasma.github.io/Logging_2513/tillsynsmail/A 71902-2021 tillsynsbegäran mail.docx", "A 71902-2021")</f>
        <v/>
      </c>
      <c r="AE52">
        <f>HYPERLINK("https://klasma.github.io/Logging_2513/fåglar/A 71902-2021 prioriterade fågelarter.docx", "A 71902-2021")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46233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Tallbit</t>
        </is>
      </c>
      <c r="W53">
        <f>HYPERLINK("https://klasma.github.io/Logging_2513/artfynd/A 8407-2025 artfynd.xlsx", "A 8407-2025")</f>
        <v/>
      </c>
      <c r="X53">
        <f>HYPERLINK("https://klasma.github.io/Logging_2513/kartor/A 8407-2025 karta.png", "A 8407-2025")</f>
        <v/>
      </c>
      <c r="Y53">
        <f>HYPERLINK("https://klasma.github.io/Logging_2513/kartor_geotiff/A 8407-2025 georefererad karta.tif", "A 8407-2025")</f>
        <v/>
      </c>
      <c r="AA53">
        <f>HYPERLINK("https://klasma.github.io/Logging_2513/klagomål/A 8407-2025 FSC-klagomål.docx", "A 8407-2025")</f>
        <v/>
      </c>
      <c r="AB53">
        <f>HYPERLINK("https://klasma.github.io/Logging_2513/klagomålsmail/A 8407-2025 FSC-klagomål mail.docx", "A 8407-2025")</f>
        <v/>
      </c>
      <c r="AC53">
        <f>HYPERLINK("https://klasma.github.io/Logging_2513/tillsyn/A 8407-2025 tillsynsbegäran.docx", "A 8407-2025")</f>
        <v/>
      </c>
      <c r="AD53">
        <f>HYPERLINK("https://klasma.github.io/Logging_2513/tillsynsmail/A 8407-2025 tillsynsbegäran mail.docx", "A 8407-2025")</f>
        <v/>
      </c>
      <c r="AE53">
        <f>HYPERLINK("https://klasma.github.io/Logging_2513/fåglar/A 8407-2025 prioriterade fågelarter.docx", "A 8407-2025")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46233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HYPERLINK("https://klasma.github.io/Logging_2513/artfynd/A 7234-2023 artfynd.xlsx", "A 7234-2023")</f>
        <v/>
      </c>
      <c r="X54">
        <f>HYPERLINK("https://klasma.github.io/Logging_2513/kartor/A 7234-2023 karta.png", "A 7234-2023")</f>
        <v/>
      </c>
      <c r="Y54">
        <f>HYPERLINK("https://klasma.github.io/Logging_2513/kartor_geotiff/A 7234-2023 georefererad karta.tif", "A 7234-2023")</f>
        <v/>
      </c>
      <c r="AA54">
        <f>HYPERLINK("https://klasma.github.io/Logging_2513/klagomål/A 7234-2023 FSC-klagomål.docx", "A 7234-2023")</f>
        <v/>
      </c>
      <c r="AB54">
        <f>HYPERLINK("https://klasma.github.io/Logging_2513/klagomålsmail/A 7234-2023 FSC-klagomål mail.docx", "A 7234-2023")</f>
        <v/>
      </c>
      <c r="AC54">
        <f>HYPERLINK("https://klasma.github.io/Logging_2513/tillsyn/A 7234-2023 tillsynsbegäran.docx", "A 7234-2023")</f>
        <v/>
      </c>
      <c r="AD54">
        <f>HYPERLINK("https://klasma.github.io/Logging_2513/tillsynsmail/A 7234-2023 tillsynsbegäran mail.docx", "A 7234-2023")</f>
        <v/>
      </c>
      <c r="AE54">
        <f>HYPERLINK("https://klasma.github.io/Logging_2513/fåglar/A 7234-2023 prioriterade fågelarter.docx", "A 7234-2023")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46233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46233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46233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31704-2026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46226</v>
      </c>
      <c r="E58" s="1" t="n">
        <v>46233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31704-2026 artfynd.xlsx", "A 31704-2026")</f>
        <v/>
      </c>
      <c r="X58">
        <f>HYPERLINK("https://klasma.github.io/Logging_2513/kartor/A 31704-2026 karta.png", "A 31704-2026")</f>
        <v/>
      </c>
      <c r="Y58">
        <f>HYPERLINK("https://klasma.github.io/Logging_2513/kartor_geotiff/A 31704-2026 georefererad karta.tif", "A 31704-2026")</f>
        <v/>
      </c>
      <c r="AA58">
        <f>HYPERLINK("https://klasma.github.io/Logging_2513/klagomål/A 31704-2026 FSC-klagomål.docx", "A 31704-2026")</f>
        <v/>
      </c>
      <c r="AB58">
        <f>HYPERLINK("https://klasma.github.io/Logging_2513/klagomålsmail/A 31704-2026 FSC-klagomål mail.docx", "A 31704-2026")</f>
        <v/>
      </c>
      <c r="AC58">
        <f>HYPERLINK("https://klasma.github.io/Logging_2513/tillsyn/A 31704-2026 tillsynsbegäran.docx", "A 31704-2026")</f>
        <v/>
      </c>
      <c r="AD58">
        <f>HYPERLINK("https://klasma.github.io/Logging_2513/tillsynsmail/A 31704-2026 tillsynsbegäran mail.docx", "A 31704-2026")</f>
        <v/>
      </c>
    </row>
    <row r="59" ht="15" customHeight="1">
      <c r="A59" t="inlineStr">
        <is>
          <t>A 31920-2026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46231</v>
      </c>
      <c r="E59" s="1" t="n">
        <v>46233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HYPERLINK("https://klasma.github.io/Logging_2513/artfynd/A 31920-2026 artfynd.xlsx", "A 31920-2026")</f>
        <v/>
      </c>
      <c r="X59">
        <f>HYPERLINK("https://klasma.github.io/Logging_2513/kartor/A 31920-2026 karta.png", "A 31920-2026")</f>
        <v/>
      </c>
      <c r="Y59">
        <f>HYPERLINK("https://klasma.github.io/Logging_2513/kartor_geotiff/A 31920-2026 georefererad karta.tif", "A 31920-2026")</f>
        <v/>
      </c>
      <c r="AA59">
        <f>HYPERLINK("https://klasma.github.io/Logging_2513/klagomål/A 31920-2026 FSC-klagomål.docx", "A 31920-2026")</f>
        <v/>
      </c>
      <c r="AB59">
        <f>HYPERLINK("https://klasma.github.io/Logging_2513/klagomålsmail/A 31920-2026 FSC-klagomål mail.docx", "A 31920-2026")</f>
        <v/>
      </c>
      <c r="AC59">
        <f>HYPERLINK("https://klasma.github.io/Logging_2513/tillsyn/A 31920-2026 tillsynsbegäran.docx", "A 31920-2026")</f>
        <v/>
      </c>
      <c r="AD59">
        <f>HYPERLINK("https://klasma.github.io/Logging_2513/tillsynsmail/A 31920-2026 tillsynsbegäran mail.docx", "A 31920-2026")</f>
        <v/>
      </c>
    </row>
    <row r="60" ht="15" customHeight="1">
      <c r="A60" t="inlineStr">
        <is>
          <t>S 4190-2024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45579</v>
      </c>
      <c r="E60" s="1" t="n">
        <v>46233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14</v>
      </c>
      <c r="U60" t="n">
        <v>0</v>
      </c>
      <c r="V60" s="2" t="inlineStr">
        <is>
          <t>Lunglav</t>
        </is>
      </c>
      <c r="W60">
        <f>HYPERLINK("https://klasma.github.io/Logging_2513/artfynd/S 4190-2024 artfynd.xlsx", "S 4190-2024")</f>
        <v/>
      </c>
      <c r="X60">
        <f>HYPERLINK("https://klasma.github.io/Logging_2513/kartor/S 4190-2024 karta.png", "S 4190-2024")</f>
        <v/>
      </c>
      <c r="Y60">
        <f>HYPERLINK("https://klasma.github.io/Logging_2513/kartor_geotiff/S 4190-2024 georefererad karta.tif", "S 4190-2024")</f>
        <v/>
      </c>
      <c r="AA60">
        <f>HYPERLINK("https://klasma.github.io/Logging_2513/klagomål/S 4190-2024 FSC-klagomål.docx", "S 4190-2024")</f>
        <v/>
      </c>
      <c r="AB60">
        <f>HYPERLINK("https://klasma.github.io/Logging_2513/klagomålsmail/S 4190-2024 FSC-klagomål mail.docx", "S 4190-2024")</f>
        <v/>
      </c>
      <c r="AC60">
        <f>HYPERLINK("https://klasma.github.io/Logging_2513/tillsyn/S 4190-2024 tillsynsbegäran.docx", "S 4190-2024")</f>
        <v/>
      </c>
      <c r="AD60">
        <f>HYPERLINK("https://klasma.github.io/Logging_2513/tillsynsmail/S 4190-2024 tillsynsbegäran mail.docx", "S 4190-2024")</f>
        <v/>
      </c>
    </row>
    <row r="61" ht="15" customHeight="1">
      <c r="A61" t="inlineStr">
        <is>
          <t>S 1156-2024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45394</v>
      </c>
      <c r="E61" s="1" t="n">
        <v>46233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491.9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Sävsparv</t>
        </is>
      </c>
      <c r="W61">
        <f>HYPERLINK("https://klasma.github.io/Logging_2513/artfynd/S 1156-2024 artfynd.xlsx", "S 1156-2024")</f>
        <v/>
      </c>
      <c r="X61">
        <f>HYPERLINK("https://klasma.github.io/Logging_2513/kartor/S 1156-2024 karta.png", "S 1156-2024")</f>
        <v/>
      </c>
      <c r="Y61">
        <f>HYPERLINK("https://klasma.github.io/Logging_2513/kartor_geotiff/S 1156-2024 georefererad karta.tif", "S 1156-2024")</f>
        <v/>
      </c>
      <c r="AA61">
        <f>HYPERLINK("https://klasma.github.io/Logging_2513/klagomål/S 1156-2024 FSC-klagomål.docx", "S 1156-2024")</f>
        <v/>
      </c>
      <c r="AB61">
        <f>HYPERLINK("https://klasma.github.io/Logging_2513/klagomålsmail/S 1156-2024 FSC-klagomål mail.docx", "S 1156-2024")</f>
        <v/>
      </c>
      <c r="AC61">
        <f>HYPERLINK("https://klasma.github.io/Logging_2513/tillsyn/S 1156-2024 tillsynsbegäran.docx", "S 1156-2024")</f>
        <v/>
      </c>
      <c r="AD61">
        <f>HYPERLINK("https://klasma.github.io/Logging_2513/tillsynsmail/S 1156-2024 tillsynsbegäran mail.docx", "S 1156-2024")</f>
        <v/>
      </c>
      <c r="AE61">
        <f>HYPERLINK("https://klasma.github.io/Logging_2513/fåglar/S 1156-2024 prioriterade fågelarter.docx", "S 1156-2024")</f>
        <v/>
      </c>
    </row>
    <row r="62" ht="15" customHeight="1">
      <c r="A62" t="inlineStr">
        <is>
          <t>A 3174-2022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46233</v>
      </c>
      <c r="F62" t="inlineStr">
        <is>
          <t>NORRBOTTENS LÄN</t>
        </is>
      </c>
      <c r="G62" t="inlineStr">
        <is>
          <t>ÖVERKALIX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46233</v>
      </c>
      <c r="F63" t="inlineStr">
        <is>
          <t>NORRBOTTENS LÄN</t>
        </is>
      </c>
      <c r="G63" t="inlineStr">
        <is>
          <t>ÖVERKALIX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46233</v>
      </c>
      <c r="F64" t="inlineStr">
        <is>
          <t>NORRBOTTENS LÄN</t>
        </is>
      </c>
      <c r="G64" t="inlineStr">
        <is>
          <t>ÖVERKALIX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46233</v>
      </c>
      <c r="F65" t="inlineStr">
        <is>
          <t>NORRBOTTENS LÄN</t>
        </is>
      </c>
      <c r="G65" t="inlineStr">
        <is>
          <t>ÖVERKALIX</t>
        </is>
      </c>
      <c r="I65" t="n">
        <v>13.2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44551</v>
      </c>
      <c r="E66" s="1" t="n">
        <v>46233</v>
      </c>
      <c r="F66" t="inlineStr">
        <is>
          <t>NORRBOTTENS LÄN</t>
        </is>
      </c>
      <c r="G66" t="inlineStr">
        <is>
          <t>ÖVERKALIX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21847-2022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44711</v>
      </c>
      <c r="E67" s="1" t="n">
        <v>46233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44717</v>
      </c>
      <c r="E68" s="1" t="n">
        <v>46233</v>
      </c>
      <c r="F68" t="inlineStr">
        <is>
          <t>NORRBOTTENS LÄN</t>
        </is>
      </c>
      <c r="G68" t="inlineStr">
        <is>
          <t>ÖVERKALIX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46233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HYPERLINK("https://klasma.github.io/Logging_2513/knärot/A 29706-2022 karta knärot.png", "A 29706-2022")</f>
        <v/>
      </c>
      <c r="AA69">
        <f>HYPERLINK("https://klasma.github.io/Logging_2513/klagomål/A 29706-2022 FSC-klagomål.docx", "A 29706-2022")</f>
        <v/>
      </c>
      <c r="AB69">
        <f>HYPERLINK("https://klasma.github.io/Logging_2513/klagomålsmail/A 29706-2022 FSC-klagomål mail.docx", "A 29706-2022")</f>
        <v/>
      </c>
      <c r="AC69">
        <f>HYPERLINK("https://klasma.github.io/Logging_2513/tillsyn/A 29706-2022 tillsynsbegäran.docx", "A 29706-2022")</f>
        <v/>
      </c>
      <c r="AD69">
        <f>HYPERLINK("https://klasma.github.io/Logging_2513/tillsynsmail/A 29706-2022 tillsynsbegäran mail.docx", "A 29706-2022")</f>
        <v/>
      </c>
    </row>
    <row r="70" ht="15" customHeight="1">
      <c r="A70" t="inlineStr">
        <is>
          <t>A 6907-2022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46233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44424</v>
      </c>
      <c r="E71" s="1" t="n">
        <v>46233</v>
      </c>
      <c r="F71" t="inlineStr">
        <is>
          <t>NORRBOTTENS LÄN</t>
        </is>
      </c>
      <c r="G71" t="inlineStr">
        <is>
          <t>ÖVERKALIX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46233</v>
      </c>
      <c r="F72" t="inlineStr">
        <is>
          <t>NORRBOTTENS LÄN</t>
        </is>
      </c>
      <c r="G72" t="inlineStr">
        <is>
          <t>ÖVERKALIX</t>
        </is>
      </c>
      <c r="H72" t="inlineStr">
        <is>
          <t>SCA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47629-2021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44448</v>
      </c>
      <c r="E73" s="1" t="n">
        <v>46233</v>
      </c>
      <c r="F73" t="inlineStr">
        <is>
          <t>NORRBOTTENS LÄN</t>
        </is>
      </c>
      <c r="G73" t="inlineStr">
        <is>
          <t>ÖVERKALIX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44862</v>
      </c>
      <c r="E74" s="1" t="n">
        <v>46233</v>
      </c>
      <c r="F74" t="inlineStr">
        <is>
          <t>NORRBOTTENS LÄN</t>
        </is>
      </c>
      <c r="G74" t="inlineStr">
        <is>
          <t>ÖVERKALIX</t>
        </is>
      </c>
      <c r="I74" t="n">
        <v>9.699999999999999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46233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44435</v>
      </c>
      <c r="E76" s="1" t="n">
        <v>46233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46233</v>
      </c>
      <c r="F77" t="inlineStr">
        <is>
          <t>NORRBOTTENS LÄN</t>
        </is>
      </c>
      <c r="G77" t="inlineStr">
        <is>
          <t>ÖVERKALIX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46233</v>
      </c>
      <c r="F78" t="inlineStr">
        <is>
          <t>NORRBOTTENS LÄN</t>
        </is>
      </c>
      <c r="G78" t="inlineStr">
        <is>
          <t>ÖVERKALIX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46233</v>
      </c>
      <c r="F79" t="inlineStr">
        <is>
          <t>NORRBOTTENS LÄN</t>
        </is>
      </c>
      <c r="G79" t="inlineStr">
        <is>
          <t>ÖVERKALIX</t>
        </is>
      </c>
      <c r="I79" t="n">
        <v>12.6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46233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44424</v>
      </c>
      <c r="E81" s="1" t="n">
        <v>46233</v>
      </c>
      <c r="F81" t="inlineStr">
        <is>
          <t>NORRBOTTENS LÄN</t>
        </is>
      </c>
      <c r="G81" t="inlineStr">
        <is>
          <t>ÖVERKALIX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46233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46233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46233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46233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46233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46233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46233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46233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6916-2022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44602</v>
      </c>
      <c r="E90" s="1" t="n">
        <v>46233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46233</v>
      </c>
      <c r="F91" t="inlineStr">
        <is>
          <t>NORRBOTTENS LÄN</t>
        </is>
      </c>
      <c r="G91" t="inlineStr">
        <is>
          <t>ÖVERKALIX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46233</v>
      </c>
      <c r="F92" t="inlineStr">
        <is>
          <t>NORRBOTTENS LÄN</t>
        </is>
      </c>
      <c r="G92" t="inlineStr">
        <is>
          <t>ÖVERKALIX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46233</v>
      </c>
      <c r="F93" t="inlineStr">
        <is>
          <t>NORRBOTTENS LÄN</t>
        </is>
      </c>
      <c r="G93" t="inlineStr">
        <is>
          <t>ÖVERKALIX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46233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46233</v>
      </c>
      <c r="F95" t="inlineStr">
        <is>
          <t>NORRBOTTENS LÄN</t>
        </is>
      </c>
      <c r="G95" t="inlineStr">
        <is>
          <t>ÖVERKALIX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46233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46233</v>
      </c>
      <c r="F97" t="inlineStr">
        <is>
          <t>NORRBOTTENS LÄN</t>
        </is>
      </c>
      <c r="G97" t="inlineStr">
        <is>
          <t>ÖVERKALIX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46233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46233</v>
      </c>
      <c r="F99" t="inlineStr">
        <is>
          <t>NORRBOTTENS LÄN</t>
        </is>
      </c>
      <c r="G99" t="inlineStr">
        <is>
          <t>ÖVERKALIX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46233</v>
      </c>
      <c r="F100" t="inlineStr">
        <is>
          <t>NORRBOTTENS LÄN</t>
        </is>
      </c>
      <c r="G100" t="inlineStr">
        <is>
          <t>ÖVERKALIX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46233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46233</v>
      </c>
      <c r="F103" t="inlineStr">
        <is>
          <t>NORRBOTTENS LÄN</t>
        </is>
      </c>
      <c r="G103" t="inlineStr">
        <is>
          <t>ÖVERKALIX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46233</v>
      </c>
      <c r="F104" t="inlineStr">
        <is>
          <t>NORRBOTTENS LÄN</t>
        </is>
      </c>
      <c r="G104" t="inlineStr">
        <is>
          <t>ÖVERKALIX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46233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45075</v>
      </c>
      <c r="E106" s="1" t="n">
        <v>46233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46233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72809-2021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46233</v>
      </c>
      <c r="F108" t="inlineStr">
        <is>
          <t>NORRBOTTENS LÄN</t>
        </is>
      </c>
      <c r="G108" t="inlineStr">
        <is>
          <t>ÖVERKALIX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46233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72623-2021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46233</v>
      </c>
      <c r="F110" t="inlineStr">
        <is>
          <t>NORRBOTTENS LÄN</t>
        </is>
      </c>
      <c r="G110" t="inlineStr">
        <is>
          <t>ÖVERKALIX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46233</v>
      </c>
      <c r="F111" t="inlineStr">
        <is>
          <t>NORRBOTTENS LÄN</t>
        </is>
      </c>
      <c r="G111" t="inlineStr">
        <is>
          <t>ÖVERKALIX</t>
        </is>
      </c>
      <c r="I111" t="n">
        <v>21.7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46233</v>
      </c>
      <c r="F112" t="inlineStr">
        <is>
          <t>NORRBOTTENS LÄN</t>
        </is>
      </c>
      <c r="G112" t="inlineStr">
        <is>
          <t>ÖVERKALIX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46233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46233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46233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46233</v>
      </c>
      <c r="F116" t="inlineStr">
        <is>
          <t>NORRBOTTENS LÄN</t>
        </is>
      </c>
      <c r="G116" t="inlineStr">
        <is>
          <t>ÖVERKALIX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46233</v>
      </c>
      <c r="F117" t="inlineStr">
        <is>
          <t>NORRBOTTENS LÄN</t>
        </is>
      </c>
      <c r="G117" t="inlineStr">
        <is>
          <t>ÖVERKALIX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46233</v>
      </c>
      <c r="F118" t="inlineStr">
        <is>
          <t>NORRBOTTENS LÄN</t>
        </is>
      </c>
      <c r="G118" t="inlineStr">
        <is>
          <t>ÖVERKALIX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45436</v>
      </c>
      <c r="E119" s="1" t="n">
        <v>46233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29.9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46233</v>
      </c>
      <c r="F120" t="inlineStr">
        <is>
          <t>NORRBOTTENS LÄN</t>
        </is>
      </c>
      <c r="G120" t="inlineStr">
        <is>
          <t>ÖVERKALIX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46233</v>
      </c>
      <c r="F121" t="inlineStr">
        <is>
          <t>NORRBOTTENS LÄN</t>
        </is>
      </c>
      <c r="G121" t="inlineStr">
        <is>
          <t>ÖVERKALIX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46233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46233</v>
      </c>
      <c r="F123" t="inlineStr">
        <is>
          <t>NORRBOTTENS LÄN</t>
        </is>
      </c>
      <c r="G123" t="inlineStr">
        <is>
          <t>ÖVERKALIX</t>
        </is>
      </c>
      <c r="I123" t="n">
        <v>11.9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46233</v>
      </c>
      <c r="F124" t="inlineStr">
        <is>
          <t>NORRBOTTENS LÄN</t>
        </is>
      </c>
      <c r="G124" t="inlineStr">
        <is>
          <t>ÖVERKALIX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46233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46233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46233</v>
      </c>
      <c r="F127" t="inlineStr">
        <is>
          <t>NORRBOTTENS LÄN</t>
        </is>
      </c>
      <c r="G127" t="inlineStr">
        <is>
          <t>ÖVERKALIX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46233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46233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46233</v>
      </c>
      <c r="F131" t="inlineStr">
        <is>
          <t>NORRBOTTENS LÄN</t>
        </is>
      </c>
      <c r="G131" t="inlineStr">
        <is>
          <t>ÖVERKALIX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46233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44435</v>
      </c>
      <c r="E133" s="1" t="n">
        <v>46233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46233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45819</v>
      </c>
      <c r="E135" s="1" t="n">
        <v>46233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45518</v>
      </c>
      <c r="E136" s="1" t="n">
        <v>46233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46233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46233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46233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46233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46233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46233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46233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46233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17.2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46233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46233</v>
      </c>
      <c r="F146" t="inlineStr">
        <is>
          <t>NORRBOTTENS LÄN</t>
        </is>
      </c>
      <c r="G146" t="inlineStr">
        <is>
          <t>ÖVERKALIX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46233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46233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46233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46233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46233</v>
      </c>
      <c r="F151" t="inlineStr">
        <is>
          <t>NORRBOTTENS LÄN</t>
        </is>
      </c>
      <c r="G151" t="inlineStr">
        <is>
          <t>ÖVERKALIX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46233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37.4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46233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45513</v>
      </c>
      <c r="E154" s="1" t="n">
        <v>46233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46233</v>
      </c>
      <c r="F155" t="inlineStr">
        <is>
          <t>NORRBOTTENS LÄN</t>
        </is>
      </c>
      <c r="G155" t="inlineStr">
        <is>
          <t>ÖVERKALIX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46233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46233</v>
      </c>
      <c r="F157" t="inlineStr">
        <is>
          <t>NORRBOTTENS LÄN</t>
        </is>
      </c>
      <c r="G157" t="inlineStr">
        <is>
          <t>ÖVERKALIX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45834</v>
      </c>
      <c r="E158" s="1" t="n">
        <v>46233</v>
      </c>
      <c r="F158" t="inlineStr">
        <is>
          <t>NORRBOTTENS LÄN</t>
        </is>
      </c>
      <c r="G158" t="inlineStr">
        <is>
          <t>ÖVERKALIX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44966</v>
      </c>
      <c r="E159" s="1" t="n">
        <v>46233</v>
      </c>
      <c r="F159" t="inlineStr">
        <is>
          <t>NORRBOTTENS LÄN</t>
        </is>
      </c>
      <c r="G159" t="inlineStr">
        <is>
          <t>ÖVERKALIX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46233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46233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46233</v>
      </c>
      <c r="F162" t="inlineStr">
        <is>
          <t>NORRBOTTENS LÄN</t>
        </is>
      </c>
      <c r="G162" t="inlineStr">
        <is>
          <t>ÖVERKALIX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46233</v>
      </c>
      <c r="F163" t="inlineStr">
        <is>
          <t>NORRBOTTENS LÄN</t>
        </is>
      </c>
      <c r="G163" t="inlineStr">
        <is>
          <t>ÖVERKALIX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46233</v>
      </c>
      <c r="F164" t="inlineStr">
        <is>
          <t>NORRBOTTENS LÄN</t>
        </is>
      </c>
      <c r="G164" t="inlineStr">
        <is>
          <t>ÖVERKALIX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46233</v>
      </c>
      <c r="F165" t="inlineStr">
        <is>
          <t>NORRBOTTENS LÄN</t>
        </is>
      </c>
      <c r="G165" t="inlineStr">
        <is>
          <t>ÖVERKALIX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46233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46233</v>
      </c>
      <c r="F167" t="inlineStr">
        <is>
          <t>NORRBOTTENS LÄN</t>
        </is>
      </c>
      <c r="G167" t="inlineStr">
        <is>
          <t>ÖVERKALIX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46233</v>
      </c>
      <c r="F168" t="inlineStr">
        <is>
          <t>NORRBOTTENS LÄN</t>
        </is>
      </c>
      <c r="G168" t="inlineStr">
        <is>
          <t>ÖVERKALIX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46233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46233</v>
      </c>
      <c r="F171" t="inlineStr">
        <is>
          <t>NORRBOTTENS LÄN</t>
        </is>
      </c>
      <c r="G171" t="inlineStr">
        <is>
          <t>ÖVERKALIX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46233</v>
      </c>
      <c r="F172" t="inlineStr">
        <is>
          <t>NORRBOTTENS LÄN</t>
        </is>
      </c>
      <c r="G172" t="inlineStr">
        <is>
          <t>ÖVERKALIX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44950</v>
      </c>
      <c r="E173" s="1" t="n">
        <v>46233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46233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46233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46233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46233</v>
      </c>
      <c r="F177" t="inlineStr">
        <is>
          <t>NORRBOTTENS LÄN</t>
        </is>
      </c>
      <c r="G177" t="inlineStr">
        <is>
          <t>ÖVERKALIX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46233</v>
      </c>
      <c r="F178" t="inlineStr">
        <is>
          <t>NORRBOTTENS LÄN</t>
        </is>
      </c>
      <c r="G178" t="inlineStr">
        <is>
          <t>ÖVERKALIX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45845</v>
      </c>
      <c r="E179" s="1" t="n">
        <v>46233</v>
      </c>
      <c r="F179" t="inlineStr">
        <is>
          <t>NORRBOTTENS LÄN</t>
        </is>
      </c>
      <c r="G179" t="inlineStr">
        <is>
          <t>ÖVERKALIX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45917</v>
      </c>
      <c r="E180" s="1" t="n">
        <v>46233</v>
      </c>
      <c r="F180" t="inlineStr">
        <is>
          <t>NORRBOTTENS LÄN</t>
        </is>
      </c>
      <c r="G180" t="inlineStr">
        <is>
          <t>ÖVERKALIX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46233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45535-2025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45922</v>
      </c>
      <c r="E182" s="1" t="n">
        <v>46233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45429</v>
      </c>
      <c r="E183" s="1" t="n">
        <v>46233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44424</v>
      </c>
      <c r="E184" s="1" t="n">
        <v>46233</v>
      </c>
      <c r="F184" t="inlineStr">
        <is>
          <t>NORRBOTTENS LÄN</t>
        </is>
      </c>
      <c r="G184" t="inlineStr">
        <is>
          <t>ÖVERKALIX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46233</v>
      </c>
      <c r="F185" t="inlineStr">
        <is>
          <t>NORRBOTTENS LÄN</t>
        </is>
      </c>
      <c r="G185" t="inlineStr">
        <is>
          <t>ÖVERKALIX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46233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45869</v>
      </c>
      <c r="E187" s="1" t="n">
        <v>46233</v>
      </c>
      <c r="F187" t="inlineStr">
        <is>
          <t>NORRBOTTENS LÄN</t>
        </is>
      </c>
      <c r="G187" t="inlineStr">
        <is>
          <t>ÖVERKALIX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45870</v>
      </c>
      <c r="E188" s="1" t="n">
        <v>46233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45870</v>
      </c>
      <c r="E189" s="1" t="n">
        <v>46233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45869</v>
      </c>
      <c r="E190" s="1" t="n">
        <v>46233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46233</v>
      </c>
      <c r="F191" t="inlineStr">
        <is>
          <t>NORRBOTTENS LÄN</t>
        </is>
      </c>
      <c r="G191" t="inlineStr">
        <is>
          <t>ÖVERKALIX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46233</v>
      </c>
      <c r="F192" t="inlineStr">
        <is>
          <t>NORRBOTTENS LÄN</t>
        </is>
      </c>
      <c r="G192" t="inlineStr">
        <is>
          <t>ÖVERKALIX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46233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46233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46233</v>
      </c>
      <c r="F195" t="inlineStr">
        <is>
          <t>NORRBOTTENS LÄN</t>
        </is>
      </c>
      <c r="G195" t="inlineStr">
        <is>
          <t>ÖVERKALIX</t>
        </is>
      </c>
      <c r="H195" t="inlineStr">
        <is>
          <t>Övriga statliga verk och myndigheter</t>
        </is>
      </c>
      <c r="I195" t="n">
        <v>38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45744</v>
      </c>
      <c r="E196" s="1" t="n">
        <v>46233</v>
      </c>
      <c r="F196" t="inlineStr">
        <is>
          <t>NORRBOTTENS LÄN</t>
        </is>
      </c>
      <c r="G196" t="inlineStr">
        <is>
          <t>ÖVERKALIX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45940</v>
      </c>
      <c r="E197" s="1" t="n">
        <v>46233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46233</v>
      </c>
      <c r="F198" t="inlineStr">
        <is>
          <t>NORRBOTTENS LÄN</t>
        </is>
      </c>
      <c r="G198" t="inlineStr">
        <is>
          <t>ÖVERKALIX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45882</v>
      </c>
      <c r="E199" s="1" t="n">
        <v>46233</v>
      </c>
      <c r="F199" t="inlineStr">
        <is>
          <t>NORRBOTTENS LÄN</t>
        </is>
      </c>
      <c r="G199" t="inlineStr">
        <is>
          <t>ÖVERKALIX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46233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13.4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38191-2025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46233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45611</v>
      </c>
      <c r="E202" s="1" t="n">
        <v>46233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25.9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46233</v>
      </c>
      <c r="F203" t="inlineStr">
        <is>
          <t>NORRBOTTENS LÄN</t>
        </is>
      </c>
      <c r="G203" t="inlineStr">
        <is>
          <t>ÖVERKALIX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46233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46059</v>
      </c>
      <c r="E205" s="1" t="n">
        <v>46233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46233</v>
      </c>
      <c r="F206" t="inlineStr">
        <is>
          <t>NORRBOTTENS LÄN</t>
        </is>
      </c>
      <c r="G206" t="inlineStr">
        <is>
          <t>ÖVERKALIX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46233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60463-2024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46233</v>
      </c>
      <c r="F208" t="inlineStr">
        <is>
          <t>NORRBOTTENS LÄN</t>
        </is>
      </c>
      <c r="G208" t="inlineStr">
        <is>
          <t>ÖVERKALIX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46233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46233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46233</v>
      </c>
      <c r="F211" t="inlineStr">
        <is>
          <t>NORRBOTTENS LÄN</t>
        </is>
      </c>
      <c r="G211" t="inlineStr">
        <is>
          <t>ÖVERKALIX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45949</v>
      </c>
      <c r="E212" s="1" t="n">
        <v>46233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51634-2025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45951</v>
      </c>
      <c r="E213" s="1" t="n">
        <v>46233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46233</v>
      </c>
      <c r="F214" t="inlineStr">
        <is>
          <t>NORRBOTTENS LÄN</t>
        </is>
      </c>
      <c r="G214" t="inlineStr">
        <is>
          <t>ÖVERKALIX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46233</v>
      </c>
      <c r="F215" t="inlineStr">
        <is>
          <t>NORRBOTTENS LÄN</t>
        </is>
      </c>
      <c r="G215" t="inlineStr">
        <is>
          <t>ÖVERKALIX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52591-2025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45954</v>
      </c>
      <c r="E216" s="1" t="n">
        <v>46233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44952-2024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46233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45958</v>
      </c>
      <c r="E218" s="1" t="n">
        <v>46233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45604</v>
      </c>
      <c r="E219" s="1" t="n">
        <v>46233</v>
      </c>
      <c r="F219" t="inlineStr">
        <is>
          <t>NORRBOTTENS LÄN</t>
        </is>
      </c>
      <c r="G219" t="inlineStr">
        <is>
          <t>ÖVERKALIX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46233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46233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46233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9.9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46233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18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45086</v>
      </c>
      <c r="E224" s="1" t="n">
        <v>46233</v>
      </c>
      <c r="F224" t="inlineStr">
        <is>
          <t>NORRBOTTENS LÄN</t>
        </is>
      </c>
      <c r="G224" t="inlineStr">
        <is>
          <t>ÖVERKALIX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46233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46233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28.8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46233</v>
      </c>
      <c r="F227" t="inlineStr">
        <is>
          <t>NORRBOTTENS LÄN</t>
        </is>
      </c>
      <c r="G227" t="inlineStr">
        <is>
          <t>ÖVERKALIX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46233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46233</v>
      </c>
      <c r="F229" t="inlineStr">
        <is>
          <t>NORRBOTTENS LÄN</t>
        </is>
      </c>
      <c r="G229" t="inlineStr">
        <is>
          <t>ÖVERKALIX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28343-2025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45818</v>
      </c>
      <c r="E230" s="1" t="n">
        <v>46233</v>
      </c>
      <c r="F230" t="inlineStr">
        <is>
          <t>NORRBOTTENS LÄN</t>
        </is>
      </c>
      <c r="G230" t="inlineStr">
        <is>
          <t>ÖVERKALIX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45643</v>
      </c>
      <c r="E231" s="1" t="n">
        <v>46233</v>
      </c>
      <c r="F231" t="inlineStr">
        <is>
          <t>NORRBOTTENS LÄN</t>
        </is>
      </c>
      <c r="G231" t="inlineStr">
        <is>
          <t>ÖVERKALIX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45689</v>
      </c>
      <c r="E232" s="1" t="n">
        <v>46233</v>
      </c>
      <c r="F232" t="inlineStr">
        <is>
          <t>NORRBOTTENS LÄN</t>
        </is>
      </c>
      <c r="G232" t="inlineStr">
        <is>
          <t>ÖVERKALIX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45208</v>
      </c>
      <c r="E233" s="1" t="n">
        <v>46233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46233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11179-2026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46080</v>
      </c>
      <c r="E235" s="1" t="n">
        <v>46233</v>
      </c>
      <c r="F235" t="inlineStr">
        <is>
          <t>NORRBOTTENS LÄN</t>
        </is>
      </c>
      <c r="G235" t="inlineStr">
        <is>
          <t>ÖVERKALIX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57744-2025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45981</v>
      </c>
      <c r="E236" s="1" t="n">
        <v>46233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46233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20.3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46233</v>
      </c>
      <c r="F238" t="inlineStr">
        <is>
          <t>NORRBOTTENS LÄN</t>
        </is>
      </c>
      <c r="G238" t="inlineStr">
        <is>
          <t>ÖVERKALIX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46233</v>
      </c>
      <c r="F239" t="inlineStr">
        <is>
          <t>NORRBOTTENS LÄN</t>
        </is>
      </c>
      <c r="G239" t="inlineStr">
        <is>
          <t>ÖVERKALIX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46233</v>
      </c>
      <c r="F240" t="inlineStr">
        <is>
          <t>NORRBOTTENS LÄN</t>
        </is>
      </c>
      <c r="G240" t="inlineStr">
        <is>
          <t>ÖVERKALIX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11771-2026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46233</v>
      </c>
      <c r="F241" t="inlineStr">
        <is>
          <t>NORRBOTTENS LÄN</t>
        </is>
      </c>
      <c r="G241" t="inlineStr">
        <is>
          <t>ÖVERKALIX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46233</v>
      </c>
      <c r="F242" t="inlineStr">
        <is>
          <t>NORRBOTTENS LÄN</t>
        </is>
      </c>
      <c r="G242" t="inlineStr">
        <is>
          <t>ÖVERKALIX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46233</v>
      </c>
      <c r="F243" t="inlineStr">
        <is>
          <t>NORRBOTTENS LÄN</t>
        </is>
      </c>
      <c r="G243" t="inlineStr">
        <is>
          <t>ÖVERKALIX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46233</v>
      </c>
      <c r="F244" t="inlineStr">
        <is>
          <t>NORRBOTTENS LÄN</t>
        </is>
      </c>
      <c r="G244" t="inlineStr">
        <is>
          <t>ÖVERKALIX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46233</v>
      </c>
      <c r="F245" t="inlineStr">
        <is>
          <t>NORRBOTTENS LÄN</t>
        </is>
      </c>
      <c r="G245" t="inlineStr">
        <is>
          <t>ÖVERKALIX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46233</v>
      </c>
      <c r="F246" t="inlineStr">
        <is>
          <t>NORRBOTTENS LÄN</t>
        </is>
      </c>
      <c r="G246" t="inlineStr">
        <is>
          <t>ÖVERKALIX</t>
        </is>
      </c>
      <c r="I246" t="n">
        <v>16.1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46233</v>
      </c>
      <c r="F247" t="inlineStr">
        <is>
          <t>NORRBOTTENS LÄN</t>
        </is>
      </c>
      <c r="G247" t="inlineStr">
        <is>
          <t>ÖVERKALIX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46233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46233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43673-2021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44433</v>
      </c>
      <c r="E250" s="1" t="n">
        <v>46233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46233</v>
      </c>
      <c r="F251" t="inlineStr">
        <is>
          <t>NORRBOTTENS LÄN</t>
        </is>
      </c>
      <c r="G251" t="inlineStr">
        <is>
          <t>ÖVERKALIX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46233</v>
      </c>
      <c r="F252" t="inlineStr">
        <is>
          <t>NORRBOTTENS LÄN</t>
        </is>
      </c>
      <c r="G252" t="inlineStr">
        <is>
          <t>ÖVERKALIX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46233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46233</v>
      </c>
      <c r="F254" t="inlineStr">
        <is>
          <t>NORRBOTTENS LÄN</t>
        </is>
      </c>
      <c r="G254" t="inlineStr">
        <is>
          <t>ÖVERKALIX</t>
        </is>
      </c>
      <c r="I254" t="n">
        <v>12.5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46233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46233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46233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46233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46233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46233</v>
      </c>
      <c r="F260" t="inlineStr">
        <is>
          <t>NORRBOTTENS LÄN</t>
        </is>
      </c>
      <c r="G260" t="inlineStr">
        <is>
          <t>ÖVERKALIX</t>
        </is>
      </c>
      <c r="I260" t="n">
        <v>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46233</v>
      </c>
      <c r="F261" t="inlineStr">
        <is>
          <t>NORRBOTTENS LÄN</t>
        </is>
      </c>
      <c r="G261" t="inlineStr">
        <is>
          <t>ÖVERKALIX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46233</v>
      </c>
      <c r="F262" t="inlineStr">
        <is>
          <t>NORRBOTTENS LÄN</t>
        </is>
      </c>
      <c r="G262" t="inlineStr">
        <is>
          <t>ÖVERKALIX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46233</v>
      </c>
      <c r="F263" t="inlineStr">
        <is>
          <t>NORRBOTTENS LÄN</t>
        </is>
      </c>
      <c r="G263" t="inlineStr">
        <is>
          <t>ÖVERKALIX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46233</v>
      </c>
      <c r="F264" t="inlineStr">
        <is>
          <t>NORRBOTTENS LÄN</t>
        </is>
      </c>
      <c r="G264" t="inlineStr">
        <is>
          <t>ÖVERKALIX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45999</v>
      </c>
      <c r="E265" s="1" t="n">
        <v>46233</v>
      </c>
      <c r="F265" t="inlineStr">
        <is>
          <t>NORRBOTTENS LÄN</t>
        </is>
      </c>
      <c r="G265" t="inlineStr">
        <is>
          <t>ÖVERKALIX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46233</v>
      </c>
      <c r="F266" t="inlineStr">
        <is>
          <t>NORRBOTTENS LÄN</t>
        </is>
      </c>
      <c r="G266" t="inlineStr">
        <is>
          <t>ÖVERKALIX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46233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46233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46233</v>
      </c>
      <c r="F269" t="inlineStr">
        <is>
          <t>NORRBOTTENS LÄN</t>
        </is>
      </c>
      <c r="G269" t="inlineStr">
        <is>
          <t>ÖVERKALIX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44469</v>
      </c>
      <c r="E270" s="1" t="n">
        <v>46233</v>
      </c>
      <c r="F270" t="inlineStr">
        <is>
          <t>NORRBOTTENS LÄN</t>
        </is>
      </c>
      <c r="G270" t="inlineStr">
        <is>
          <t>ÖVERKALIX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56402-2022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46233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45807</v>
      </c>
      <c r="E272" s="1" t="n">
        <v>46233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46233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22.8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46233</v>
      </c>
      <c r="F274" t="inlineStr">
        <is>
          <t>NORRBOTTENS LÄN</t>
        </is>
      </c>
      <c r="G274" t="inlineStr">
        <is>
          <t>ÖVERKALIX</t>
        </is>
      </c>
      <c r="I274" t="n">
        <v>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46233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46233</v>
      </c>
      <c r="F276" t="inlineStr">
        <is>
          <t>NORRBOTTENS LÄN</t>
        </is>
      </c>
      <c r="G276" t="inlineStr">
        <is>
          <t>ÖVERKALIX</t>
        </is>
      </c>
      <c r="I276" t="n">
        <v>9.800000000000001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46233</v>
      </c>
      <c r="F277" t="inlineStr">
        <is>
          <t>NORRBOTTENS LÄN</t>
        </is>
      </c>
      <c r="G277" t="inlineStr">
        <is>
          <t>ÖVERKALIX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46233</v>
      </c>
      <c r="F278" t="inlineStr">
        <is>
          <t>NORRBOTTENS LÄN</t>
        </is>
      </c>
      <c r="G278" t="inlineStr">
        <is>
          <t>ÖVERKALIX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46233</v>
      </c>
      <c r="F279" t="inlineStr">
        <is>
          <t>NORRBOTTENS LÄN</t>
        </is>
      </c>
      <c r="G279" t="inlineStr">
        <is>
          <t>ÖVERKALIX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46233</v>
      </c>
      <c r="F280" t="inlineStr">
        <is>
          <t>NORRBOTTENS LÄN</t>
        </is>
      </c>
      <c r="G280" t="inlineStr">
        <is>
          <t>ÖVERKALIX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46233</v>
      </c>
      <c r="F281" t="inlineStr">
        <is>
          <t>NORRBOTTENS LÄN</t>
        </is>
      </c>
      <c r="G281" t="inlineStr">
        <is>
          <t>ÖVERKALIX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46233</v>
      </c>
      <c r="F282" t="inlineStr">
        <is>
          <t>NORRBOTTENS LÄN</t>
        </is>
      </c>
      <c r="G282" t="inlineStr">
        <is>
          <t>ÖVERKALIX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46233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46233</v>
      </c>
      <c r="F284" t="inlineStr">
        <is>
          <t>NORRBOTTENS LÄN</t>
        </is>
      </c>
      <c r="G284" t="inlineStr">
        <is>
          <t>ÖVERKALIX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46233</v>
      </c>
      <c r="F285" t="inlineStr">
        <is>
          <t>NORRBOTTENS LÄN</t>
        </is>
      </c>
      <c r="G285" t="inlineStr">
        <is>
          <t>ÖVERKALIX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46233</v>
      </c>
      <c r="F286" t="inlineStr">
        <is>
          <t>NORRBOTTENS LÄN</t>
        </is>
      </c>
      <c r="G286" t="inlineStr">
        <is>
          <t>ÖVERKALIX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46233</v>
      </c>
      <c r="F287" t="inlineStr">
        <is>
          <t>NORRBOTTENS LÄN</t>
        </is>
      </c>
      <c r="G287" t="inlineStr">
        <is>
          <t>ÖVERKALIX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46233</v>
      </c>
      <c r="F288" t="inlineStr">
        <is>
          <t>NORRBOTTENS LÄN</t>
        </is>
      </c>
      <c r="G288" t="inlineStr">
        <is>
          <t>ÖVERKALIX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46233</v>
      </c>
      <c r="F289" t="inlineStr">
        <is>
          <t>NORRBOTTENS LÄN</t>
        </is>
      </c>
      <c r="G289" t="inlineStr">
        <is>
          <t>ÖVERKALIX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46233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46233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17469-2026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46120</v>
      </c>
      <c r="E292" s="1" t="n">
        <v>46233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73216-2021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44547</v>
      </c>
      <c r="E293" s="1" t="n">
        <v>46233</v>
      </c>
      <c r="F293" t="inlineStr">
        <is>
          <t>NORRBOTTENS LÄN</t>
        </is>
      </c>
      <c r="G293" t="inlineStr">
        <is>
          <t>ÖVERKALIX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46233</v>
      </c>
      <c r="F294" t="inlineStr">
        <is>
          <t>NORRBOTTENS LÄN</t>
        </is>
      </c>
      <c r="G294" t="inlineStr">
        <is>
          <t>ÖVERKALIX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46233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46233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46233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45379</v>
      </c>
      <c r="E298" s="1" t="n">
        <v>46233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46233</v>
      </c>
      <c r="F299" t="inlineStr">
        <is>
          <t>NORRBOTTENS LÄN</t>
        </is>
      </c>
      <c r="G299" t="inlineStr">
        <is>
          <t>ÖVERKALIX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46233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46233</v>
      </c>
      <c r="F301" t="inlineStr">
        <is>
          <t>NORRBOTTENS LÄN</t>
        </is>
      </c>
      <c r="G301" t="inlineStr">
        <is>
          <t>ÖVERKALIX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46233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46233</v>
      </c>
      <c r="F303" t="inlineStr">
        <is>
          <t>NORRBOTTENS LÄN</t>
        </is>
      </c>
      <c r="G303" t="inlineStr">
        <is>
          <t>ÖVERKALIX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46233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45404</v>
      </c>
      <c r="E305" s="1" t="n">
        <v>46233</v>
      </c>
      <c r="F305" t="inlineStr">
        <is>
          <t>NORRBOTTENS LÄN</t>
        </is>
      </c>
      <c r="G305" t="inlineStr">
        <is>
          <t>ÖVERKALIX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46233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46233</v>
      </c>
      <c r="F307" t="inlineStr">
        <is>
          <t>NORRBOTTENS LÄN</t>
        </is>
      </c>
      <c r="G307" t="inlineStr">
        <is>
          <t>ÖVERKALIX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19531-2024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46233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46233</v>
      </c>
      <c r="F309" t="inlineStr">
        <is>
          <t>NORRBOTTENS LÄN</t>
        </is>
      </c>
      <c r="G309" t="inlineStr">
        <is>
          <t>ÖVERKALIX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45133</v>
      </c>
      <c r="E310" s="1" t="n">
        <v>46233</v>
      </c>
      <c r="F310" t="inlineStr">
        <is>
          <t>NORRBOTTENS LÄN</t>
        </is>
      </c>
      <c r="G310" t="inlineStr">
        <is>
          <t>ÖVERKALIX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46233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46233</v>
      </c>
      <c r="F312" t="inlineStr">
        <is>
          <t>NORRBOTTENS LÄN</t>
        </is>
      </c>
      <c r="G312" t="inlineStr">
        <is>
          <t>ÖVERKALIX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46233</v>
      </c>
      <c r="F313" t="inlineStr">
        <is>
          <t>NORRBOTTENS LÄN</t>
        </is>
      </c>
      <c r="G313" t="inlineStr">
        <is>
          <t>ÖVERKALIX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21299-2024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45440</v>
      </c>
      <c r="E314" s="1" t="n">
        <v>46233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45540</v>
      </c>
      <c r="E315" s="1" t="n">
        <v>46233</v>
      </c>
      <c r="F315" t="inlineStr">
        <is>
          <t>NORRBOTTENS LÄN</t>
        </is>
      </c>
      <c r="G315" t="inlineStr">
        <is>
          <t>ÖVERKALIX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46233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46233</v>
      </c>
      <c r="F317" t="inlineStr">
        <is>
          <t>NORRBOTTENS LÄN</t>
        </is>
      </c>
      <c r="G317" t="inlineStr">
        <is>
          <t>ÖVERKALIX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72364-2021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44543</v>
      </c>
      <c r="E318" s="1" t="n">
        <v>46233</v>
      </c>
      <c r="F318" t="inlineStr">
        <is>
          <t>NORRBOTTENS LÄN</t>
        </is>
      </c>
      <c r="G318" t="inlineStr">
        <is>
          <t>ÖVERKALIX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5653-2022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44595</v>
      </c>
      <c r="E319" s="1" t="n">
        <v>46233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32477-2024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45513</v>
      </c>
      <c r="E320" s="1" t="n">
        <v>46233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45622</v>
      </c>
      <c r="E321" s="1" t="n">
        <v>46233</v>
      </c>
      <c r="F321" t="inlineStr">
        <is>
          <t>NORRBOTTENS LÄN</t>
        </is>
      </c>
      <c r="G321" t="inlineStr">
        <is>
          <t>ÖVERKALIX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44603</v>
      </c>
      <c r="E322" s="1" t="n">
        <v>46233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Övriga statliga verk och myndigheter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15301-2022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44659</v>
      </c>
      <c r="E323" s="1" t="n">
        <v>46233</v>
      </c>
      <c r="F323" t="inlineStr">
        <is>
          <t>NORRBOTTENS LÄN</t>
        </is>
      </c>
      <c r="G323" t="inlineStr">
        <is>
          <t>ÖVERKALIX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45818</v>
      </c>
      <c r="E324" s="1" t="n">
        <v>46233</v>
      </c>
      <c r="F324" t="inlineStr">
        <is>
          <t>NORRBOTTENS LÄN</t>
        </is>
      </c>
      <c r="G324" t="inlineStr">
        <is>
          <t>ÖVERKALIX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46233</v>
      </c>
      <c r="F325" t="inlineStr">
        <is>
          <t>NORRBOTTENS LÄN</t>
        </is>
      </c>
      <c r="G325" t="inlineStr">
        <is>
          <t>ÖVERKALIX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44648</v>
      </c>
      <c r="E326" s="1" t="n">
        <v>46233</v>
      </c>
      <c r="F326" t="inlineStr">
        <is>
          <t>NORRBOTTENS LÄN</t>
        </is>
      </c>
      <c r="G326" t="inlineStr">
        <is>
          <t>ÖVERKALIX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46233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46233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46233</v>
      </c>
      <c r="F329" t="inlineStr">
        <is>
          <t>NORRBOTTENS LÄN</t>
        </is>
      </c>
      <c r="G329" t="inlineStr">
        <is>
          <t>ÖVERKALIX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46233</v>
      </c>
      <c r="F330" t="inlineStr">
        <is>
          <t>NORRBOTTENS LÄN</t>
        </is>
      </c>
      <c r="G330" t="inlineStr">
        <is>
          <t>ÖVERKALIX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46233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46233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46233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46148</v>
      </c>
      <c r="E334" s="1" t="n">
        <v>46233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21423-2026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46148</v>
      </c>
      <c r="E335" s="1" t="n">
        <v>46233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46148</v>
      </c>
      <c r="E336" s="1" t="n">
        <v>46233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21425-2026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46233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21411-2026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46148</v>
      </c>
      <c r="E338" s="1" t="n">
        <v>46233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21417-2026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46148</v>
      </c>
      <c r="E339" s="1" t="n">
        <v>46233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46148</v>
      </c>
      <c r="E340" s="1" t="n">
        <v>46233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46233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46148</v>
      </c>
      <c r="E342" s="1" t="n">
        <v>46233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18.8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46233</v>
      </c>
      <c r="F343" t="inlineStr">
        <is>
          <t>NORRBOTTENS LÄN</t>
        </is>
      </c>
      <c r="G343" t="inlineStr">
        <is>
          <t>ÖVERKALIX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46233</v>
      </c>
      <c r="F344" t="inlineStr">
        <is>
          <t>NORRBOTTENS LÄN</t>
        </is>
      </c>
      <c r="G344" t="inlineStr">
        <is>
          <t>ÖVERKALIX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46233</v>
      </c>
      <c r="F345" t="inlineStr">
        <is>
          <t>NORRBOTTENS LÄN</t>
        </is>
      </c>
      <c r="G345" t="inlineStr">
        <is>
          <t>ÖVERKALIX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46233</v>
      </c>
      <c r="F346" t="inlineStr">
        <is>
          <t>NORRBOTTENS LÄN</t>
        </is>
      </c>
      <c r="G346" t="inlineStr">
        <is>
          <t>ÖVERKALIX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45621</v>
      </c>
      <c r="E347" s="1" t="n">
        <v>46233</v>
      </c>
      <c r="F347" t="inlineStr">
        <is>
          <t>NORRBOTTENS LÄN</t>
        </is>
      </c>
      <c r="G347" t="inlineStr">
        <is>
          <t>ÖVERKALIX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45561</v>
      </c>
      <c r="E348" s="1" t="n">
        <v>46233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46233</v>
      </c>
      <c r="F349" t="inlineStr">
        <is>
          <t>NORRBOTTENS LÄN</t>
        </is>
      </c>
      <c r="G349" t="inlineStr">
        <is>
          <t>ÖVERKALIX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46233</v>
      </c>
      <c r="F350" t="inlineStr">
        <is>
          <t>NORRBOTTENS LÄN</t>
        </is>
      </c>
      <c r="G350" t="inlineStr">
        <is>
          <t>ÖVERKALIX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45693</v>
      </c>
      <c r="E351" s="1" t="n">
        <v>46233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46233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23.2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45702</v>
      </c>
      <c r="E353" s="1" t="n">
        <v>46233</v>
      </c>
      <c r="F353" t="inlineStr">
        <is>
          <t>NORRBOTTENS LÄN</t>
        </is>
      </c>
      <c r="G353" t="inlineStr">
        <is>
          <t>ÖVERKALIX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58764-2023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45251</v>
      </c>
      <c r="E354" s="1" t="n">
        <v>46233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46233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46233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45693</v>
      </c>
      <c r="E357" s="1" t="n">
        <v>46233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46233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28210-2026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46196</v>
      </c>
      <c r="E359" s="1" t="n">
        <v>46233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46233</v>
      </c>
      <c r="F360" t="inlineStr">
        <is>
          <t>NORRBOTTENS LÄN</t>
        </is>
      </c>
      <c r="G360" t="inlineStr">
        <is>
          <t>ÖVERKALIX</t>
        </is>
      </c>
      <c r="I360" t="n">
        <v>13.1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46233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64524-2023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45281</v>
      </c>
      <c r="E362" s="1" t="n">
        <v>46233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46233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46160</v>
      </c>
      <c r="E364" s="1" t="n">
        <v>46233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46233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46233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46157</v>
      </c>
      <c r="E367" s="1" t="n">
        <v>46233</v>
      </c>
      <c r="F367" t="inlineStr">
        <is>
          <t>NORRBOTTENS LÄN</t>
        </is>
      </c>
      <c r="G367" t="inlineStr">
        <is>
          <t>ÖVERKALIX</t>
        </is>
      </c>
      <c r="I367" t="n">
        <v>10.6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26554-2023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45092</v>
      </c>
      <c r="E368" s="1" t="n">
        <v>46233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46233</v>
      </c>
      <c r="F369" t="inlineStr">
        <is>
          <t>NORRBOTTENS LÄN</t>
        </is>
      </c>
      <c r="G369" t="inlineStr">
        <is>
          <t>ÖVERKALIX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46233</v>
      </c>
      <c r="F370" t="inlineStr">
        <is>
          <t>NORRBOTTENS LÄN</t>
        </is>
      </c>
      <c r="G370" t="inlineStr">
        <is>
          <t>ÖVERKALIX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46162</v>
      </c>
      <c r="E371" s="1" t="n">
        <v>46233</v>
      </c>
      <c r="F371" t="inlineStr">
        <is>
          <t>NORRBOTTENS LÄN</t>
        </is>
      </c>
      <c r="G371" t="inlineStr">
        <is>
          <t>ÖVERKALIX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44575</v>
      </c>
      <c r="E372" s="1" t="n">
        <v>46233</v>
      </c>
      <c r="F372" t="inlineStr">
        <is>
          <t>NORRBOTTENS LÄN</t>
        </is>
      </c>
      <c r="G372" t="inlineStr">
        <is>
          <t>ÖVERKALIX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46233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45631</v>
      </c>
      <c r="E374" s="1" t="n">
        <v>46233</v>
      </c>
      <c r="F374" t="inlineStr">
        <is>
          <t>NORRBOTTENS LÄN</t>
        </is>
      </c>
      <c r="G374" t="inlineStr">
        <is>
          <t>ÖVERKALIX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46233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46233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45231</v>
      </c>
      <c r="E377" s="1" t="n">
        <v>46233</v>
      </c>
      <c r="F377" t="inlineStr">
        <is>
          <t>NORRBOTTENS LÄN</t>
        </is>
      </c>
      <c r="G377" t="inlineStr">
        <is>
          <t>ÖVERKALIX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46233</v>
      </c>
      <c r="F378" t="inlineStr">
        <is>
          <t>NORRBOTTENS LÄN</t>
        </is>
      </c>
      <c r="G378" t="inlineStr">
        <is>
          <t>ÖVERKALIX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46233</v>
      </c>
      <c r="F379" t="inlineStr">
        <is>
          <t>NORRBOTTENS LÄN</t>
        </is>
      </c>
      <c r="G379" t="inlineStr">
        <is>
          <t>ÖVERKALIX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45471</v>
      </c>
      <c r="E380" s="1" t="n">
        <v>46233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27057-2024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46233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32.6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29927-2026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46205</v>
      </c>
      <c r="E382" s="1" t="n">
        <v>46233</v>
      </c>
      <c r="F382" t="inlineStr">
        <is>
          <t>NORRBOTTENS LÄN</t>
        </is>
      </c>
      <c r="G382" t="inlineStr">
        <is>
          <t>ÖVERKALIX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46233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46233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30241-2026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46206</v>
      </c>
      <c r="E385" s="1" t="n">
        <v>46233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46233</v>
      </c>
      <c r="F386" t="inlineStr">
        <is>
          <t>NORRBOTTENS LÄN</t>
        </is>
      </c>
      <c r="G386" t="inlineStr">
        <is>
          <t>ÖVERKALIX</t>
        </is>
      </c>
      <c r="I386" t="n">
        <v>22.3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29937-2026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46205</v>
      </c>
      <c r="E387" s="1" t="n">
        <v>46233</v>
      </c>
      <c r="F387" t="inlineStr">
        <is>
          <t>NORRBOTTENS LÄN</t>
        </is>
      </c>
      <c r="G387" t="inlineStr">
        <is>
          <t>ÖVERKALIX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46205</v>
      </c>
      <c r="E388" s="1" t="n">
        <v>46233</v>
      </c>
      <c r="F388" t="inlineStr">
        <is>
          <t>NORRBOTTENS LÄN</t>
        </is>
      </c>
      <c r="G388" t="inlineStr">
        <is>
          <t>ÖVERKALIX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46233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9.9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46233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45950</v>
      </c>
      <c r="E391" s="1" t="n">
        <v>46233</v>
      </c>
      <c r="F391" t="inlineStr">
        <is>
          <t>NORRBOTTENS LÄN</t>
        </is>
      </c>
      <c r="G391" t="inlineStr">
        <is>
          <t>ÖVERKALIX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46233</v>
      </c>
      <c r="F392" t="inlineStr">
        <is>
          <t>NORRBOTTENS LÄN</t>
        </is>
      </c>
      <c r="G392" t="inlineStr">
        <is>
          <t>ÖVERKALIX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53732-2022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44880</v>
      </c>
      <c r="E393" s="1" t="n">
        <v>46233</v>
      </c>
      <c r="F393" t="inlineStr">
        <is>
          <t>NORRBOTTENS LÄN</t>
        </is>
      </c>
      <c r="G393" t="inlineStr">
        <is>
          <t>ÖVERKALIX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28372-2025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45818</v>
      </c>
      <c r="E394" s="1" t="n">
        <v>46233</v>
      </c>
      <c r="F394" t="inlineStr">
        <is>
          <t>NORRBOTTENS LÄN</t>
        </is>
      </c>
      <c r="G394" t="inlineStr">
        <is>
          <t>ÖVERKALIX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46233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46233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46233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30328-2026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46207</v>
      </c>
      <c r="E398" s="1" t="n">
        <v>46233</v>
      </c>
      <c r="F398" t="inlineStr">
        <is>
          <t>NORRBOTTENS LÄN</t>
        </is>
      </c>
      <c r="G398" t="inlineStr">
        <is>
          <t>ÖVERKALIX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46233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46233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30326-2026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46207</v>
      </c>
      <c r="E401" s="1" t="n">
        <v>46233</v>
      </c>
      <c r="F401" t="inlineStr">
        <is>
          <t>NORRBOTTENS LÄN</t>
        </is>
      </c>
      <c r="G401" t="inlineStr">
        <is>
          <t>ÖVERKALIX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42407-2022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44830</v>
      </c>
      <c r="E402" s="1" t="n">
        <v>46233</v>
      </c>
      <c r="F402" t="inlineStr">
        <is>
          <t>NORRBOTTENS LÄN</t>
        </is>
      </c>
      <c r="G402" t="inlineStr">
        <is>
          <t>ÖVERKALIX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46233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30327-2026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46207</v>
      </c>
      <c r="E404" s="1" t="n">
        <v>46233</v>
      </c>
      <c r="F404" t="inlineStr">
        <is>
          <t>NORRBOTTENS LÄN</t>
        </is>
      </c>
      <c r="G404" t="inlineStr">
        <is>
          <t>ÖVERKALIX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46233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30329-2026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46207</v>
      </c>
      <c r="E406" s="1" t="n">
        <v>46233</v>
      </c>
      <c r="F406" t="inlineStr">
        <is>
          <t>NORRBOTTENS LÄN</t>
        </is>
      </c>
      <c r="G406" t="inlineStr">
        <is>
          <t>ÖVERKALIX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46233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46233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18.6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46233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46233</v>
      </c>
      <c r="F410" t="inlineStr">
        <is>
          <t>NORRBOTTENS LÄN</t>
        </is>
      </c>
      <c r="G410" t="inlineStr">
        <is>
          <t>ÖVERKALIX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45308</v>
      </c>
      <c r="E411" s="1" t="n">
        <v>46233</v>
      </c>
      <c r="F411" t="inlineStr">
        <is>
          <t>NORRBOTTENS LÄN</t>
        </is>
      </c>
      <c r="G411" t="inlineStr">
        <is>
          <t>ÖVERKALIX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45308</v>
      </c>
      <c r="E412" s="1" t="n">
        <v>46233</v>
      </c>
      <c r="F412" t="inlineStr">
        <is>
          <t>NORRBOTTENS LÄN</t>
        </is>
      </c>
      <c r="G412" t="inlineStr">
        <is>
          <t>ÖVERKALIX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46170</v>
      </c>
      <c r="E413" s="1" t="n">
        <v>46233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9849-2024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46233</v>
      </c>
      <c r="F414" t="inlineStr">
        <is>
          <t>NORRBOTTENS LÄN</t>
        </is>
      </c>
      <c r="G414" t="inlineStr">
        <is>
          <t>ÖVERKALIX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46233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46233</v>
      </c>
      <c r="F416" t="inlineStr">
        <is>
          <t>NORRBOTTENS LÄN</t>
        </is>
      </c>
      <c r="G416" t="inlineStr">
        <is>
          <t>ÖVERKALIX</t>
        </is>
      </c>
      <c r="I416" t="n">
        <v>13.1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30881-2024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45498</v>
      </c>
      <c r="E417" s="1" t="n">
        <v>46233</v>
      </c>
      <c r="F417" t="inlineStr">
        <is>
          <t>NORRBOTTENS LÄN</t>
        </is>
      </c>
      <c r="G417" t="inlineStr">
        <is>
          <t>ÖVERKALIX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46233</v>
      </c>
      <c r="F418" t="inlineStr">
        <is>
          <t>NORRBOTTENS LÄN</t>
        </is>
      </c>
      <c r="G418" t="inlineStr">
        <is>
          <t>ÖVERKALIX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46233</v>
      </c>
      <c r="F419" t="inlineStr">
        <is>
          <t>NORRBOTTENS LÄN</t>
        </is>
      </c>
      <c r="G419" t="inlineStr">
        <is>
          <t>ÖVERKALIX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46233</v>
      </c>
      <c r="F420" t="inlineStr">
        <is>
          <t>NORRBOTTENS LÄN</t>
        </is>
      </c>
      <c r="G420" t="inlineStr">
        <is>
          <t>ÖVERKALIX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62269-2021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44502</v>
      </c>
      <c r="E421" s="1" t="n">
        <v>46233</v>
      </c>
      <c r="F421" t="inlineStr">
        <is>
          <t>NORRBOTTENS LÄN</t>
        </is>
      </c>
      <c r="G421" t="inlineStr">
        <is>
          <t>ÖVERKALIX</t>
        </is>
      </c>
      <c r="I421" t="n">
        <v>9.199999999999999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45005</v>
      </c>
      <c r="E422" s="1" t="n">
        <v>46233</v>
      </c>
      <c r="F422" t="inlineStr">
        <is>
          <t>NORRBOTTENS LÄN</t>
        </is>
      </c>
      <c r="G422" t="inlineStr">
        <is>
          <t>ÖVERKALIX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46233</v>
      </c>
      <c r="F423" t="inlineStr">
        <is>
          <t>NORRBOTTENS LÄN</t>
        </is>
      </c>
      <c r="G423" t="inlineStr">
        <is>
          <t>ÖVERKALIX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25546-2026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46177</v>
      </c>
      <c r="E424" s="1" t="n">
        <v>46233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45639</v>
      </c>
      <c r="E425" s="1" t="n">
        <v>46233</v>
      </c>
      <c r="F425" t="inlineStr">
        <is>
          <t>NORRBOTTENS LÄN</t>
        </is>
      </c>
      <c r="G425" t="inlineStr">
        <is>
          <t>ÖVERKALIX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46177</v>
      </c>
      <c r="E426" s="1" t="n">
        <v>46233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25822-2026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46233</v>
      </c>
      <c r="F427" t="inlineStr">
        <is>
          <t>NORRBOTTENS LÄN</t>
        </is>
      </c>
      <c r="G427" t="inlineStr">
        <is>
          <t>ÖVERKALIX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44601</v>
      </c>
      <c r="E428" s="1" t="n">
        <v>46233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49091-2024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45594</v>
      </c>
      <c r="E429" s="1" t="n">
        <v>46233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46233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46233</v>
      </c>
      <c r="F431" t="inlineStr">
        <is>
          <t>NORRBOTTENS LÄN</t>
        </is>
      </c>
      <c r="G431" t="inlineStr">
        <is>
          <t>ÖVERKALIX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46233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46233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8.5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45692</v>
      </c>
      <c r="E435" s="1" t="n">
        <v>46233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45513</v>
      </c>
      <c r="E436" s="1" t="n">
        <v>46233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44910</v>
      </c>
      <c r="E437" s="1" t="n">
        <v>46233</v>
      </c>
      <c r="F437" t="inlineStr">
        <is>
          <t>NORRBOTTENS LÄN</t>
        </is>
      </c>
      <c r="G437" t="inlineStr">
        <is>
          <t>ÖVERKALIX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45641</v>
      </c>
      <c r="E438" s="1" t="n">
        <v>46233</v>
      </c>
      <c r="F438" t="inlineStr">
        <is>
          <t>NORRBOTTENS LÄN</t>
        </is>
      </c>
      <c r="G438" t="inlineStr">
        <is>
          <t>ÖVERKALIX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46183</v>
      </c>
      <c r="E439" s="1" t="n">
        <v>46233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46233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46233</v>
      </c>
      <c r="F441" t="inlineStr">
        <is>
          <t>NORRBOTTENS LÄN</t>
        </is>
      </c>
      <c r="G441" t="inlineStr">
        <is>
          <t>ÖVERKALIX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45160</v>
      </c>
      <c r="E442" s="1" t="n">
        <v>46233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46230</v>
      </c>
      <c r="E443" s="1" t="n">
        <v>46233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46187</v>
      </c>
      <c r="E444" s="1" t="n">
        <v>46233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45621</v>
      </c>
      <c r="E445" s="1" t="n">
        <v>46233</v>
      </c>
      <c r="F445" t="inlineStr">
        <is>
          <t>NORRBOTTENS LÄN</t>
        </is>
      </c>
      <c r="G445" t="inlineStr">
        <is>
          <t>ÖVERKALIX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46233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46233</v>
      </c>
      <c r="F447" t="inlineStr">
        <is>
          <t>NORRBOTTENS LÄN</t>
        </is>
      </c>
      <c r="G447" t="inlineStr">
        <is>
          <t>ÖVERKALIX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46233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46233</v>
      </c>
      <c r="F449" t="inlineStr">
        <is>
          <t>NORRBOTTENS LÄN</t>
        </is>
      </c>
      <c r="G449" t="inlineStr">
        <is>
          <t>ÖVERKALIX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46233</v>
      </c>
      <c r="F450" t="inlineStr">
        <is>
          <t>NORRBOTTENS LÄN</t>
        </is>
      </c>
      <c r="G450" t="inlineStr">
        <is>
          <t>ÖVERKALIX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46233</v>
      </c>
      <c r="F451" t="inlineStr">
        <is>
          <t>NORRBOTTENS LÄN</t>
        </is>
      </c>
      <c r="G451" t="inlineStr">
        <is>
          <t>ÖVERKALIX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45321</v>
      </c>
      <c r="E452" s="1" t="n">
        <v>46233</v>
      </c>
      <c r="F452" t="inlineStr">
        <is>
          <t>NORRBOTTENS LÄN</t>
        </is>
      </c>
      <c r="G452" t="inlineStr">
        <is>
          <t>ÖVERKALIX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45610</v>
      </c>
      <c r="E453" s="1" t="n">
        <v>46233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46233</v>
      </c>
      <c r="F454" t="inlineStr">
        <is>
          <t>NORRBOTTENS LÄN</t>
        </is>
      </c>
      <c r="G454" t="inlineStr">
        <is>
          <t>ÖVERKALIX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45463</v>
      </c>
      <c r="E455" s="1" t="n">
        <v>46233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46233</v>
      </c>
      <c r="F456" t="inlineStr">
        <is>
          <t>NORRBOTTENS LÄN</t>
        </is>
      </c>
      <c r="G456" t="inlineStr">
        <is>
          <t>ÖVERKALIX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45554</v>
      </c>
      <c r="E457" s="1" t="n">
        <v>46233</v>
      </c>
      <c r="F457" t="inlineStr">
        <is>
          <t>NORRBOTTENS LÄN</t>
        </is>
      </c>
      <c r="G457" t="inlineStr">
        <is>
          <t>ÖVERKALIX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45548</v>
      </c>
      <c r="E458" s="1" t="n">
        <v>46233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45782</v>
      </c>
      <c r="E459" s="1" t="n">
        <v>46233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39974-2021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44417</v>
      </c>
      <c r="E460" s="1" t="n">
        <v>46233</v>
      </c>
      <c r="F460" t="inlineStr">
        <is>
          <t>NORRBOTTENS LÄN</t>
        </is>
      </c>
      <c r="G460" t="inlineStr">
        <is>
          <t>ÖVERKALIX</t>
        </is>
      </c>
      <c r="I460" t="n">
        <v>21.6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45785</v>
      </c>
      <c r="E461" s="1" t="n">
        <v>46233</v>
      </c>
      <c r="F461" t="inlineStr">
        <is>
          <t>NORRBOTTENS LÄN</t>
        </is>
      </c>
      <c r="G461" t="inlineStr">
        <is>
          <t>ÖVERKALIX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46233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8.5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45796</v>
      </c>
      <c r="E463" s="1" t="n">
        <v>46233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45796</v>
      </c>
      <c r="E464" s="1" t="n">
        <v>46233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46233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46233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12177-2024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45377</v>
      </c>
      <c r="E467" s="1" t="n">
        <v>46233</v>
      </c>
      <c r="F467" t="inlineStr">
        <is>
          <t>NORRBOTTENS LÄN</t>
        </is>
      </c>
      <c r="G467" t="inlineStr">
        <is>
          <t>ÖVERKALIX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45323</v>
      </c>
      <c r="E468" s="1" t="n">
        <v>46233</v>
      </c>
      <c r="F468" t="inlineStr">
        <is>
          <t>NORRBOTTENS LÄN</t>
        </is>
      </c>
      <c r="G468" t="inlineStr">
        <is>
          <t>ÖVERKALIX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25629-2025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45803</v>
      </c>
      <c r="E469" s="1" t="n">
        <v>46233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46233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46233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46233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46233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46233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2026-07-30T01:48:13Z</dcterms:created>
  <dcterms:modified xmlns:dcterms="http://purl.org/dc/terms/" xmlns:xsi="http://www.w3.org/2001/XMLSchema-instance" xsi:type="dcterms:W3CDTF">2026-07-30T01:48:13Z</dcterms:modified>
</cp:coreProperties>
</file>