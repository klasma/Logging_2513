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46284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46284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46284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46284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3</v>
      </c>
      <c r="K6" t="n">
        <v>2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13</v>
      </c>
      <c r="T6" t="n">
        <v>45</v>
      </c>
      <c r="U6" t="n">
        <v>45</v>
      </c>
      <c r="V6" s="2" t="inlineStr">
        <is>
          <t>Garnlav
Dropptaggsvamp
Kolflarnlav
Nordtagging
Orange taggsvamp
Skarp dropptaggsvamp
Tallriska
Talltagel
Talltita
Vaddporing
Nästlav
Plattlummer
Tjäder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  <c r="AE6">
        <f>HYPERLINK("https://klasma.github.io/Logging_2513/fåglar/A 63242-2025 prioriterade fågelarter.docx", "A 63242-2025")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46284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46284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46284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46284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46284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46284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46284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46284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46284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46284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46284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46284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46284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46284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46284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46284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46284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46284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46284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46284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47680-2024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46284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Blå taggsvamp
Skarp dropptaggsvamp</t>
        </is>
      </c>
      <c r="W34">
        <f>HYPERLINK("https://klasma.github.io/Logging_2513/artfynd/A 47680-2024 artfynd.xlsx", "A 47680-2024")</f>
        <v/>
      </c>
      <c r="X34">
        <f>HYPERLINK("https://klasma.github.io/Logging_2513/kartor/A 47680-2024 karta.png", "A 47680-2024")</f>
        <v/>
      </c>
      <c r="Y34">
        <f>HYPERLINK("https://klasma.github.io/Logging_2513/kartor_geotiff/A 47680-2024 georefererad karta.tif", "A 47680-2024")</f>
        <v/>
      </c>
      <c r="AA34">
        <f>HYPERLINK("https://klasma.github.io/Logging_2513/klagomål/A 47680-2024 FSC-klagomål.docx", "A 47680-2024")</f>
        <v/>
      </c>
      <c r="AB34">
        <f>HYPERLINK("https://klasma.github.io/Logging_2513/klagomålsmail/A 47680-2024 FSC-klagomål mail.docx", "A 47680-2024")</f>
        <v/>
      </c>
      <c r="AC34">
        <f>HYPERLINK("https://klasma.github.io/Logging_2513/tillsyn/A 47680-2024 tillsynsbegäran.docx", "A 47680-2024")</f>
        <v/>
      </c>
      <c r="AD34">
        <f>HYPERLINK("https://klasma.github.io/Logging_2513/tillsynsmail/A 47680-2024 tillsynsbegäran mail.docx", "A 47680-2024")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46284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46284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46284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36378-2024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46284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21.5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Lunglav
Fläcknycklar</t>
        </is>
      </c>
      <c r="W38">
        <f>HYPERLINK("https://klasma.github.io/Logging_2513/artfynd/A 36378-2024 artfynd.xlsx", "A 36378-2024")</f>
        <v/>
      </c>
      <c r="X38">
        <f>HYPERLINK("https://klasma.github.io/Logging_2513/kartor/A 36378-2024 karta.png", "A 36378-2024")</f>
        <v/>
      </c>
      <c r="Y38">
        <f>HYPERLINK("https://klasma.github.io/Logging_2513/kartor_geotiff/A 36378-2024 georefererad karta.tif", "A 36378-2024")</f>
        <v/>
      </c>
      <c r="AA38">
        <f>HYPERLINK("https://klasma.github.io/Logging_2513/klagomål/A 36378-2024 FSC-klagomål.docx", "A 36378-2024")</f>
        <v/>
      </c>
      <c r="AB38">
        <f>HYPERLINK("https://klasma.github.io/Logging_2513/klagomålsmail/A 36378-2024 FSC-klagomål mail.docx", "A 36378-2024")</f>
        <v/>
      </c>
      <c r="AC38">
        <f>HYPERLINK("https://klasma.github.io/Logging_2513/tillsyn/A 36378-2024 tillsynsbegäran.docx", "A 36378-2024")</f>
        <v/>
      </c>
      <c r="AD38">
        <f>HYPERLINK("https://klasma.github.io/Logging_2513/tillsynsmail/A 36378-2024 tillsynsbegäran mail.docx", "A 36378-2024")</f>
        <v/>
      </c>
    </row>
    <row r="39" ht="15" customHeight="1">
      <c r="A39" t="inlineStr">
        <is>
          <t>A 36381-2024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46284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26.7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Gammelgransskål
Orre</t>
        </is>
      </c>
      <c r="W39">
        <f>HYPERLINK("https://klasma.github.io/Logging_2513/artfynd/A 36381-2024 artfynd.xlsx", "A 36381-2024")</f>
        <v/>
      </c>
      <c r="X39">
        <f>HYPERLINK("https://klasma.github.io/Logging_2513/kartor/A 36381-2024 karta.png", "A 36381-2024")</f>
        <v/>
      </c>
      <c r="Y39">
        <f>HYPERLINK("https://klasma.github.io/Logging_2513/kartor_geotiff/A 36381-2024 georefererad karta.tif", "A 36381-2024")</f>
        <v/>
      </c>
      <c r="AA39">
        <f>HYPERLINK("https://klasma.github.io/Logging_2513/klagomål/A 36381-2024 FSC-klagomål.docx", "A 36381-2024")</f>
        <v/>
      </c>
      <c r="AB39">
        <f>HYPERLINK("https://klasma.github.io/Logging_2513/klagomålsmail/A 36381-2024 FSC-klagomål mail.docx", "A 36381-2024")</f>
        <v/>
      </c>
      <c r="AC39">
        <f>HYPERLINK("https://klasma.github.io/Logging_2513/tillsyn/A 36381-2024 tillsynsbegäran.docx", "A 36381-2024")</f>
        <v/>
      </c>
      <c r="AD39">
        <f>HYPERLINK("https://klasma.github.io/Logging_2513/tillsynsmail/A 36381-2024 tillsynsbegäran mail.docx", "A 36381-2024")</f>
        <v/>
      </c>
      <c r="AE39">
        <f>HYPERLINK("https://klasma.github.io/Logging_2513/fåglar/A 36381-2024 prioriterade fågelarter.docx", "A 36381-2024")</f>
        <v/>
      </c>
    </row>
    <row r="40" ht="15" customHeight="1">
      <c r="A40" t="inlineStr">
        <is>
          <t>A 14152-2026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46284</v>
      </c>
      <c r="F40" t="inlineStr">
        <is>
          <t>NORRBOTTENS LÄN</t>
        </is>
      </c>
      <c r="G40" t="inlineStr">
        <is>
          <t>ÖVERKALIX</t>
        </is>
      </c>
      <c r="I40" t="n">
        <v>4.6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Källpraktmossa
Spädstarr</t>
        </is>
      </c>
      <c r="W40">
        <f>HYPERLINK("https://klasma.github.io/Logging_2513/artfynd/A 14152-2026 artfynd.xlsx", "A 14152-2026")</f>
        <v/>
      </c>
      <c r="X40">
        <f>HYPERLINK("https://klasma.github.io/Logging_2513/kartor/A 14152-2026 karta.png", "A 14152-2026")</f>
        <v/>
      </c>
      <c r="Y40">
        <f>HYPERLINK("https://klasma.github.io/Logging_2513/kartor_geotiff/A 14152-2026 georefererad karta.tif", "A 14152-2026")</f>
        <v/>
      </c>
      <c r="AA40">
        <f>HYPERLINK("https://klasma.github.io/Logging_2513/klagomål/A 14152-2026 FSC-klagomål.docx", "A 14152-2026")</f>
        <v/>
      </c>
      <c r="AB40">
        <f>HYPERLINK("https://klasma.github.io/Logging_2513/klagomålsmail/A 14152-2026 FSC-klagomål mail.docx", "A 14152-2026")</f>
        <v/>
      </c>
      <c r="AC40">
        <f>HYPERLINK("https://klasma.github.io/Logging_2513/tillsyn/A 14152-2026 tillsynsbegäran.docx", "A 14152-2026")</f>
        <v/>
      </c>
      <c r="AD40">
        <f>HYPERLINK("https://klasma.github.io/Logging_2513/tillsynsmail/A 14152-2026 tillsynsbegäran mail.docx", "A 14152-2026")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46284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46284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50691-2024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46284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Vedticka</t>
        </is>
      </c>
      <c r="W43">
        <f>HYPERLINK("https://klasma.github.io/Logging_2513/artfynd/A 50691-2024 artfynd.xlsx", "A 50691-2024")</f>
        <v/>
      </c>
      <c r="X43">
        <f>HYPERLINK("https://klasma.github.io/Logging_2513/kartor/A 50691-2024 karta.png", "A 50691-2024")</f>
        <v/>
      </c>
      <c r="Y43">
        <f>HYPERLINK("https://klasma.github.io/Logging_2513/kartor_geotiff/A 50691-2024 georefererad karta.tif", "A 50691-2024")</f>
        <v/>
      </c>
      <c r="AA43">
        <f>HYPERLINK("https://klasma.github.io/Logging_2513/klagomål/A 50691-2024 FSC-klagomål.docx", "A 50691-2024")</f>
        <v/>
      </c>
      <c r="AB43">
        <f>HYPERLINK("https://klasma.github.io/Logging_2513/klagomålsmail/A 50691-2024 FSC-klagomål mail.docx", "A 50691-2024")</f>
        <v/>
      </c>
      <c r="AC43">
        <f>HYPERLINK("https://klasma.github.io/Logging_2513/tillsyn/A 50691-2024 tillsynsbegäran.docx", "A 50691-2024")</f>
        <v/>
      </c>
      <c r="AD43">
        <f>HYPERLINK("https://klasma.github.io/Logging_2513/tillsynsmail/A 50691-2024 tillsynsbegäran mail.docx", "A 50691-2024")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46284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46284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46284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A 26452-2025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45807</v>
      </c>
      <c r="E47" s="1" t="n">
        <v>46284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Gammelgransskål
Stor aspticka</t>
        </is>
      </c>
      <c r="W47">
        <f>HYPERLINK("https://klasma.github.io/Logging_2513/artfynd/A 26452-2025 artfynd.xlsx", "A 26452-2025")</f>
        <v/>
      </c>
      <c r="X47">
        <f>HYPERLINK("https://klasma.github.io/Logging_2513/kartor/A 26452-2025 karta.png", "A 26452-2025")</f>
        <v/>
      </c>
      <c r="Y47">
        <f>HYPERLINK("https://klasma.github.io/Logging_2513/kartor_geotiff/A 26452-2025 georefererad karta.tif", "A 26452-2025")</f>
        <v/>
      </c>
      <c r="AA47">
        <f>HYPERLINK("https://klasma.github.io/Logging_2513/klagomål/A 26452-2025 FSC-klagomål.docx", "A 26452-2025")</f>
        <v/>
      </c>
      <c r="AB47">
        <f>HYPERLINK("https://klasma.github.io/Logging_2513/klagomålsmail/A 26452-2025 FSC-klagomål mail.docx", "A 26452-2025")</f>
        <v/>
      </c>
      <c r="AC47">
        <f>HYPERLINK("https://klasma.github.io/Logging_2513/tillsyn/A 26452-2025 tillsynsbegäran.docx", "A 26452-2025")</f>
        <v/>
      </c>
      <c r="AD47">
        <f>HYPERLINK("https://klasma.github.io/Logging_2513/tillsynsmail/A 26452-2025 tillsynsbegäran mail.docx", "A 26452-2025")</f>
        <v/>
      </c>
    </row>
    <row r="48" ht="15" customHeight="1">
      <c r="A48" t="inlineStr">
        <is>
          <t>A 34921-2025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46284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16.4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Lunglav</t>
        </is>
      </c>
      <c r="W48">
        <f>HYPERLINK("https://klasma.github.io/Logging_2513/artfynd/A 34921-2025 artfynd.xlsx", "A 34921-2025")</f>
        <v/>
      </c>
      <c r="X48">
        <f>HYPERLINK("https://klasma.github.io/Logging_2513/kartor/A 34921-2025 karta.png", "A 34921-2025")</f>
        <v/>
      </c>
      <c r="Y48">
        <f>HYPERLINK("https://klasma.github.io/Logging_2513/kartor_geotiff/A 34921-2025 georefererad karta.tif", "A 34921-2025")</f>
        <v/>
      </c>
      <c r="AA48">
        <f>HYPERLINK("https://klasma.github.io/Logging_2513/klagomål/A 34921-2025 FSC-klagomål.docx", "A 34921-2025")</f>
        <v/>
      </c>
      <c r="AB48">
        <f>HYPERLINK("https://klasma.github.io/Logging_2513/klagomålsmail/A 34921-2025 FSC-klagomål mail.docx", "A 34921-2025")</f>
        <v/>
      </c>
      <c r="AC48">
        <f>HYPERLINK("https://klasma.github.io/Logging_2513/tillsyn/A 34921-2025 tillsynsbegäran.docx", "A 34921-2025")</f>
        <v/>
      </c>
      <c r="AD48">
        <f>HYPERLINK("https://klasma.github.io/Logging_2513/tillsynsmail/A 34921-2025 tillsynsbegäran mail.docx", "A 34921-2025")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46284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46284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22977-2022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44717</v>
      </c>
      <c r="E51" s="1" t="n">
        <v>46284</v>
      </c>
      <c r="F51" t="inlineStr">
        <is>
          <t>NORRBOTTENS LÄN</t>
        </is>
      </c>
      <c r="G51" t="inlineStr">
        <is>
          <t>ÖVERKALIX</t>
        </is>
      </c>
      <c r="I51" t="n">
        <v>19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Bivråk</t>
        </is>
      </c>
      <c r="W51">
        <f>HYPERLINK("https://klasma.github.io/Logging_2513/artfynd/A 22977-2022 artfynd.xlsx", "A 22977-2022")</f>
        <v/>
      </c>
      <c r="X51">
        <f>HYPERLINK("https://klasma.github.io/Logging_2513/kartor/A 22977-2022 karta.png", "A 22977-2022")</f>
        <v/>
      </c>
      <c r="Y51">
        <f>HYPERLINK("https://klasma.github.io/Logging_2513/kartor_geotiff/A 22977-2022 georefererad karta.tif", "A 22977-2022")</f>
        <v/>
      </c>
      <c r="AA51">
        <f>HYPERLINK("https://klasma.github.io/Logging_2513/klagomål/A 22977-2022 FSC-klagomål.docx", "A 22977-2022")</f>
        <v/>
      </c>
      <c r="AB51">
        <f>HYPERLINK("https://klasma.github.io/Logging_2513/klagomålsmail/A 22977-2022 FSC-klagomål mail.docx", "A 22977-2022")</f>
        <v/>
      </c>
      <c r="AC51">
        <f>HYPERLINK("https://klasma.github.io/Logging_2513/tillsyn/A 22977-2022 tillsynsbegäran.docx", "A 22977-2022")</f>
        <v/>
      </c>
      <c r="AD51">
        <f>HYPERLINK("https://klasma.github.io/Logging_2513/tillsynsmail/A 22977-2022 tillsynsbegäran mail.docx", "A 22977-2022")</f>
        <v/>
      </c>
      <c r="AE51">
        <f>HYPERLINK("https://klasma.github.io/Logging_2513/fåglar/A 22977-2022 prioriterade fågelarter.docx", "A 22977-2022")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46284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46284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46284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46284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7234-2023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46284</v>
      </c>
      <c r="F56" t="inlineStr">
        <is>
          <t>NORRBOTTENS LÄN</t>
        </is>
      </c>
      <c r="G56" t="inlineStr">
        <is>
          <t>ÖVERKALIX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HYPERLINK("https://klasma.github.io/Logging_2513/artfynd/A 7234-2023 artfynd.xlsx", "A 7234-2023")</f>
        <v/>
      </c>
      <c r="X56">
        <f>HYPERLINK("https://klasma.github.io/Logging_2513/kartor/A 7234-2023 karta.png", "A 7234-2023")</f>
        <v/>
      </c>
      <c r="Y56">
        <f>HYPERLINK("https://klasma.github.io/Logging_2513/kartor_geotiff/A 7234-2023 georefererad karta.tif", "A 7234-2023")</f>
        <v/>
      </c>
      <c r="AA56">
        <f>HYPERLINK("https://klasma.github.io/Logging_2513/klagomål/A 7234-2023 FSC-klagomål.docx", "A 7234-2023")</f>
        <v/>
      </c>
      <c r="AB56">
        <f>HYPERLINK("https://klasma.github.io/Logging_2513/klagomålsmail/A 7234-2023 FSC-klagomål mail.docx", "A 7234-2023")</f>
        <v/>
      </c>
      <c r="AC56">
        <f>HYPERLINK("https://klasma.github.io/Logging_2513/tillsyn/A 7234-2023 tillsynsbegäran.docx", "A 7234-2023")</f>
        <v/>
      </c>
      <c r="AD56">
        <f>HYPERLINK("https://klasma.github.io/Logging_2513/tillsynsmail/A 7234-2023 tillsynsbegäran mail.docx", "A 7234-2023")</f>
        <v/>
      </c>
      <c r="AE56">
        <f>HYPERLINK("https://klasma.github.io/Logging_2513/fåglar/A 7234-2023 prioriterade fågelarter.docx", "A 7234-2023")</f>
        <v/>
      </c>
    </row>
    <row r="57" ht="15" customHeight="1">
      <c r="A57" t="inlineStr">
        <is>
          <t>A 8407-2025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45709</v>
      </c>
      <c r="E57" s="1" t="n">
        <v>46284</v>
      </c>
      <c r="F57" t="inlineStr">
        <is>
          <t>NORRBOTTENS LÄN</t>
        </is>
      </c>
      <c r="G57" t="inlineStr">
        <is>
          <t>ÖVERKALIX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Tallbit</t>
        </is>
      </c>
      <c r="W57">
        <f>HYPERLINK("https://klasma.github.io/Logging_2513/artfynd/A 8407-2025 artfynd.xlsx", "A 8407-2025")</f>
        <v/>
      </c>
      <c r="X57">
        <f>HYPERLINK("https://klasma.github.io/Logging_2513/kartor/A 8407-2025 karta.png", "A 8407-2025")</f>
        <v/>
      </c>
      <c r="Y57">
        <f>HYPERLINK("https://klasma.github.io/Logging_2513/kartor_geotiff/A 8407-2025 georefererad karta.tif", "A 8407-2025")</f>
        <v/>
      </c>
      <c r="AA57">
        <f>HYPERLINK("https://klasma.github.io/Logging_2513/klagomål/A 8407-2025 FSC-klagomål.docx", "A 8407-2025")</f>
        <v/>
      </c>
      <c r="AB57">
        <f>HYPERLINK("https://klasma.github.io/Logging_2513/klagomålsmail/A 8407-2025 FSC-klagomål mail.docx", "A 8407-2025")</f>
        <v/>
      </c>
      <c r="AC57">
        <f>HYPERLINK("https://klasma.github.io/Logging_2513/tillsyn/A 8407-2025 tillsynsbegäran.docx", "A 8407-2025")</f>
        <v/>
      </c>
      <c r="AD57">
        <f>HYPERLINK("https://klasma.github.io/Logging_2513/tillsynsmail/A 8407-2025 tillsynsbegäran mail.docx", "A 8407-2025")</f>
        <v/>
      </c>
      <c r="AE57">
        <f>HYPERLINK("https://klasma.github.io/Logging_2513/fåglar/A 8407-2025 prioriterade fågelarter.docx", "A 8407-2025")</f>
        <v/>
      </c>
    </row>
    <row r="58" ht="15" customHeight="1">
      <c r="A58" t="inlineStr">
        <is>
          <t>A 21777-2024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45442</v>
      </c>
      <c r="E58" s="1" t="n">
        <v>46284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HYPERLINK("https://klasma.github.io/Logging_2513/artfynd/A 21777-2024 artfynd.xlsx", "A 21777-2024")</f>
        <v/>
      </c>
      <c r="X58">
        <f>HYPERLINK("https://klasma.github.io/Logging_2513/kartor/A 21777-2024 karta.png", "A 21777-2024")</f>
        <v/>
      </c>
      <c r="Y58">
        <f>HYPERLINK("https://klasma.github.io/Logging_2513/kartor_geotiff/A 21777-2024 georefererad karta.tif", "A 21777-2024")</f>
        <v/>
      </c>
      <c r="AA58">
        <f>HYPERLINK("https://klasma.github.io/Logging_2513/klagomål/A 21777-2024 FSC-klagomål.docx", "A 21777-2024")</f>
        <v/>
      </c>
      <c r="AB58">
        <f>HYPERLINK("https://klasma.github.io/Logging_2513/klagomålsmail/A 21777-2024 FSC-klagomål mail.docx", "A 21777-2024")</f>
        <v/>
      </c>
      <c r="AC58">
        <f>HYPERLINK("https://klasma.github.io/Logging_2513/tillsyn/A 21777-2024 tillsynsbegäran.docx", "A 21777-2024")</f>
        <v/>
      </c>
      <c r="AD58">
        <f>HYPERLINK("https://klasma.github.io/Logging_2513/tillsynsmail/A 21777-2024 tillsynsbegäran mail.docx", "A 21777-2024")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46284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46284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46284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26305-2025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46284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5.2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Luddlav</t>
        </is>
      </c>
      <c r="W62">
        <f>HYPERLINK("https://klasma.github.io/Logging_2513/artfynd/A 26305-2025 artfynd.xlsx", "A 26305-2025")</f>
        <v/>
      </c>
      <c r="X62">
        <f>HYPERLINK("https://klasma.github.io/Logging_2513/kartor/A 26305-2025 karta.png", "A 26305-2025")</f>
        <v/>
      </c>
      <c r="Y62">
        <f>HYPERLINK("https://klasma.github.io/Logging_2513/kartor_geotiff/A 26305-2025 georefererad karta.tif", "A 26305-2025")</f>
        <v/>
      </c>
      <c r="AA62">
        <f>HYPERLINK("https://klasma.github.io/Logging_2513/klagomål/A 26305-2025 FSC-klagomål.docx", "A 26305-2025")</f>
        <v/>
      </c>
      <c r="AB62">
        <f>HYPERLINK("https://klasma.github.io/Logging_2513/klagomålsmail/A 26305-2025 FSC-klagomål mail.docx", "A 26305-2025")</f>
        <v/>
      </c>
      <c r="AC62">
        <f>HYPERLINK("https://klasma.github.io/Logging_2513/tillsyn/A 26305-2025 tillsynsbegäran.docx", "A 26305-2025")</f>
        <v/>
      </c>
      <c r="AD62">
        <f>HYPERLINK("https://klasma.github.io/Logging_2513/tillsynsmail/A 26305-2025 tillsynsbegäran mail.docx", "A 26305-2025")</f>
        <v/>
      </c>
    </row>
    <row r="63" ht="15" customHeight="1">
      <c r="A63" t="inlineStr">
        <is>
          <t>A 27452-2025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46284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27452-2025 artfynd.xlsx", "A 27452-2025")</f>
        <v/>
      </c>
      <c r="X63">
        <f>HYPERLINK("https://klasma.github.io/Logging_2513/kartor/A 27452-2025 karta.png", "A 27452-2025")</f>
        <v/>
      </c>
      <c r="Y63">
        <f>HYPERLINK("https://klasma.github.io/Logging_2513/kartor_geotiff/A 27452-2025 georefererad karta.tif", "A 27452-2025")</f>
        <v/>
      </c>
      <c r="AA63">
        <f>HYPERLINK("https://klasma.github.io/Logging_2513/klagomål/A 27452-2025 FSC-klagomål.docx", "A 27452-2025")</f>
        <v/>
      </c>
      <c r="AB63">
        <f>HYPERLINK("https://klasma.github.io/Logging_2513/klagomålsmail/A 27452-2025 FSC-klagomål mail.docx", "A 27452-2025")</f>
        <v/>
      </c>
      <c r="AC63">
        <f>HYPERLINK("https://klasma.github.io/Logging_2513/tillsyn/A 27452-2025 tillsynsbegäran.docx", "A 27452-2025")</f>
        <v/>
      </c>
      <c r="AD63">
        <f>HYPERLINK("https://klasma.github.io/Logging_2513/tillsynsmail/A 27452-2025 tillsynsbegäran mail.docx", "A 27452-2025")</f>
        <v/>
      </c>
      <c r="AE63">
        <f>HYPERLINK("https://klasma.github.io/Logging_2513/fåglar/A 27452-2025 prioriterade fågelarter.docx", "A 27452-2025")</f>
        <v/>
      </c>
    </row>
    <row r="64" ht="15" customHeight="1">
      <c r="A64" t="inlineStr">
        <is>
          <t>A 35602-2025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46284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35602-2025 artfynd.xlsx", "A 35602-2025")</f>
        <v/>
      </c>
      <c r="X64">
        <f>HYPERLINK("https://klasma.github.io/Logging_2513/kartor/A 35602-2025 karta.png", "A 35602-2025")</f>
        <v/>
      </c>
      <c r="Y64">
        <f>HYPERLINK("https://klasma.github.io/Logging_2513/kartor_geotiff/A 35602-2025 georefererad karta.tif", "A 35602-2025")</f>
        <v/>
      </c>
      <c r="AA64">
        <f>HYPERLINK("https://klasma.github.io/Logging_2513/klagomål/A 35602-2025 FSC-klagomål.docx", "A 35602-2025")</f>
        <v/>
      </c>
      <c r="AB64">
        <f>HYPERLINK("https://klasma.github.io/Logging_2513/klagomålsmail/A 35602-2025 FSC-klagomål mail.docx", "A 35602-2025")</f>
        <v/>
      </c>
      <c r="AC64">
        <f>HYPERLINK("https://klasma.github.io/Logging_2513/tillsyn/A 35602-2025 tillsynsbegäran.docx", "A 35602-2025")</f>
        <v/>
      </c>
      <c r="AD64">
        <f>HYPERLINK("https://klasma.github.io/Logging_2513/tillsynsmail/A 35602-2025 tillsynsbegäran mail.docx", "A 35602-2025")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46284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46284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46284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46284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46284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46284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46284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46284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46284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46284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46284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46284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46284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46284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46284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46284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46284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46284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46284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46284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46284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46284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46284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46284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46284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44603</v>
      </c>
      <c r="E90" s="1" t="n">
        <v>46284</v>
      </c>
      <c r="F90" t="inlineStr">
        <is>
          <t>NORRBOTTENS LÄN</t>
        </is>
      </c>
      <c r="G90" t="inlineStr">
        <is>
          <t>ÖVERKALIX</t>
        </is>
      </c>
      <c r="H90" t="inlineStr">
        <is>
          <t>Övriga statliga verk och myndigheter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46284</v>
      </c>
      <c r="F91" t="inlineStr">
        <is>
          <t>NORRBOTTENS LÄN</t>
        </is>
      </c>
      <c r="G91" t="inlineStr">
        <is>
          <t>ÖVERKALIX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46284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46284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46284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46284</v>
      </c>
      <c r="F95" t="inlineStr">
        <is>
          <t>NORRBOTTENS LÄN</t>
        </is>
      </c>
      <c r="G95" t="inlineStr">
        <is>
          <t>ÖVERKALIX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46284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46284</v>
      </c>
      <c r="F97" t="inlineStr">
        <is>
          <t>NORRBOTTENS LÄN</t>
        </is>
      </c>
      <c r="G97" t="inlineStr">
        <is>
          <t>ÖVERKALIX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46284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45518</v>
      </c>
      <c r="E99" s="1" t="n">
        <v>46284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46284</v>
      </c>
      <c r="F100" t="inlineStr">
        <is>
          <t>NORRBOTTENS LÄN</t>
        </is>
      </c>
      <c r="G100" t="inlineStr">
        <is>
          <t>ÖVERKALIX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45691</v>
      </c>
      <c r="E101" s="1" t="n">
        <v>46284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46284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46284</v>
      </c>
      <c r="F103" t="inlineStr">
        <is>
          <t>NORRBOTTENS LÄN</t>
        </is>
      </c>
      <c r="G103" t="inlineStr">
        <is>
          <t>ÖVERKALIX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46284</v>
      </c>
      <c r="F104" t="inlineStr">
        <is>
          <t>NORRBOTTENS LÄN</t>
        </is>
      </c>
      <c r="G104" t="inlineStr">
        <is>
          <t>ÖVERKALIX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46284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46284</v>
      </c>
      <c r="F106" t="inlineStr">
        <is>
          <t>NORRBOTTENS LÄN</t>
        </is>
      </c>
      <c r="G106" t="inlineStr">
        <is>
          <t>ÖVERKALIX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46284</v>
      </c>
      <c r="F107" t="inlineStr">
        <is>
          <t>NORRBOTTENS LÄN</t>
        </is>
      </c>
      <c r="G107" t="inlineStr">
        <is>
          <t>ÖVERKALIX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46284</v>
      </c>
      <c r="F108" t="inlineStr">
        <is>
          <t>NORRBOTTENS LÄN</t>
        </is>
      </c>
      <c r="G108" t="inlineStr">
        <is>
          <t>ÖVERKALIX</t>
        </is>
      </c>
      <c r="I108" t="n">
        <v>21.7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45702</v>
      </c>
      <c r="E109" s="1" t="n">
        <v>46284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46284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46284</v>
      </c>
      <c r="F111" t="inlineStr">
        <is>
          <t>NORRBOTTENS LÄN</t>
        </is>
      </c>
      <c r="G111" t="inlineStr">
        <is>
          <t>ÖVERKALIX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46284</v>
      </c>
      <c r="F112" t="inlineStr">
        <is>
          <t>NORRBOTTENS LÄN</t>
        </is>
      </c>
      <c r="G112" t="inlineStr">
        <is>
          <t>ÖVERKALIX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46284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45469</v>
      </c>
      <c r="E114" s="1" t="n">
        <v>46284</v>
      </c>
      <c r="F114" t="inlineStr">
        <is>
          <t>NORRBOTTENS LÄN</t>
        </is>
      </c>
      <c r="G114" t="inlineStr">
        <is>
          <t>ÖVERKALIX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46284</v>
      </c>
      <c r="F115" t="inlineStr">
        <is>
          <t>NORRBOTTENS LÄN</t>
        </is>
      </c>
      <c r="G115" t="inlineStr">
        <is>
          <t>ÖVERKALIX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46284</v>
      </c>
      <c r="F116" t="inlineStr">
        <is>
          <t>NORRBOTTENS LÄN</t>
        </is>
      </c>
      <c r="G116" t="inlineStr">
        <is>
          <t>ÖVERKALIX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46284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72364-2021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44543</v>
      </c>
      <c r="E118" s="1" t="n">
        <v>46284</v>
      </c>
      <c r="F118" t="inlineStr">
        <is>
          <t>NORRBOTTENS LÄN</t>
        </is>
      </c>
      <c r="G118" t="inlineStr">
        <is>
          <t>ÖVERKALIX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46284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46284</v>
      </c>
      <c r="F120" t="inlineStr">
        <is>
          <t>NORRBOTTENS LÄN</t>
        </is>
      </c>
      <c r="G120" t="inlineStr">
        <is>
          <t>ÖVERKALIX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19984-2025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46284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10.5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46284</v>
      </c>
      <c r="F122" t="inlineStr">
        <is>
          <t>NORRBOTTENS LÄN</t>
        </is>
      </c>
      <c r="G122" t="inlineStr">
        <is>
          <t>ÖVERKALIX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46284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46284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46284</v>
      </c>
      <c r="F125" t="inlineStr">
        <is>
          <t>NORRBOTTENS LÄN</t>
        </is>
      </c>
      <c r="G125" t="inlineStr">
        <is>
          <t>ÖVERKALIX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45463</v>
      </c>
      <c r="E126" s="1" t="n">
        <v>46284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46284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46284</v>
      </c>
      <c r="F128" t="inlineStr">
        <is>
          <t>NORRBOTTENS LÄN</t>
        </is>
      </c>
      <c r="G128" t="inlineStr">
        <is>
          <t>ÖVERKALIX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46284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46284</v>
      </c>
      <c r="F130" t="inlineStr">
        <is>
          <t>NORRBOTTENS LÄN</t>
        </is>
      </c>
      <c r="G130" t="inlineStr">
        <is>
          <t>ÖVERKALIX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45251</v>
      </c>
      <c r="E131" s="1" t="n">
        <v>46284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45807</v>
      </c>
      <c r="E132" s="1" t="n">
        <v>46284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45086</v>
      </c>
      <c r="E133" s="1" t="n">
        <v>46284</v>
      </c>
      <c r="F133" t="inlineStr">
        <is>
          <t>NORRBOTTENS LÄN</t>
        </is>
      </c>
      <c r="G133" t="inlineStr">
        <is>
          <t>ÖVERKALIX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46284</v>
      </c>
      <c r="F134" t="inlineStr">
        <is>
          <t>NORRBOTTENS LÄN</t>
        </is>
      </c>
      <c r="G134" t="inlineStr">
        <is>
          <t>ÖVERKALIX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46284</v>
      </c>
      <c r="F135" t="inlineStr">
        <is>
          <t>NORRBOTTENS LÄN</t>
        </is>
      </c>
      <c r="G135" t="inlineStr">
        <is>
          <t>ÖVERKALIX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46284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46284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46284</v>
      </c>
      <c r="F138" t="inlineStr">
        <is>
          <t>NORRBOTTENS LÄN</t>
        </is>
      </c>
      <c r="G138" t="inlineStr">
        <is>
          <t>ÖVERKALIX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45133</v>
      </c>
      <c r="E139" s="1" t="n">
        <v>46284</v>
      </c>
      <c r="F139" t="inlineStr">
        <is>
          <t>NORRBOTTENS LÄN</t>
        </is>
      </c>
      <c r="G139" t="inlineStr">
        <is>
          <t>ÖVERKALIX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46284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37.4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46284</v>
      </c>
      <c r="F141" t="inlineStr">
        <is>
          <t>NORRBOTTENS LÄN</t>
        </is>
      </c>
      <c r="G141" t="inlineStr">
        <is>
          <t>ÖVERKALIX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46284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46284</v>
      </c>
      <c r="F143" t="inlineStr">
        <is>
          <t>NORRBOTTENS LÄN</t>
        </is>
      </c>
      <c r="G143" t="inlineStr">
        <is>
          <t>ÖVERKALIX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46284</v>
      </c>
      <c r="F144" t="inlineStr">
        <is>
          <t>NORRBOTTENS LÄN</t>
        </is>
      </c>
      <c r="G144" t="inlineStr">
        <is>
          <t>ÖVERKALIX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46284</v>
      </c>
      <c r="F145" t="inlineStr">
        <is>
          <t>NORRBOTTENS LÄN</t>
        </is>
      </c>
      <c r="G145" t="inlineStr">
        <is>
          <t>ÖVERKALIX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46284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46284</v>
      </c>
      <c r="F147" t="inlineStr">
        <is>
          <t>NORRBOTTENS LÄN</t>
        </is>
      </c>
      <c r="G147" t="inlineStr">
        <is>
          <t>ÖVERKALIX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46284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46284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46284</v>
      </c>
      <c r="F150" t="inlineStr">
        <is>
          <t>NORRBOTTENS LÄN</t>
        </is>
      </c>
      <c r="G150" t="inlineStr">
        <is>
          <t>ÖVERKALIX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46284</v>
      </c>
      <c r="F151" t="inlineStr">
        <is>
          <t>NORRBOTTENS LÄN</t>
        </is>
      </c>
      <c r="G151" t="inlineStr">
        <is>
          <t>ÖVERKALIX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46284</v>
      </c>
      <c r="F152" t="inlineStr">
        <is>
          <t>NORRBOTTENS LÄN</t>
        </is>
      </c>
      <c r="G152" t="inlineStr">
        <is>
          <t>ÖVERKALIX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46284</v>
      </c>
      <c r="F153" t="inlineStr">
        <is>
          <t>NORRBOTTENS LÄN</t>
        </is>
      </c>
      <c r="G153" t="inlineStr">
        <is>
          <t>ÖVERKALIX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46284</v>
      </c>
      <c r="F154" t="inlineStr">
        <is>
          <t>NORRBOTTENS LÄN</t>
        </is>
      </c>
      <c r="G154" t="inlineStr">
        <is>
          <t>ÖVERKALIX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46284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44754-2025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46284</v>
      </c>
      <c r="F156" t="inlineStr">
        <is>
          <t>NORRBOTTENS LÄN</t>
        </is>
      </c>
      <c r="G156" t="inlineStr">
        <is>
          <t>ÖVERKALIX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46284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44595</v>
      </c>
      <c r="E158" s="1" t="n">
        <v>46284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45922</v>
      </c>
      <c r="E159" s="1" t="n">
        <v>46284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46284</v>
      </c>
      <c r="F160" t="inlineStr">
        <is>
          <t>NORRBOTTENS LÄN</t>
        </is>
      </c>
      <c r="G160" t="inlineStr">
        <is>
          <t>ÖVERKALIX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46284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26554-2023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45092</v>
      </c>
      <c r="E162" s="1" t="n">
        <v>46284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46284</v>
      </c>
      <c r="F163" t="inlineStr">
        <is>
          <t>NORRBOTTENS LÄN</t>
        </is>
      </c>
      <c r="G163" t="inlineStr">
        <is>
          <t>ÖVERKALIX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46284</v>
      </c>
      <c r="F164" t="inlineStr">
        <is>
          <t>NORRBOTTENS LÄN</t>
        </is>
      </c>
      <c r="G164" t="inlineStr">
        <is>
          <t>ÖVERKALIX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46284</v>
      </c>
      <c r="F165" t="inlineStr">
        <is>
          <t>NORRBOTTENS LÄN</t>
        </is>
      </c>
      <c r="G165" t="inlineStr">
        <is>
          <t>ÖVERKALIX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46284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46284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46284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46148</v>
      </c>
      <c r="E169" s="1" t="n">
        <v>46284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46284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44547</v>
      </c>
      <c r="E171" s="1" t="n">
        <v>46284</v>
      </c>
      <c r="F171" t="inlineStr">
        <is>
          <t>NORRBOTTENS LÄN</t>
        </is>
      </c>
      <c r="G171" t="inlineStr">
        <is>
          <t>ÖVERKALIX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46284</v>
      </c>
      <c r="F172" t="inlineStr">
        <is>
          <t>NORRBOTTENS LÄN</t>
        </is>
      </c>
      <c r="G172" t="inlineStr">
        <is>
          <t>ÖVERKALIX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46284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46284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46284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46284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46284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46284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46284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18.8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46284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46284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46284</v>
      </c>
      <c r="F182" t="inlineStr">
        <is>
          <t>NORRBOTTENS LÄN</t>
        </is>
      </c>
      <c r="G182" t="inlineStr">
        <is>
          <t>ÖVERKALIX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45947</v>
      </c>
      <c r="E183" s="1" t="n">
        <v>46284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46284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11.5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46284</v>
      </c>
      <c r="F185" t="inlineStr">
        <is>
          <t>NORRBOTTENS LÄN</t>
        </is>
      </c>
      <c r="G185" t="inlineStr">
        <is>
          <t>ÖVERKALIX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51634-2025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45951</v>
      </c>
      <c r="E186" s="1" t="n">
        <v>46284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46284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46284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32.6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45949</v>
      </c>
      <c r="E189" s="1" t="n">
        <v>46284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46284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46284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54143-2021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46284</v>
      </c>
      <c r="F192" t="inlineStr">
        <is>
          <t>NORRBOTTENS LÄN</t>
        </is>
      </c>
      <c r="G192" t="inlineStr">
        <is>
          <t>ÖVERKALIX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46284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46284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46284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45954</v>
      </c>
      <c r="E196" s="1" t="n">
        <v>46284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46284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46284</v>
      </c>
      <c r="F198" t="inlineStr">
        <is>
          <t>NORRBOTTENS LÄN</t>
        </is>
      </c>
      <c r="G198" t="inlineStr">
        <is>
          <t>ÖVERKALIX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46284</v>
      </c>
      <c r="F199" t="inlineStr">
        <is>
          <t>NORRBOTTENS LÄN</t>
        </is>
      </c>
      <c r="G199" t="inlineStr">
        <is>
          <t>ÖVERKALIX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60400-2022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46284</v>
      </c>
      <c r="F200" t="inlineStr">
        <is>
          <t>NORRBOTTENS LÄN</t>
        </is>
      </c>
      <c r="G200" t="inlineStr">
        <is>
          <t>ÖVERKALIX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46284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46284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46284</v>
      </c>
      <c r="F203" t="inlineStr">
        <is>
          <t>NORRBOTTENS LÄN</t>
        </is>
      </c>
      <c r="G203" t="inlineStr">
        <is>
          <t>ÖVERKALIX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46284</v>
      </c>
      <c r="F204" t="inlineStr">
        <is>
          <t>NORRBOTTENS LÄN</t>
        </is>
      </c>
      <c r="G204" t="inlineStr">
        <is>
          <t>ÖVERKALIX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44797</v>
      </c>
      <c r="E205" s="1" t="n">
        <v>46284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45513</v>
      </c>
      <c r="E206" s="1" t="n">
        <v>46284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57744-2025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45981</v>
      </c>
      <c r="E207" s="1" t="n">
        <v>46284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30881-2024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45498</v>
      </c>
      <c r="E208" s="1" t="n">
        <v>46284</v>
      </c>
      <c r="F208" t="inlineStr">
        <is>
          <t>NORRBOTTENS LÄN</t>
        </is>
      </c>
      <c r="G208" t="inlineStr">
        <is>
          <t>ÖVERKALIX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46284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45308</v>
      </c>
      <c r="E210" s="1" t="n">
        <v>46284</v>
      </c>
      <c r="F210" t="inlineStr">
        <is>
          <t>NORRBOTTENS LÄN</t>
        </is>
      </c>
      <c r="G210" t="inlineStr">
        <is>
          <t>ÖVERKALIX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46284</v>
      </c>
      <c r="F211" t="inlineStr">
        <is>
          <t>NORRBOTTENS LÄN</t>
        </is>
      </c>
      <c r="G211" t="inlineStr">
        <is>
          <t>ÖVERKALIX</t>
        </is>
      </c>
      <c r="I211" t="n">
        <v>10.6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46284</v>
      </c>
      <c r="F212" t="inlineStr">
        <is>
          <t>NORRBOTTENS LÄN</t>
        </is>
      </c>
      <c r="G212" t="inlineStr">
        <is>
          <t>ÖVERKALIX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46284</v>
      </c>
      <c r="F213" t="inlineStr">
        <is>
          <t>NORRBOTTENS LÄN</t>
        </is>
      </c>
      <c r="G213" t="inlineStr">
        <is>
          <t>ÖVERKALIX</t>
        </is>
      </c>
      <c r="I213" t="n">
        <v>16.1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46284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46284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46284</v>
      </c>
      <c r="F216" t="inlineStr">
        <is>
          <t>NORRBOTTENS LÄN</t>
        </is>
      </c>
      <c r="G216" t="inlineStr">
        <is>
          <t>ÖVERKALIX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46284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46284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46284</v>
      </c>
      <c r="F219" t="inlineStr">
        <is>
          <t>NORRBOTTENS LÄN</t>
        </is>
      </c>
      <c r="G219" t="inlineStr">
        <is>
          <t>ÖVERKALIX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46284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46284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46284</v>
      </c>
      <c r="F222" t="inlineStr">
        <is>
          <t>NORRBOTTENS LÄN</t>
        </is>
      </c>
      <c r="G222" t="inlineStr">
        <is>
          <t>ÖVERKALIX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46160</v>
      </c>
      <c r="E223" s="1" t="n">
        <v>46284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46160</v>
      </c>
      <c r="E224" s="1" t="n">
        <v>46284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46284</v>
      </c>
      <c r="F225" t="inlineStr">
        <is>
          <t>NORRBOTTENS LÄN</t>
        </is>
      </c>
      <c r="G225" t="inlineStr">
        <is>
          <t>ÖVERKALIX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46284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45513</v>
      </c>
      <c r="E227" s="1" t="n">
        <v>46284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46284</v>
      </c>
      <c r="F228" t="inlineStr">
        <is>
          <t>NORRBOTTENS LÄN</t>
        </is>
      </c>
      <c r="G228" t="inlineStr">
        <is>
          <t>ÖVERKALIX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46284</v>
      </c>
      <c r="F229" t="inlineStr">
        <is>
          <t>NORRBOTTENS LÄN</t>
        </is>
      </c>
      <c r="G229" t="inlineStr">
        <is>
          <t>ÖVERKALIX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46284</v>
      </c>
      <c r="F230" t="inlineStr">
        <is>
          <t>NORRBOTTENS LÄN</t>
        </is>
      </c>
      <c r="G230" t="inlineStr">
        <is>
          <t>ÖVERKALIX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46284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46284</v>
      </c>
      <c r="F232" t="inlineStr">
        <is>
          <t>NORRBOTTENS LÄN</t>
        </is>
      </c>
      <c r="G232" t="inlineStr">
        <is>
          <t>ÖVERKALIX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46284</v>
      </c>
      <c r="F233" t="inlineStr">
        <is>
          <t>NORRBOTTENS LÄN</t>
        </is>
      </c>
      <c r="G233" t="inlineStr">
        <is>
          <t>ÖVERKALIX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45996</v>
      </c>
      <c r="E234" s="1" t="n">
        <v>46284</v>
      </c>
      <c r="F234" t="inlineStr">
        <is>
          <t>NORRBOTTENS LÄN</t>
        </is>
      </c>
      <c r="G234" t="inlineStr">
        <is>
          <t>ÖVERKALIX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46284</v>
      </c>
      <c r="F235" t="inlineStr">
        <is>
          <t>NORRBOTTENS LÄN</t>
        </is>
      </c>
      <c r="G235" t="inlineStr">
        <is>
          <t>ÖVERKALIX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46284</v>
      </c>
      <c r="F236" t="inlineStr">
        <is>
          <t>NORRBOTTENS LÄN</t>
        </is>
      </c>
      <c r="G236" t="inlineStr">
        <is>
          <t>ÖVERKALIX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46284</v>
      </c>
      <c r="F237" t="inlineStr">
        <is>
          <t>NORRBOTTENS LÄN</t>
        </is>
      </c>
      <c r="G237" t="inlineStr">
        <is>
          <t>ÖVERKALIX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46284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46284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46284</v>
      </c>
      <c r="F240" t="inlineStr">
        <is>
          <t>NORRBOTTENS LÄN</t>
        </is>
      </c>
      <c r="G240" t="inlineStr">
        <is>
          <t>ÖVERKALIX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46284</v>
      </c>
      <c r="F241" t="inlineStr">
        <is>
          <t>NORRBOTTENS LÄN</t>
        </is>
      </c>
      <c r="G241" t="inlineStr">
        <is>
          <t>ÖVERKALIX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46284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Sveaskog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28372-2025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45818</v>
      </c>
      <c r="E243" s="1" t="n">
        <v>46284</v>
      </c>
      <c r="F243" t="inlineStr">
        <is>
          <t>NORRBOTTENS LÄN</t>
        </is>
      </c>
      <c r="G243" t="inlineStr">
        <is>
          <t>ÖVERKALIX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46284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46284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45639</v>
      </c>
      <c r="E246" s="1" t="n">
        <v>46284</v>
      </c>
      <c r="F246" t="inlineStr">
        <is>
          <t>NORRBOTTENS LÄN</t>
        </is>
      </c>
      <c r="G246" t="inlineStr">
        <is>
          <t>ÖVERKALIX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46284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46284</v>
      </c>
      <c r="F248" t="inlineStr">
        <is>
          <t>NORRBOTTENS LÄN</t>
        </is>
      </c>
      <c r="G248" t="inlineStr">
        <is>
          <t>ÖVERKALIX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46284</v>
      </c>
      <c r="F249" t="inlineStr">
        <is>
          <t>NORRBOTTENS LÄN</t>
        </is>
      </c>
      <c r="G249" t="inlineStr">
        <is>
          <t>ÖVERKALIX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46284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46167</v>
      </c>
      <c r="E251" s="1" t="n">
        <v>46284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46284</v>
      </c>
      <c r="F252" t="inlineStr">
        <is>
          <t>NORRBOTTENS LÄN</t>
        </is>
      </c>
      <c r="G252" t="inlineStr">
        <is>
          <t>ÖVERKALIX</t>
        </is>
      </c>
      <c r="I252" t="n">
        <v>13.1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46284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46284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46284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46284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46284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46284</v>
      </c>
      <c r="F258" t="inlineStr">
        <is>
          <t>NORRBOTTENS LÄN</t>
        </is>
      </c>
      <c r="G258" t="inlineStr">
        <is>
          <t>ÖVERKALIX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46284</v>
      </c>
      <c r="F259" t="inlineStr">
        <is>
          <t>NORRBOTTENS LÄN</t>
        </is>
      </c>
      <c r="G259" t="inlineStr">
        <is>
          <t>ÖVERKALIX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46284</v>
      </c>
      <c r="F260" t="inlineStr">
        <is>
          <t>NORRBOTTENS LÄN</t>
        </is>
      </c>
      <c r="G260" t="inlineStr">
        <is>
          <t>ÖVERKALIX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46284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44899</v>
      </c>
      <c r="E262" s="1" t="n">
        <v>46284</v>
      </c>
      <c r="F262" t="inlineStr">
        <is>
          <t>NORRBOTTENS LÄN</t>
        </is>
      </c>
      <c r="G262" t="inlineStr">
        <is>
          <t>ÖVERKALIX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45709</v>
      </c>
      <c r="E263" s="1" t="n">
        <v>46284</v>
      </c>
      <c r="F263" t="inlineStr">
        <is>
          <t>NORRBOTTENS LÄN</t>
        </is>
      </c>
      <c r="G263" t="inlineStr">
        <is>
          <t>ÖVERKALIX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46284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46284</v>
      </c>
      <c r="F265" t="inlineStr">
        <is>
          <t>NORRBOTTENS LÄN</t>
        </is>
      </c>
      <c r="G265" t="inlineStr">
        <is>
          <t>ÖVERKALIX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64524-2023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45281</v>
      </c>
      <c r="E266" s="1" t="n">
        <v>46284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36797-2023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46284</v>
      </c>
      <c r="F267" t="inlineStr">
        <is>
          <t>NORRBOTTENS LÄN</t>
        </is>
      </c>
      <c r="G267" t="inlineStr">
        <is>
          <t>ÖVERKALIX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46284</v>
      </c>
      <c r="F268" t="inlineStr">
        <is>
          <t>NORRBOTTENS LÄN</t>
        </is>
      </c>
      <c r="G268" t="inlineStr">
        <is>
          <t>ÖVERKALIX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46284</v>
      </c>
      <c r="F269" t="inlineStr">
        <is>
          <t>NORRBOTTENS LÄN</t>
        </is>
      </c>
      <c r="G269" t="inlineStr">
        <is>
          <t>ÖVERKALIX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46284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22.7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46284</v>
      </c>
      <c r="F271" t="inlineStr">
        <is>
          <t>NORRBOTTENS LÄN</t>
        </is>
      </c>
      <c r="G271" t="inlineStr">
        <is>
          <t>ÖVERKALIX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46284</v>
      </c>
      <c r="F272" t="inlineStr">
        <is>
          <t>NORRBOTTENS LÄN</t>
        </is>
      </c>
      <c r="G272" t="inlineStr">
        <is>
          <t>ÖVERKALIX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46284</v>
      </c>
      <c r="F273" t="inlineStr">
        <is>
          <t>NORRBOTTENS LÄN</t>
        </is>
      </c>
      <c r="G273" t="inlineStr">
        <is>
          <t>ÖVERKALIX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46284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46284</v>
      </c>
      <c r="F275" t="inlineStr">
        <is>
          <t>NORRBOTTENS LÄN</t>
        </is>
      </c>
      <c r="G275" t="inlineStr">
        <is>
          <t>ÖVERKALIX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46284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72623-2021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44546</v>
      </c>
      <c r="E277" s="1" t="n">
        <v>46284</v>
      </c>
      <c r="F277" t="inlineStr">
        <is>
          <t>NORRBOTTENS LÄN</t>
        </is>
      </c>
      <c r="G277" t="inlineStr">
        <is>
          <t>ÖVERKALIX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46284</v>
      </c>
      <c r="F278" t="inlineStr">
        <is>
          <t>NORRBOTTENS LÄN</t>
        </is>
      </c>
      <c r="G278" t="inlineStr">
        <is>
          <t>ÖVERKALIX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46284</v>
      </c>
      <c r="F279" t="inlineStr">
        <is>
          <t>NORRBOTTENS LÄN</t>
        </is>
      </c>
      <c r="G279" t="inlineStr">
        <is>
          <t>ÖVERKALIX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46284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46284</v>
      </c>
      <c r="F281" t="inlineStr">
        <is>
          <t>NORRBOTTENS LÄN</t>
        </is>
      </c>
      <c r="G281" t="inlineStr">
        <is>
          <t>ÖVERKALIX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46284</v>
      </c>
      <c r="F282" t="inlineStr">
        <is>
          <t>NORRBOTTENS LÄN</t>
        </is>
      </c>
      <c r="G282" t="inlineStr">
        <is>
          <t>ÖVERKALIX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45712</v>
      </c>
      <c r="E283" s="1" t="n">
        <v>46284</v>
      </c>
      <c r="F283" t="inlineStr">
        <is>
          <t>NORRBOTTENS LÄN</t>
        </is>
      </c>
      <c r="G283" t="inlineStr">
        <is>
          <t>ÖVERKALIX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45513</v>
      </c>
      <c r="E284" s="1" t="n">
        <v>46284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46284</v>
      </c>
      <c r="F285" t="inlineStr">
        <is>
          <t>NORRBOTTENS LÄN</t>
        </is>
      </c>
      <c r="G285" t="inlineStr">
        <is>
          <t>ÖVERKALIX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46284</v>
      </c>
      <c r="F286" t="inlineStr">
        <is>
          <t>NORRBOTTENS LÄN</t>
        </is>
      </c>
      <c r="G286" t="inlineStr">
        <is>
          <t>ÖVERKALIX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46175</v>
      </c>
      <c r="E287" s="1" t="n">
        <v>46284</v>
      </c>
      <c r="F287" t="inlineStr">
        <is>
          <t>NORRBOTTENS LÄN</t>
        </is>
      </c>
      <c r="G287" t="inlineStr">
        <is>
          <t>ÖVERKALIX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46284</v>
      </c>
      <c r="F288" t="inlineStr">
        <is>
          <t>NORRBOTTENS LÄN</t>
        </is>
      </c>
      <c r="G288" t="inlineStr">
        <is>
          <t>ÖVERKALIX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46284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45604</v>
      </c>
      <c r="E290" s="1" t="n">
        <v>46284</v>
      </c>
      <c r="F290" t="inlineStr">
        <is>
          <t>NORRBOTTENS LÄN</t>
        </is>
      </c>
      <c r="G290" t="inlineStr">
        <is>
          <t>ÖVERKALIX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46284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44938</v>
      </c>
      <c r="E292" s="1" t="n">
        <v>46284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46284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46284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46284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46284</v>
      </c>
      <c r="F296" t="inlineStr">
        <is>
          <t>NORRBOTTENS LÄN</t>
        </is>
      </c>
      <c r="G296" t="inlineStr">
        <is>
          <t>ÖVERKALIX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46284</v>
      </c>
      <c r="F297" t="inlineStr">
        <is>
          <t>NORRBOTTENS LÄN</t>
        </is>
      </c>
      <c r="G297" t="inlineStr">
        <is>
          <t>ÖVERKALIX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46284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46284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46284</v>
      </c>
      <c r="F300" t="inlineStr">
        <is>
          <t>NORRBOTTENS LÄN</t>
        </is>
      </c>
      <c r="G300" t="inlineStr">
        <is>
          <t>ÖVERKALIX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46076</v>
      </c>
      <c r="E301" s="1" t="n">
        <v>46284</v>
      </c>
      <c r="F301" t="inlineStr">
        <is>
          <t>NORRBOTTENS LÄN</t>
        </is>
      </c>
      <c r="G301" t="inlineStr">
        <is>
          <t>ÖVERKALIX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46284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13.8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46284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46284</v>
      </c>
      <c r="F304" t="inlineStr">
        <is>
          <t>NORRBOTTENS LÄN</t>
        </is>
      </c>
      <c r="G304" t="inlineStr">
        <is>
          <t>ÖVERKALIX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46080</v>
      </c>
      <c r="E305" s="1" t="n">
        <v>46284</v>
      </c>
      <c r="F305" t="inlineStr">
        <is>
          <t>NORRBOTTENS LÄN</t>
        </is>
      </c>
      <c r="G305" t="inlineStr">
        <is>
          <t>ÖVERKALIX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28343-2025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46284</v>
      </c>
      <c r="F306" t="inlineStr">
        <is>
          <t>NORRBOTTENS LÄN</t>
        </is>
      </c>
      <c r="G306" t="inlineStr">
        <is>
          <t>ÖVERKALIX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46284</v>
      </c>
      <c r="F307" t="inlineStr">
        <is>
          <t>NORRBOTTENS LÄN</t>
        </is>
      </c>
      <c r="G307" t="inlineStr">
        <is>
          <t>ÖVERKALIX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46284</v>
      </c>
      <c r="F308" t="inlineStr">
        <is>
          <t>NORRBOTTENS LÄN</t>
        </is>
      </c>
      <c r="G308" t="inlineStr">
        <is>
          <t>ÖVERKALIX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46284</v>
      </c>
      <c r="F309" t="inlineStr">
        <is>
          <t>NORRBOTTENS LÄN</t>
        </is>
      </c>
      <c r="G309" t="inlineStr">
        <is>
          <t>ÖVERKALIX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46284</v>
      </c>
      <c r="F310" t="inlineStr">
        <is>
          <t>NORRBOTTENS LÄN</t>
        </is>
      </c>
      <c r="G310" t="inlineStr">
        <is>
          <t>ÖVERKALIX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46284</v>
      </c>
      <c r="F311" t="inlineStr">
        <is>
          <t>NORRBOTTENS LÄN</t>
        </is>
      </c>
      <c r="G311" t="inlineStr">
        <is>
          <t>ÖVERKALIX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46284</v>
      </c>
      <c r="F312" t="inlineStr">
        <is>
          <t>NORRBOTTENS LÄN</t>
        </is>
      </c>
      <c r="G312" t="inlineStr">
        <is>
          <t>ÖVERKALIX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46284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46187</v>
      </c>
      <c r="E314" s="1" t="n">
        <v>46284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46284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46284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45518</v>
      </c>
      <c r="E317" s="1" t="n">
        <v>46284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46284</v>
      </c>
      <c r="F318" t="inlineStr">
        <is>
          <t>NORRBOTTENS LÄN</t>
        </is>
      </c>
      <c r="G318" t="inlineStr">
        <is>
          <t>ÖVERKALIX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45699</v>
      </c>
      <c r="E319" s="1" t="n">
        <v>46284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28.8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46284</v>
      </c>
      <c r="F320" t="inlineStr">
        <is>
          <t>NORRBOTTENS LÄN</t>
        </is>
      </c>
      <c r="G320" t="inlineStr">
        <is>
          <t>ÖVERKALIX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46284</v>
      </c>
      <c r="F321" t="inlineStr">
        <is>
          <t>NORRBOTTENS LÄN</t>
        </is>
      </c>
      <c r="G321" t="inlineStr">
        <is>
          <t>ÖVERKALIX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46284</v>
      </c>
      <c r="F322" t="inlineStr">
        <is>
          <t>NORRBOTTENS LÄN</t>
        </is>
      </c>
      <c r="G322" t="inlineStr">
        <is>
          <t>ÖVERKALIX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45334</v>
      </c>
      <c r="E323" s="1" t="n">
        <v>46284</v>
      </c>
      <c r="F323" t="inlineStr">
        <is>
          <t>NORRBOTTENS LÄN</t>
        </is>
      </c>
      <c r="G323" t="inlineStr">
        <is>
          <t>ÖVERKALIX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46284</v>
      </c>
      <c r="F324" t="inlineStr">
        <is>
          <t>NORRBOTTENS LÄN</t>
        </is>
      </c>
      <c r="G324" t="inlineStr">
        <is>
          <t>ÖVERKALIX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46284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28210-2026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46196</v>
      </c>
      <c r="E326" s="1" t="n">
        <v>46284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46284</v>
      </c>
      <c r="F327" t="inlineStr">
        <is>
          <t>NORRBOTTENS LÄN</t>
        </is>
      </c>
      <c r="G327" t="inlineStr">
        <is>
          <t>ÖVERKALIX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45699</v>
      </c>
      <c r="E328" s="1" t="n">
        <v>46284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46284</v>
      </c>
      <c r="F329" t="inlineStr">
        <is>
          <t>NORRBOTTENS LÄN</t>
        </is>
      </c>
      <c r="G329" t="inlineStr">
        <is>
          <t>ÖVERKALIX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46284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22.8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45321</v>
      </c>
      <c r="E331" s="1" t="n">
        <v>46284</v>
      </c>
      <c r="F331" t="inlineStr">
        <is>
          <t>NORRBOTTENS LÄN</t>
        </is>
      </c>
      <c r="G331" t="inlineStr">
        <is>
          <t>ÖVERKALIX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46284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46284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46284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46284</v>
      </c>
      <c r="F335" t="inlineStr">
        <is>
          <t>NORRBOTTENS LÄN</t>
        </is>
      </c>
      <c r="G335" t="inlineStr">
        <is>
          <t>ÖVERKALIX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72212-2021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46284</v>
      </c>
      <c r="F336" t="inlineStr">
        <is>
          <t>NORRBOTTENS LÄN</t>
        </is>
      </c>
      <c r="G336" t="inlineStr">
        <is>
          <t>ÖVERKALIX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46284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46284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46284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46284</v>
      </c>
      <c r="F340" t="inlineStr">
        <is>
          <t>NORRBOTTENS LÄN</t>
        </is>
      </c>
      <c r="G340" t="inlineStr">
        <is>
          <t>ÖVERKALIX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46284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46284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45436</v>
      </c>
      <c r="E343" s="1" t="n">
        <v>46284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29.9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46284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46244</v>
      </c>
      <c r="E345" s="1" t="n">
        <v>46284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46284</v>
      </c>
      <c r="F346" t="inlineStr">
        <is>
          <t>NORRBOTTENS LÄN</t>
        </is>
      </c>
      <c r="G346" t="inlineStr">
        <is>
          <t>ÖVERKALIX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45401</v>
      </c>
      <c r="E347" s="1" t="n">
        <v>46284</v>
      </c>
      <c r="F347" t="inlineStr">
        <is>
          <t>NORRBOTTENS LÄN</t>
        </is>
      </c>
      <c r="G347" t="inlineStr">
        <is>
          <t>ÖVERKALIX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46284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46284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46284</v>
      </c>
      <c r="F350" t="inlineStr">
        <is>
          <t>NORRBOTTENS LÄN</t>
        </is>
      </c>
      <c r="G350" t="inlineStr">
        <is>
          <t>ÖVERKALIX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46284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46284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33284-2026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46246</v>
      </c>
      <c r="E353" s="1" t="n">
        <v>46284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46284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46284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44659</v>
      </c>
      <c r="E356" s="1" t="n">
        <v>46284</v>
      </c>
      <c r="F356" t="inlineStr">
        <is>
          <t>NORRBOTTENS LÄN</t>
        </is>
      </c>
      <c r="G356" t="inlineStr">
        <is>
          <t>ÖVERKALIX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46284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46247</v>
      </c>
      <c r="E358" s="1" t="n">
        <v>46284</v>
      </c>
      <c r="F358" t="inlineStr">
        <is>
          <t>NORRBOTTENS LÄN</t>
        </is>
      </c>
      <c r="G358" t="inlineStr">
        <is>
          <t>ÖVERKALIX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46284</v>
      </c>
      <c r="F359" t="inlineStr">
        <is>
          <t>NORRBOTTENS LÄN</t>
        </is>
      </c>
      <c r="G359" t="inlineStr">
        <is>
          <t>ÖVERKALIX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46284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45693</v>
      </c>
      <c r="E361" s="1" t="n">
        <v>46284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46284</v>
      </c>
      <c r="F362" t="inlineStr">
        <is>
          <t>NORRBOTTENS LÄN</t>
        </is>
      </c>
      <c r="G362" t="inlineStr">
        <is>
          <t>ÖVERKALIX</t>
        </is>
      </c>
      <c r="I362" t="n">
        <v>22.3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46284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46284</v>
      </c>
      <c r="F364" t="inlineStr">
        <is>
          <t>NORRBOTTENS LÄN</t>
        </is>
      </c>
      <c r="G364" t="inlineStr">
        <is>
          <t>ÖVERKALIX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46284</v>
      </c>
      <c r="F365" t="inlineStr">
        <is>
          <t>NORRBOTTENS LÄN</t>
        </is>
      </c>
      <c r="G365" t="inlineStr">
        <is>
          <t>ÖVERKALIX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46284</v>
      </c>
      <c r="F366" t="inlineStr">
        <is>
          <t>NORRBOTTENS LÄN</t>
        </is>
      </c>
      <c r="G366" t="inlineStr">
        <is>
          <t>ÖVERKALIX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29927-2026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46205</v>
      </c>
      <c r="E367" s="1" t="n">
        <v>46284</v>
      </c>
      <c r="F367" t="inlineStr">
        <is>
          <t>NORRBOTTENS LÄN</t>
        </is>
      </c>
      <c r="G367" t="inlineStr">
        <is>
          <t>ÖVERKALIX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46205</v>
      </c>
      <c r="E368" s="1" t="n">
        <v>46284</v>
      </c>
      <c r="F368" t="inlineStr">
        <is>
          <t>NORRBOTTENS LÄN</t>
        </is>
      </c>
      <c r="G368" t="inlineStr">
        <is>
          <t>ÖVERKALIX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30326-2026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46207</v>
      </c>
      <c r="E369" s="1" t="n">
        <v>46284</v>
      </c>
      <c r="F369" t="inlineStr">
        <is>
          <t>NORRBOTTENS LÄN</t>
        </is>
      </c>
      <c r="G369" t="inlineStr">
        <is>
          <t>ÖVERKALIX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46284</v>
      </c>
      <c r="F370" t="inlineStr">
        <is>
          <t>NORRBOTTENS LÄN</t>
        </is>
      </c>
      <c r="G370" t="inlineStr">
        <is>
          <t>ÖVERKALIX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45744</v>
      </c>
      <c r="E371" s="1" t="n">
        <v>46284</v>
      </c>
      <c r="F371" t="inlineStr">
        <is>
          <t>NORRBOTTENS LÄN</t>
        </is>
      </c>
      <c r="G371" t="inlineStr">
        <is>
          <t>ÖVERKALIX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30328-2026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46207</v>
      </c>
      <c r="E372" s="1" t="n">
        <v>46284</v>
      </c>
      <c r="F372" t="inlineStr">
        <is>
          <t>NORRBOTTENS LÄN</t>
        </is>
      </c>
      <c r="G372" t="inlineStr">
        <is>
          <t>ÖVERKALIX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46284</v>
      </c>
      <c r="F373" t="inlineStr">
        <is>
          <t>NORRBOTTENS LÄN</t>
        </is>
      </c>
      <c r="G373" t="inlineStr">
        <is>
          <t>ÖVERKALIX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46284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30241-2026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46206</v>
      </c>
      <c r="E375" s="1" t="n">
        <v>46284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46284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46284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45631</v>
      </c>
      <c r="E378" s="1" t="n">
        <v>46284</v>
      </c>
      <c r="F378" t="inlineStr">
        <is>
          <t>NORRBOTTENS LÄN</t>
        </is>
      </c>
      <c r="G378" t="inlineStr">
        <is>
          <t>ÖVERKALIX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45771</v>
      </c>
      <c r="E379" s="1" t="n">
        <v>46284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46284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48577-2023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45208</v>
      </c>
      <c r="E381" s="1" t="n">
        <v>46284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46284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46284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46252</v>
      </c>
      <c r="E384" s="1" t="n">
        <v>46284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46284</v>
      </c>
      <c r="F385" t="inlineStr">
        <is>
          <t>NORRBOTTENS LÄN</t>
        </is>
      </c>
      <c r="G385" t="inlineStr">
        <is>
          <t>ÖVERKALIX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46284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46254</v>
      </c>
      <c r="E387" s="1" t="n">
        <v>46284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45153</v>
      </c>
      <c r="E388" s="1" t="n">
        <v>46284</v>
      </c>
      <c r="F388" t="inlineStr">
        <is>
          <t>NORRBOTTENS LÄN</t>
        </is>
      </c>
      <c r="G388" t="inlineStr">
        <is>
          <t>ÖVERKALIX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46284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46284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46284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Övriga statliga verk och myndigheter</t>
        </is>
      </c>
      <c r="I391" t="n">
        <v>38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46284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33.7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46284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46284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45429</v>
      </c>
      <c r="E395" s="1" t="n">
        <v>46284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45593</v>
      </c>
      <c r="E396" s="1" t="n">
        <v>46284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46284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46260</v>
      </c>
      <c r="E398" s="1" t="n">
        <v>46284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46260</v>
      </c>
      <c r="E399" s="1" t="n">
        <v>46284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46260</v>
      </c>
      <c r="E400" s="1" t="n">
        <v>46284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35191-2026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46260</v>
      </c>
      <c r="E401" s="1" t="n">
        <v>46284</v>
      </c>
      <c r="F401" t="inlineStr">
        <is>
          <t>NORRBOTTENS LÄN</t>
        </is>
      </c>
      <c r="G401" t="inlineStr">
        <is>
          <t>ÖVERKALIX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45641</v>
      </c>
      <c r="E402" s="1" t="n">
        <v>46284</v>
      </c>
      <c r="F402" t="inlineStr">
        <is>
          <t>NORRBOTTENS LÄN</t>
        </is>
      </c>
      <c r="G402" t="inlineStr">
        <is>
          <t>ÖVERKALIX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46266</v>
      </c>
      <c r="E403" s="1" t="n">
        <v>46284</v>
      </c>
      <c r="F403" t="inlineStr">
        <is>
          <t>NORRBOTTENS LÄN</t>
        </is>
      </c>
      <c r="G403" t="inlineStr">
        <is>
          <t>ÖVERKALIX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45693</v>
      </c>
      <c r="E404" s="1" t="n">
        <v>46284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46284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46266</v>
      </c>
      <c r="E406" s="1" t="n">
        <v>46284</v>
      </c>
      <c r="F406" t="inlineStr">
        <is>
          <t>NORRBOTTENS LÄN</t>
        </is>
      </c>
      <c r="G406" t="inlineStr">
        <is>
          <t>ÖVERKALIX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46269</v>
      </c>
      <c r="E407" s="1" t="n">
        <v>46284</v>
      </c>
      <c r="F407" t="inlineStr">
        <is>
          <t>NORRBOTTENS LÄN</t>
        </is>
      </c>
      <c r="G407" t="inlineStr">
        <is>
          <t>ÖVERKALIX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46284</v>
      </c>
      <c r="F408" t="inlineStr">
        <is>
          <t>NORRBOTTENS LÄN</t>
        </is>
      </c>
      <c r="G408" t="inlineStr">
        <is>
          <t>ÖVERKALIX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46272</v>
      </c>
      <c r="E409" s="1" t="n">
        <v>46284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20.5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46284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46230</v>
      </c>
      <c r="E411" s="1" t="n">
        <v>46284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45785</v>
      </c>
      <c r="E412" s="1" t="n">
        <v>46284</v>
      </c>
      <c r="F412" t="inlineStr">
        <is>
          <t>NORRBOTTENS LÄN</t>
        </is>
      </c>
      <c r="G412" t="inlineStr">
        <is>
          <t>ÖVERKALIX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46284</v>
      </c>
      <c r="F413" t="inlineStr">
        <is>
          <t>NORRBOTTENS LÄN</t>
        </is>
      </c>
      <c r="G413" t="inlineStr">
        <is>
          <t>ÖVERKALIX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37683-2026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46278</v>
      </c>
      <c r="E414" s="1" t="n">
        <v>46284</v>
      </c>
      <c r="F414" t="inlineStr">
        <is>
          <t>NORRBOTTENS LÄN</t>
        </is>
      </c>
      <c r="G414" t="inlineStr">
        <is>
          <t>ÖVERKALIX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46284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46284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46280</v>
      </c>
      <c r="E417" s="1" t="n">
        <v>46284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46238</v>
      </c>
      <c r="E418" s="1" t="n">
        <v>46284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46284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46284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45793</v>
      </c>
      <c r="E421" s="1" t="n">
        <v>46284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45793</v>
      </c>
      <c r="E422" s="1" t="n">
        <v>46284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45796</v>
      </c>
      <c r="E423" s="1" t="n">
        <v>46284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46284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46284</v>
      </c>
      <c r="F425" t="inlineStr">
        <is>
          <t>NORRBOTTENS LÄN</t>
        </is>
      </c>
      <c r="G425" t="inlineStr">
        <is>
          <t>ÖVERKALIX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45803</v>
      </c>
      <c r="E426" s="1" t="n">
        <v>46284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45377</v>
      </c>
      <c r="E427" s="1" t="n">
        <v>46284</v>
      </c>
      <c r="F427" t="inlineStr">
        <is>
          <t>NORRBOTTENS LÄN</t>
        </is>
      </c>
      <c r="G427" t="inlineStr">
        <is>
          <t>ÖVERKALIX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46284</v>
      </c>
      <c r="F428" t="inlineStr">
        <is>
          <t>NORRBOTTENS LÄN</t>
        </is>
      </c>
      <c r="G428" t="inlineStr">
        <is>
          <t>ÖVERKALIX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46284</v>
      </c>
      <c r="F429" t="inlineStr">
        <is>
          <t>NORRBOTTENS LÄN</t>
        </is>
      </c>
      <c r="G429" t="inlineStr">
        <is>
          <t>ÖVERKALIX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46284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46284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46284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46284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46284</v>
      </c>
      <c r="F434" t="inlineStr">
        <is>
          <t>NORRBOTTENS LÄN</t>
        </is>
      </c>
      <c r="G434" t="inlineStr">
        <is>
          <t>ÖVERKALIX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46284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46284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46284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45819</v>
      </c>
      <c r="E438" s="1" t="n">
        <v>46284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46284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29147-2025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45821</v>
      </c>
      <c r="E440" s="1" t="n">
        <v>46284</v>
      </c>
      <c r="F440" t="inlineStr">
        <is>
          <t>NORRBOTTENS LÄN</t>
        </is>
      </c>
      <c r="G440" t="inlineStr">
        <is>
          <t>ÖVERKALIX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46284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17.2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46284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46284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46284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46284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29532-2025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45825</v>
      </c>
      <c r="E446" s="1" t="n">
        <v>46284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46284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46284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46284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46284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46284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46284</v>
      </c>
      <c r="F452" t="inlineStr">
        <is>
          <t>NORRBOTTENS LÄN</t>
        </is>
      </c>
      <c r="G452" t="inlineStr">
        <is>
          <t>ÖVERKALIX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46284</v>
      </c>
      <c r="F453" t="inlineStr">
        <is>
          <t>NORRBOTTENS LÄN</t>
        </is>
      </c>
      <c r="G453" t="inlineStr">
        <is>
          <t>ÖVERKALIX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31961-2025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46284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46284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31744-2025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45834</v>
      </c>
      <c r="E456" s="1" t="n">
        <v>46284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46284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45838</v>
      </c>
      <c r="E458" s="1" t="n">
        <v>46284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45837</v>
      </c>
      <c r="E459" s="1" t="n">
        <v>46284</v>
      </c>
      <c r="F459" t="inlineStr">
        <is>
          <t>NORRBOTTENS LÄN</t>
        </is>
      </c>
      <c r="G459" t="inlineStr">
        <is>
          <t>ÖVERKALIX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45839</v>
      </c>
      <c r="E460" s="1" t="n">
        <v>46284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46284</v>
      </c>
      <c r="F461" t="inlineStr">
        <is>
          <t>NORRBOTTENS LÄN</t>
        </is>
      </c>
      <c r="G461" t="inlineStr">
        <is>
          <t>ÖVERKALIX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45837</v>
      </c>
      <c r="E462" s="1" t="n">
        <v>46284</v>
      </c>
      <c r="F462" t="inlineStr">
        <is>
          <t>NORRBOTTENS LÄN</t>
        </is>
      </c>
      <c r="G462" t="inlineStr">
        <is>
          <t>ÖVERKALIX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46284</v>
      </c>
      <c r="F463" t="inlineStr">
        <is>
          <t>NORRBOTTENS LÄN</t>
        </is>
      </c>
      <c r="G463" t="inlineStr">
        <is>
          <t>ÖVERKALIX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46284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46284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34128-2025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45845</v>
      </c>
      <c r="E466" s="1" t="n">
        <v>46284</v>
      </c>
      <c r="F466" t="inlineStr">
        <is>
          <t>NORRBOTTENS LÄN</t>
        </is>
      </c>
      <c r="G466" t="inlineStr">
        <is>
          <t>ÖVERKALIX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46284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45869</v>
      </c>
      <c r="E468" s="1" t="n">
        <v>46284</v>
      </c>
      <c r="F468" t="inlineStr">
        <is>
          <t>NORRBOTTENS LÄN</t>
        </is>
      </c>
      <c r="G468" t="inlineStr">
        <is>
          <t>ÖVERKALIX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45870</v>
      </c>
      <c r="E469" s="1" t="n">
        <v>46284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45870</v>
      </c>
      <c r="E470" s="1" t="n">
        <v>46284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45873</v>
      </c>
      <c r="E471" s="1" t="n">
        <v>46284</v>
      </c>
      <c r="F471" t="inlineStr">
        <is>
          <t>NORRBOTTENS LÄN</t>
        </is>
      </c>
      <c r="G471" t="inlineStr">
        <is>
          <t>ÖVERKALIX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45882</v>
      </c>
      <c r="E472" s="1" t="n">
        <v>46284</v>
      </c>
      <c r="F472" t="inlineStr">
        <is>
          <t>NORRBOTTENS LÄN</t>
        </is>
      </c>
      <c r="G472" t="inlineStr">
        <is>
          <t>ÖVERKALIX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46284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13.4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46284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45882</v>
      </c>
      <c r="E475" s="1" t="n">
        <v>46284</v>
      </c>
      <c r="F475" t="inlineStr">
        <is>
          <t>NORRBOTTENS LÄN</t>
        </is>
      </c>
      <c r="G475" t="inlineStr">
        <is>
          <t>ÖVERKALIX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3721-2022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44741</v>
      </c>
      <c r="E476" s="1" t="n">
        <v>46284</v>
      </c>
      <c r="F476" t="inlineStr">
        <is>
          <t>NORRBOTTENS LÄN</t>
        </is>
      </c>
      <c r="G476" t="inlineStr">
        <is>
          <t>ÖVERKALIX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2792-2024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45485</v>
      </c>
      <c r="E477" s="1" t="n">
        <v>46284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2700-2024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45482</v>
      </c>
      <c r="E478" s="1" t="n">
        <v>46284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4734-2024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45607</v>
      </c>
      <c r="E479" s="1" t="n">
        <v>46284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1178-2025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45756</v>
      </c>
      <c r="E480" s="1" t="n">
        <v>46284</v>
      </c>
      <c r="F480" t="inlineStr">
        <is>
          <t>NORRBOTTENS LÄN</t>
        </is>
      </c>
      <c r="G480" t="inlineStr">
        <is>
          <t>ÖVERKALIX</t>
        </is>
      </c>
      <c r="I480" t="n">
        <v>39.9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1667-2025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45800</v>
      </c>
      <c r="E481" s="1" t="n">
        <v>46284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50-2026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46030</v>
      </c>
      <c r="E482" s="1" t="n">
        <v>46284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2026-09-19T02:00:44Z</dcterms:created>
  <dcterms:modified xmlns:dcterms="http://purl.org/dc/terms/" xmlns:xsi="http://www.w3.org/2001/XMLSchema-instance" xsi:type="dcterms:W3CDTF">2026-09-19T02:00:44Z</dcterms:modified>
</cp:coreProperties>
</file>