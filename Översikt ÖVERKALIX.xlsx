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46323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46323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46323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46323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46323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46323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46323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A 44098-2026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46318</v>
      </c>
      <c r="E10" s="1" t="n">
        <v>46323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6.4</v>
      </c>
      <c r="J10" t="n">
        <v>2</v>
      </c>
      <c r="K10" t="n">
        <v>3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8</v>
      </c>
      <c r="U10" t="n">
        <v>8</v>
      </c>
      <c r="V10" s="2" t="inlineStr">
        <is>
          <t>Garnlav
Knärot
Gammelgransskål
Rosenticka
Bollvitmossa
Skogshakmossa
Vedticka
Fläcknycklar</t>
        </is>
      </c>
      <c r="W10">
        <f>HYPERLINK("https://klasma.github.io/Logging_2513/artfynd/A 44098-2026 artfynd.xlsx", "A 44098-2026")</f>
        <v/>
      </c>
      <c r="X10">
        <f>HYPERLINK("https://klasma.github.io/Logging_2513/kartor/A 44098-2026 karta.png", "A 44098-2026")</f>
        <v/>
      </c>
      <c r="Y10">
        <f>HYPERLINK("https://klasma.github.io/Logging_2513/kartor_geotiff/A 44098-2026 georefererad karta.tif", "A 44098-2026")</f>
        <v/>
      </c>
      <c r="Z10">
        <f>HYPERLINK("https://klasma.github.io/Logging_2513/knärot/A 44098-2026 karta knärot.png", "A 44098-2026")</f>
        <v/>
      </c>
      <c r="AA10">
        <f>HYPERLINK("https://klasma.github.io/Logging_2513/klagomål/A 44098-2026 FSC-klagomål.docx", "A 44098-2026")</f>
        <v/>
      </c>
      <c r="AB10">
        <f>HYPERLINK("https://klasma.github.io/Logging_2513/klagomålsmail/A 44098-2026 FSC-klagomål mail.docx", "A 44098-2026")</f>
        <v/>
      </c>
      <c r="AC10">
        <f>HYPERLINK("https://klasma.github.io/Logging_2513/tillsyn/A 44098-2026 tillsynsbegäran.docx", "A 44098-2026")</f>
        <v/>
      </c>
      <c r="AD10">
        <f>HYPERLINK("https://klasma.github.io/Logging_2513/tillsynsmail/A 44098-2026 tillsynsbegäran mail.docx", "A 44098-2026")</f>
        <v/>
      </c>
    </row>
    <row r="11" ht="15" customHeight="1">
      <c r="A11" t="inlineStr">
        <is>
          <t>S 3227-2025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45981</v>
      </c>
      <c r="E11" s="1" t="n">
        <v>46323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3.3</v>
      </c>
      <c r="J11" t="n">
        <v>3</v>
      </c>
      <c r="K11" t="n">
        <v>5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17</v>
      </c>
      <c r="U11" t="n">
        <v>0</v>
      </c>
      <c r="V11" s="2" t="inlineStr">
        <is>
          <t>Garnlav
Gammelgransskål
Lunglav
Bollvitmossa
Korallrot
Lappranunkel
Spindelblomster
Ögonpyrola</t>
        </is>
      </c>
      <c r="W11">
        <f>HYPERLINK("https://klasma.github.io/Logging_2513/artfynd/S 3227-2025 artfynd.xlsx", "S 3227-2025")</f>
        <v/>
      </c>
      <c r="X11">
        <f>HYPERLINK("https://klasma.github.io/Logging_2513/kartor/S 3227-2025 karta.png", "S 3227-2025")</f>
        <v/>
      </c>
      <c r="Y11">
        <f>HYPERLINK("https://klasma.github.io/Logging_2513/kartor_geotiff/S 3227-2025 georefererad karta.tif", "S 3227-2025")</f>
        <v/>
      </c>
      <c r="AA11">
        <f>HYPERLINK("https://klasma.github.io/Logging_2513/klagomål/S 3227-2025 FSC-klagomål.docx", "S 3227-2025")</f>
        <v/>
      </c>
      <c r="AB11">
        <f>HYPERLINK("https://klasma.github.io/Logging_2513/klagomålsmail/S 3227-2025 FSC-klagomål mail.docx", "S 3227-2025")</f>
        <v/>
      </c>
      <c r="AC11">
        <f>HYPERLINK("https://klasma.github.io/Logging_2513/tillsyn/S 3227-2025 tillsynsbegäran.docx", "S 3227-2025")</f>
        <v/>
      </c>
      <c r="AD11">
        <f>HYPERLINK("https://klasma.github.io/Logging_2513/tillsynsmail/S 3227-2025 tillsynsbegäran mail.docx", "S 3227-2025")</f>
        <v/>
      </c>
    </row>
    <row r="12" ht="15" customHeight="1">
      <c r="A12" t="inlineStr">
        <is>
          <t>A 37997-2024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46323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1.9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11</v>
      </c>
      <c r="U12" t="n">
        <v>11</v>
      </c>
      <c r="V12" s="2" t="inlineStr">
        <is>
          <t>Knärot
Gammelgransskål
Kolflarnlav
Lunglav
Motaggsvamp
Spindelblomster
Fläcknycklar</t>
        </is>
      </c>
      <c r="W12">
        <f>HYPERLINK("https://klasma.github.io/Logging_2513/artfynd/A 37997-2024 artfynd.xlsx", "A 37997-2024")</f>
        <v/>
      </c>
      <c r="X12">
        <f>HYPERLINK("https://klasma.github.io/Logging_2513/kartor/A 37997-2024 karta.png", "A 37997-2024")</f>
        <v/>
      </c>
      <c r="Y12">
        <f>HYPERLINK("https://klasma.github.io/Logging_2513/kartor_geotiff/A 37997-2024 georefererad karta.tif", "A 37997-2024")</f>
        <v/>
      </c>
      <c r="Z12">
        <f>HYPERLINK("https://klasma.github.io/Logging_2513/knärot/A 37997-2024 karta knärot.png", "A 37997-2024")</f>
        <v/>
      </c>
      <c r="AA12">
        <f>HYPERLINK("https://klasma.github.io/Logging_2513/klagomål/A 37997-2024 FSC-klagomål.docx", "A 37997-2024")</f>
        <v/>
      </c>
      <c r="AB12">
        <f>HYPERLINK("https://klasma.github.io/Logging_2513/klagomålsmail/A 37997-2024 FSC-klagomål mail.docx", "A 37997-2024")</f>
        <v/>
      </c>
      <c r="AC12">
        <f>HYPERLINK("https://klasma.github.io/Logging_2513/tillsyn/A 37997-2024 tillsynsbegäran.docx", "A 37997-2024")</f>
        <v/>
      </c>
      <c r="AD12">
        <f>HYPERLINK("https://klasma.github.io/Logging_2513/tillsynsmail/A 37997-2024 tillsynsbegäran mail.docx", "A 37997-2024")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46323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46323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46323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31751-2025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45834</v>
      </c>
      <c r="E16" s="1" t="n">
        <v>46323</v>
      </c>
      <c r="F16" t="inlineStr">
        <is>
          <t>NORRBOTTENS LÄN</t>
        </is>
      </c>
      <c r="G16" t="inlineStr">
        <is>
          <t>ÖVERKALIX</t>
        </is>
      </c>
      <c r="I16" t="n">
        <v>0.9</v>
      </c>
      <c r="J16" t="n">
        <v>0</v>
      </c>
      <c r="K16" t="n">
        <v>0</v>
      </c>
      <c r="L16" t="n">
        <v>5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Blå taggsvamp
Orange taggsvamp
Skarp dropptaggsvamp
Tallfingersvamp
Vaxspindling</t>
        </is>
      </c>
      <c r="W16">
        <f>HYPERLINK("https://klasma.github.io/Logging_2513/artfynd/A 31751-2025 artfynd.xlsx", "A 31751-2025")</f>
        <v/>
      </c>
      <c r="X16">
        <f>HYPERLINK("https://klasma.github.io/Logging_2513/kartor/A 31751-2025 karta.png", "A 31751-2025")</f>
        <v/>
      </c>
      <c r="Y16">
        <f>HYPERLINK("https://klasma.github.io/Logging_2513/kartor_geotiff/A 31751-2025 georefererad karta.tif", "A 31751-2025")</f>
        <v/>
      </c>
      <c r="AA16">
        <f>HYPERLINK("https://klasma.github.io/Logging_2513/klagomål/A 31751-2025 FSC-klagomål.docx", "A 31751-2025")</f>
        <v/>
      </c>
      <c r="AB16">
        <f>HYPERLINK("https://klasma.github.io/Logging_2513/klagomålsmail/A 31751-2025 FSC-klagomål mail.docx", "A 31751-2025")</f>
        <v/>
      </c>
      <c r="AC16">
        <f>HYPERLINK("https://klasma.github.io/Logging_2513/tillsyn/A 31751-2025 tillsynsbegäran.docx", "A 31751-2025")</f>
        <v/>
      </c>
      <c r="AD16">
        <f>HYPERLINK("https://klasma.github.io/Logging_2513/tillsynsmail/A 31751-2025 tillsynsbegäran mail.docx", "A 31751-2025")</f>
        <v/>
      </c>
    </row>
    <row r="17" ht="15" customHeight="1">
      <c r="A17" t="inlineStr">
        <is>
          <t>A 1827-2025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46323</v>
      </c>
      <c r="F17" t="inlineStr">
        <is>
          <t>NORRBOTTENS LÄN</t>
        </is>
      </c>
      <c r="G17" t="inlineStr">
        <is>
          <t>ÖVERKALIX</t>
        </is>
      </c>
      <c r="I17" t="n">
        <v>7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Stuplav
Spillkråka
Tjäder</t>
        </is>
      </c>
      <c r="W17">
        <f>HYPERLINK("https://klasma.github.io/Logging_2513/artfynd/A 1827-2025 artfynd.xlsx", "A 1827-2025")</f>
        <v/>
      </c>
      <c r="X17">
        <f>HYPERLINK("https://klasma.github.io/Logging_2513/kartor/A 1827-2025 karta.png", "A 1827-2025")</f>
        <v/>
      </c>
      <c r="Y17">
        <f>HYPERLINK("https://klasma.github.io/Logging_2513/kartor_geotiff/A 1827-2025 georefererad karta.tif", "A 1827-2025")</f>
        <v/>
      </c>
      <c r="AA17">
        <f>HYPERLINK("https://klasma.github.io/Logging_2513/klagomål/A 1827-2025 FSC-klagomål.docx", "A 1827-2025")</f>
        <v/>
      </c>
      <c r="AB17">
        <f>HYPERLINK("https://klasma.github.io/Logging_2513/klagomålsmail/A 1827-2025 FSC-klagomål mail.docx", "A 1827-2025")</f>
        <v/>
      </c>
      <c r="AC17">
        <f>HYPERLINK("https://klasma.github.io/Logging_2513/tillsyn/A 1827-2025 tillsynsbegäran.docx", "A 1827-2025")</f>
        <v/>
      </c>
      <c r="AD17">
        <f>HYPERLINK("https://klasma.github.io/Logging_2513/tillsynsmail/A 1827-2025 tillsynsbegäran mail.docx", "A 1827-2025")</f>
        <v/>
      </c>
      <c r="AE17">
        <f>HYPERLINK("https://klasma.github.io/Logging_2513/fåglar/A 1827-2025 prioriterade fågelarter.docx", "A 1827-2025")</f>
        <v/>
      </c>
    </row>
    <row r="18" ht="15" customHeight="1">
      <c r="A18" t="inlineStr">
        <is>
          <t>S 440-2023</t>
        </is>
      </c>
      <c r="B18" t="inlineStr">
        <is>
          <t>samrådsanmälan</t>
        </is>
      </c>
      <c r="C18" t="inlineStr">
        <is>
          <t>Skogsgödsling</t>
        </is>
      </c>
      <c r="D18" s="1" t="n">
        <v>44960</v>
      </c>
      <c r="E18" s="1" t="n">
        <v>46323</v>
      </c>
      <c r="F18" t="inlineStr">
        <is>
          <t>NORRBOTTENS LÄN</t>
        </is>
      </c>
      <c r="G18" t="inlineStr">
        <is>
          <t>ÖVERKALIX</t>
        </is>
      </c>
      <c r="H18" t="inlineStr">
        <is>
          <t>SCA</t>
        </is>
      </c>
      <c r="I18" t="n">
        <v>164.8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Älg
Järpe
Spillkråka
Tallbit</t>
        </is>
      </c>
      <c r="W18">
        <f>HYPERLINK("https://klasma.github.io/Logging_2513/artfynd/S 440-2023 artfynd.xlsx", "S 440-2023")</f>
        <v/>
      </c>
      <c r="X18">
        <f>HYPERLINK("https://klasma.github.io/Logging_2513/kartor/S 440-2023 karta.png", "S 440-2023")</f>
        <v/>
      </c>
      <c r="Y18">
        <f>HYPERLINK("https://klasma.github.io/Logging_2513/kartor_geotiff/S 440-2023 georefererad karta.tif", "S 440-2023")</f>
        <v/>
      </c>
      <c r="AA18">
        <f>HYPERLINK("https://klasma.github.io/Logging_2513/klagomål/S 440-2023 FSC-klagomål.docx", "S 440-2023")</f>
        <v/>
      </c>
      <c r="AB18">
        <f>HYPERLINK("https://klasma.github.io/Logging_2513/klagomålsmail/S 440-2023 FSC-klagomål mail.docx", "S 440-2023")</f>
        <v/>
      </c>
      <c r="AC18">
        <f>HYPERLINK("https://klasma.github.io/Logging_2513/tillsyn/S 440-2023 tillsynsbegäran.docx", "S 440-2023")</f>
        <v/>
      </c>
      <c r="AD18">
        <f>HYPERLINK("https://klasma.github.io/Logging_2513/tillsynsmail/S 440-2023 tillsynsbegäran mail.docx", "S 440-2023")</f>
        <v/>
      </c>
      <c r="AE18">
        <f>HYPERLINK("https://klasma.github.io/Logging_2513/fåglar/S 440-2023 prioriterade fågelarter.docx", "S 440-2023")</f>
        <v/>
      </c>
    </row>
    <row r="19" ht="15" customHeight="1">
      <c r="A19" t="inlineStr">
        <is>
          <t>S 2267-2025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45874</v>
      </c>
      <c r="E19" s="1" t="n">
        <v>46323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1.7</v>
      </c>
      <c r="J19" t="n">
        <v>1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4</v>
      </c>
      <c r="U19" t="n">
        <v>0</v>
      </c>
      <c r="V19" s="2" t="inlineStr">
        <is>
          <t>Djupsvart brunbagge
Tornseglare
Rosenticka
Ullticka</t>
        </is>
      </c>
      <c r="W19">
        <f>HYPERLINK("https://klasma.github.io/Logging_2513/artfynd/S 2267-2025 artfynd.xlsx", "S 2267-2025")</f>
        <v/>
      </c>
      <c r="X19">
        <f>HYPERLINK("https://klasma.github.io/Logging_2513/kartor/S 2267-2025 karta.png", "S 2267-2025")</f>
        <v/>
      </c>
      <c r="Y19">
        <f>HYPERLINK("https://klasma.github.io/Logging_2513/kartor_geotiff/S 2267-2025 georefererad karta.tif", "S 2267-2025")</f>
        <v/>
      </c>
      <c r="AA19">
        <f>HYPERLINK("https://klasma.github.io/Logging_2513/klagomål/S 2267-2025 FSC-klagomål.docx", "S 2267-2025")</f>
        <v/>
      </c>
      <c r="AB19">
        <f>HYPERLINK("https://klasma.github.io/Logging_2513/klagomålsmail/S 2267-2025 FSC-klagomål mail.docx", "S 2267-2025")</f>
        <v/>
      </c>
      <c r="AC19">
        <f>HYPERLINK("https://klasma.github.io/Logging_2513/tillsyn/S 2267-2025 tillsynsbegäran.docx", "S 2267-2025")</f>
        <v/>
      </c>
      <c r="AD19">
        <f>HYPERLINK("https://klasma.github.io/Logging_2513/tillsynsmail/S 2267-2025 tillsynsbegäran mail.docx", "S 2267-2025")</f>
        <v/>
      </c>
      <c r="AE19">
        <f>HYPERLINK("https://klasma.github.io/Logging_2513/fåglar/S 2267-2025 prioriterade fågelarter.docx", "S 2267-2025")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46323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46323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46323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46323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17802-2025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46323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Hökuggla
Älg
Tjäder</t>
        </is>
      </c>
      <c r="W25">
        <f>HYPERLINK("https://klasma.github.io/Logging_2513/artfynd/A 17802-2025 artfynd.xlsx", "A 17802-2025")</f>
        <v/>
      </c>
      <c r="X25">
        <f>HYPERLINK("https://klasma.github.io/Logging_2513/kartor/A 17802-2025 karta.png", "A 17802-2025")</f>
        <v/>
      </c>
      <c r="Y25">
        <f>HYPERLINK("https://klasma.github.io/Logging_2513/kartor_geotiff/A 17802-2025 georefererad karta.tif", "A 17802-2025")</f>
        <v/>
      </c>
      <c r="AA25">
        <f>HYPERLINK("https://klasma.github.io/Logging_2513/klagomål/A 17802-2025 FSC-klagomål.docx", "A 17802-2025")</f>
        <v/>
      </c>
      <c r="AB25">
        <f>HYPERLINK("https://klasma.github.io/Logging_2513/klagomålsmail/A 17802-2025 FSC-klagomål mail.docx", "A 17802-2025")</f>
        <v/>
      </c>
      <c r="AC25">
        <f>HYPERLINK("https://klasma.github.io/Logging_2513/tillsyn/A 17802-2025 tillsynsbegäran.docx", "A 17802-2025")</f>
        <v/>
      </c>
      <c r="AD25">
        <f>HYPERLINK("https://klasma.github.io/Logging_2513/tillsynsmail/A 17802-2025 tillsynsbegäran mail.docx", "A 17802-2025")</f>
        <v/>
      </c>
      <c r="AE25">
        <f>HYPERLINK("https://klasma.github.io/Logging_2513/fåglar/A 17802-2025 prioriterade fågelarter.docx", "A 17802-2025")</f>
        <v/>
      </c>
    </row>
    <row r="26" ht="15" customHeight="1">
      <c r="A26" t="inlineStr">
        <is>
          <t>A 34842-2026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46258</v>
      </c>
      <c r="E26" s="1" t="n">
        <v>46323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12.1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Talltaggsvamp
Plattlummer</t>
        </is>
      </c>
      <c r="W26">
        <f>HYPERLINK("https://klasma.github.io/Logging_2513/artfynd/A 34842-2026 artfynd.xlsx", "A 34842-2026")</f>
        <v/>
      </c>
      <c r="X26">
        <f>HYPERLINK("https://klasma.github.io/Logging_2513/kartor/A 34842-2026 karta.png", "A 34842-2026")</f>
        <v/>
      </c>
      <c r="Y26">
        <f>HYPERLINK("https://klasma.github.io/Logging_2513/kartor_geotiff/A 34842-2026 georefererad karta.tif", "A 34842-2026")</f>
        <v/>
      </c>
      <c r="AA26">
        <f>HYPERLINK("https://klasma.github.io/Logging_2513/klagomål/A 34842-2026 FSC-klagomål.docx", "A 34842-2026")</f>
        <v/>
      </c>
      <c r="AB26">
        <f>HYPERLINK("https://klasma.github.io/Logging_2513/klagomålsmail/A 34842-2026 FSC-klagomål mail.docx", "A 34842-2026")</f>
        <v/>
      </c>
      <c r="AC26">
        <f>HYPERLINK("https://klasma.github.io/Logging_2513/tillsyn/A 34842-2026 tillsynsbegäran.docx", "A 34842-2026")</f>
        <v/>
      </c>
      <c r="AD26">
        <f>HYPERLINK("https://klasma.github.io/Logging_2513/tillsynsmail/A 34842-2026 tillsynsbegäran mail.docx", "A 34842-2026")</f>
        <v/>
      </c>
    </row>
    <row r="27" ht="15" customHeight="1">
      <c r="A27" t="inlineStr">
        <is>
          <t>A 30525-2025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45831</v>
      </c>
      <c r="E27" s="1" t="n">
        <v>46323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5.3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Gammelgransskål
Bollvitmossa
Järpe</t>
        </is>
      </c>
      <c r="W27">
        <f>HYPERLINK("https://klasma.github.io/Logging_2513/artfynd/A 30525-2025 artfynd.xlsx", "A 30525-2025")</f>
        <v/>
      </c>
      <c r="X27">
        <f>HYPERLINK("https://klasma.github.io/Logging_2513/kartor/A 30525-2025 karta.png", "A 30525-2025")</f>
        <v/>
      </c>
      <c r="Y27">
        <f>HYPERLINK("https://klasma.github.io/Logging_2513/kartor_geotiff/A 30525-2025 georefererad karta.tif", "A 30525-2025")</f>
        <v/>
      </c>
      <c r="AA27">
        <f>HYPERLINK("https://klasma.github.io/Logging_2513/klagomål/A 30525-2025 FSC-klagomål.docx", "A 30525-2025")</f>
        <v/>
      </c>
      <c r="AB27">
        <f>HYPERLINK("https://klasma.github.io/Logging_2513/klagomålsmail/A 30525-2025 FSC-klagomål mail.docx", "A 30525-2025")</f>
        <v/>
      </c>
      <c r="AC27">
        <f>HYPERLINK("https://klasma.github.io/Logging_2513/tillsyn/A 30525-2025 tillsynsbegäran.docx", "A 30525-2025")</f>
        <v/>
      </c>
      <c r="AD27">
        <f>HYPERLINK("https://klasma.github.io/Logging_2513/tillsynsmail/A 30525-2025 tillsynsbegäran mail.docx", "A 30525-2025")</f>
        <v/>
      </c>
      <c r="AE27">
        <f>HYPERLINK("https://klasma.github.io/Logging_2513/fåglar/A 30525-2025 prioriterade fågelarter.docx", "A 30525-2025")</f>
        <v/>
      </c>
    </row>
    <row r="28" ht="15" customHeight="1">
      <c r="A28" t="inlineStr">
        <is>
          <t>A 25544-2026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46177</v>
      </c>
      <c r="E28" s="1" t="n">
        <v>46323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Tallgråticka
Blå taggsvamp
Skarp dropptaggsvamp</t>
        </is>
      </c>
      <c r="W28">
        <f>HYPERLINK("https://klasma.github.io/Logging_2513/artfynd/A 25544-2026 artfynd.xlsx", "A 25544-2026")</f>
        <v/>
      </c>
      <c r="X28">
        <f>HYPERLINK("https://klasma.github.io/Logging_2513/kartor/A 25544-2026 karta.png", "A 25544-2026")</f>
        <v/>
      </c>
      <c r="Y28">
        <f>HYPERLINK("https://klasma.github.io/Logging_2513/kartor_geotiff/A 25544-2026 georefererad karta.tif", "A 25544-2026")</f>
        <v/>
      </c>
      <c r="AA28">
        <f>HYPERLINK("https://klasma.github.io/Logging_2513/klagomål/A 25544-2026 FSC-klagomål.docx", "A 25544-2026")</f>
        <v/>
      </c>
      <c r="AB28">
        <f>HYPERLINK("https://klasma.github.io/Logging_2513/klagomålsmail/A 25544-2026 FSC-klagomål mail.docx", "A 25544-2026")</f>
        <v/>
      </c>
      <c r="AC28">
        <f>HYPERLINK("https://klasma.github.io/Logging_2513/tillsyn/A 25544-2026 tillsynsbegäran.docx", "A 25544-2026")</f>
        <v/>
      </c>
      <c r="AD28">
        <f>HYPERLINK("https://klasma.github.io/Logging_2513/tillsynsmail/A 25544-2026 tillsynsbegäran mail.docx", "A 25544-2026")</f>
        <v/>
      </c>
    </row>
    <row r="29" ht="15" customHeight="1">
      <c r="A29" t="inlineStr">
        <is>
          <t>A 25551-2026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46177</v>
      </c>
      <c r="E29" s="1" t="n">
        <v>46323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Goliatmusseron
Blå taggsvamp
Orange taggsvamp</t>
        </is>
      </c>
      <c r="W29">
        <f>HYPERLINK("https://klasma.github.io/Logging_2513/artfynd/A 25551-2026 artfynd.xlsx", "A 25551-2026")</f>
        <v/>
      </c>
      <c r="X29">
        <f>HYPERLINK("https://klasma.github.io/Logging_2513/kartor/A 25551-2026 karta.png", "A 25551-2026")</f>
        <v/>
      </c>
      <c r="Y29">
        <f>HYPERLINK("https://klasma.github.io/Logging_2513/kartor_geotiff/A 25551-2026 georefererad karta.tif", "A 25551-2026")</f>
        <v/>
      </c>
      <c r="AA29">
        <f>HYPERLINK("https://klasma.github.io/Logging_2513/klagomål/A 25551-2026 FSC-klagomål.docx", "A 25551-2026")</f>
        <v/>
      </c>
      <c r="AB29">
        <f>HYPERLINK("https://klasma.github.io/Logging_2513/klagomålsmail/A 25551-2026 FSC-klagomål mail.docx", "A 25551-2026")</f>
        <v/>
      </c>
      <c r="AC29">
        <f>HYPERLINK("https://klasma.github.io/Logging_2513/tillsyn/A 25551-2026 tillsynsbegäran.docx", "A 25551-2026")</f>
        <v/>
      </c>
      <c r="AD29">
        <f>HYPERLINK("https://klasma.github.io/Logging_2513/tillsynsmail/A 25551-2026 tillsynsbegäran mail.docx", "A 25551-2026")</f>
        <v/>
      </c>
    </row>
    <row r="30" ht="15" customHeight="1">
      <c r="A30" t="inlineStr">
        <is>
          <t>A 13467-2022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46323</v>
      </c>
      <c r="F30" t="inlineStr">
        <is>
          <t>NORRBOTTENS LÄN</t>
        </is>
      </c>
      <c r="G30" t="inlineStr">
        <is>
          <t>ÖVERKALIX</t>
        </is>
      </c>
      <c r="I30" t="n">
        <v>6.8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Jorduggla
Järpe
Revlummer</t>
        </is>
      </c>
      <c r="W30">
        <f>HYPERLINK("https://klasma.github.io/Logging_2513/artfynd/A 13467-2022 artfynd.xlsx", "A 13467-2022")</f>
        <v/>
      </c>
      <c r="X30">
        <f>HYPERLINK("https://klasma.github.io/Logging_2513/kartor/A 13467-2022 karta.png", "A 13467-2022")</f>
        <v/>
      </c>
      <c r="Y30">
        <f>HYPERLINK("https://klasma.github.io/Logging_2513/kartor_geotiff/A 13467-2022 georefererad karta.tif", "A 13467-2022")</f>
        <v/>
      </c>
      <c r="AA30">
        <f>HYPERLINK("https://klasma.github.io/Logging_2513/klagomål/A 13467-2022 FSC-klagomål.docx", "A 13467-2022")</f>
        <v/>
      </c>
      <c r="AB30">
        <f>HYPERLINK("https://klasma.github.io/Logging_2513/klagomålsmail/A 13467-2022 FSC-klagomål mail.docx", "A 13467-2022")</f>
        <v/>
      </c>
      <c r="AC30">
        <f>HYPERLINK("https://klasma.github.io/Logging_2513/tillsyn/A 13467-2022 tillsynsbegäran.docx", "A 13467-2022")</f>
        <v/>
      </c>
      <c r="AD30">
        <f>HYPERLINK("https://klasma.github.io/Logging_2513/tillsynsmail/A 13467-2022 tillsynsbegäran mail.docx", "A 13467-2022")</f>
        <v/>
      </c>
      <c r="AE30">
        <f>HYPERLINK("https://klasma.github.io/Logging_2513/fåglar/A 13467-2022 prioriterade fågelarter.docx", "A 13467-2022")</f>
        <v/>
      </c>
    </row>
    <row r="31" ht="15" customHeight="1">
      <c r="A31" t="inlineStr">
        <is>
          <t>A 5797-2022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46323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Skarp dropptaggsvamp
Violmussling</t>
        </is>
      </c>
      <c r="W31">
        <f>HYPERLINK("https://klasma.github.io/Logging_2513/artfynd/A 5797-2022 artfynd.xlsx", "A 5797-2022")</f>
        <v/>
      </c>
      <c r="X31">
        <f>HYPERLINK("https://klasma.github.io/Logging_2513/kartor/A 5797-2022 karta.png", "A 5797-2022")</f>
        <v/>
      </c>
      <c r="Y31">
        <f>HYPERLINK("https://klasma.github.io/Logging_2513/kartor_geotiff/A 5797-2022 georefererad karta.tif", "A 5797-2022")</f>
        <v/>
      </c>
      <c r="AA31">
        <f>HYPERLINK("https://klasma.github.io/Logging_2513/klagomål/A 5797-2022 FSC-klagomål.docx", "A 5797-2022")</f>
        <v/>
      </c>
      <c r="AB31">
        <f>HYPERLINK("https://klasma.github.io/Logging_2513/klagomålsmail/A 5797-2022 FSC-klagomål mail.docx", "A 5797-2022")</f>
        <v/>
      </c>
      <c r="AC31">
        <f>HYPERLINK("https://klasma.github.io/Logging_2513/tillsyn/A 5797-2022 tillsynsbegäran.docx", "A 5797-2022")</f>
        <v/>
      </c>
      <c r="AD31">
        <f>HYPERLINK("https://klasma.github.io/Logging_2513/tillsynsmail/A 5797-2022 tillsynsbegäran mail.docx", "A 5797-2022")</f>
        <v/>
      </c>
    </row>
    <row r="32" ht="15" customHeight="1">
      <c r="A32" t="inlineStr">
        <is>
          <t>A 50691-2024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46323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4.2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Vedticka</t>
        </is>
      </c>
      <c r="W32">
        <f>HYPERLINK("https://klasma.github.io/Logging_2513/artfynd/A 50691-2024 artfynd.xlsx", "A 50691-2024")</f>
        <v/>
      </c>
      <c r="X32">
        <f>HYPERLINK("https://klasma.github.io/Logging_2513/kartor/A 50691-2024 karta.png", "A 50691-2024")</f>
        <v/>
      </c>
      <c r="Y32">
        <f>HYPERLINK("https://klasma.github.io/Logging_2513/kartor_geotiff/A 50691-2024 georefererad karta.tif", "A 50691-2024")</f>
        <v/>
      </c>
      <c r="AA32">
        <f>HYPERLINK("https://klasma.github.io/Logging_2513/klagomål/A 50691-2024 FSC-klagomål.docx", "A 50691-2024")</f>
        <v/>
      </c>
      <c r="AB32">
        <f>HYPERLINK("https://klasma.github.io/Logging_2513/klagomålsmail/A 50691-2024 FSC-klagomål mail.docx", "A 50691-2024")</f>
        <v/>
      </c>
      <c r="AC32">
        <f>HYPERLINK("https://klasma.github.io/Logging_2513/tillsyn/A 50691-2024 tillsynsbegäran.docx", "A 50691-2024")</f>
        <v/>
      </c>
      <c r="AD32">
        <f>HYPERLINK("https://klasma.github.io/Logging_2513/tillsynsmail/A 50691-2024 tillsynsbegäran mail.docx", "A 50691-2024")</f>
        <v/>
      </c>
    </row>
    <row r="33" ht="15" customHeight="1">
      <c r="A33" t="inlineStr">
        <is>
          <t>A 36378-2024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46323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Lunglav
Fläcknycklar</t>
        </is>
      </c>
      <c r="W33">
        <f>HYPERLINK("https://klasma.github.io/Logging_2513/artfynd/A 36378-2024 artfynd.xlsx", "A 36378-2024")</f>
        <v/>
      </c>
      <c r="X33">
        <f>HYPERLINK("https://klasma.github.io/Logging_2513/kartor/A 36378-2024 karta.png", "A 36378-2024")</f>
        <v/>
      </c>
      <c r="Y33">
        <f>HYPERLINK("https://klasma.github.io/Logging_2513/kartor_geotiff/A 36378-2024 georefererad karta.tif", "A 36378-2024")</f>
        <v/>
      </c>
      <c r="AA33">
        <f>HYPERLINK("https://klasma.github.io/Logging_2513/klagomål/A 36378-2024 FSC-klagomål.docx", "A 36378-2024")</f>
        <v/>
      </c>
      <c r="AB33">
        <f>HYPERLINK("https://klasma.github.io/Logging_2513/klagomålsmail/A 36378-2024 FSC-klagomål mail.docx", "A 36378-2024")</f>
        <v/>
      </c>
      <c r="AC33">
        <f>HYPERLINK("https://klasma.github.io/Logging_2513/tillsyn/A 36378-2024 tillsynsbegäran.docx", "A 36378-2024")</f>
        <v/>
      </c>
      <c r="AD33">
        <f>HYPERLINK("https://klasma.github.io/Logging_2513/tillsynsmail/A 36378-2024 tillsynsbegäran mail.docx", "A 36378-2024")</f>
        <v/>
      </c>
    </row>
    <row r="34" ht="15" customHeight="1">
      <c r="A34" t="inlineStr">
        <is>
          <t>A 36381-2024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45534</v>
      </c>
      <c r="E34" s="1" t="n">
        <v>46323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26.7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Gammelgransskål
Orre</t>
        </is>
      </c>
      <c r="W34">
        <f>HYPERLINK("https://klasma.github.io/Logging_2513/artfynd/A 36381-2024 artfynd.xlsx", "A 36381-2024")</f>
        <v/>
      </c>
      <c r="X34">
        <f>HYPERLINK("https://klasma.github.io/Logging_2513/kartor/A 36381-2024 karta.png", "A 36381-2024")</f>
        <v/>
      </c>
      <c r="Y34">
        <f>HYPERLINK("https://klasma.github.io/Logging_2513/kartor_geotiff/A 36381-2024 georefererad karta.tif", "A 36381-2024")</f>
        <v/>
      </c>
      <c r="AA34">
        <f>HYPERLINK("https://klasma.github.io/Logging_2513/klagomål/A 36381-2024 FSC-klagomål.docx", "A 36381-2024")</f>
        <v/>
      </c>
      <c r="AB34">
        <f>HYPERLINK("https://klasma.github.io/Logging_2513/klagomålsmail/A 36381-2024 FSC-klagomål mail.docx", "A 36381-2024")</f>
        <v/>
      </c>
      <c r="AC34">
        <f>HYPERLINK("https://klasma.github.io/Logging_2513/tillsyn/A 36381-2024 tillsynsbegäran.docx", "A 36381-2024")</f>
        <v/>
      </c>
      <c r="AD34">
        <f>HYPERLINK("https://klasma.github.io/Logging_2513/tillsynsmail/A 36381-2024 tillsynsbegäran mail.docx", "A 36381-2024")</f>
        <v/>
      </c>
      <c r="AE34">
        <f>HYPERLINK("https://klasma.github.io/Logging_2513/fåglar/A 36381-2024 prioriterade fågelarter.docx", "A 36381-2024")</f>
        <v/>
      </c>
    </row>
    <row r="35" ht="15" customHeight="1">
      <c r="A35" t="inlineStr">
        <is>
          <t>A 40706-2023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46323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7.1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Dropptaggsvamp</t>
        </is>
      </c>
      <c r="W35">
        <f>HYPERLINK("https://klasma.github.io/Logging_2513/artfynd/A 40706-2023 artfynd.xlsx", "A 40706-2023")</f>
        <v/>
      </c>
      <c r="X35">
        <f>HYPERLINK("https://klasma.github.io/Logging_2513/kartor/A 40706-2023 karta.png", "A 40706-2023")</f>
        <v/>
      </c>
      <c r="Y35">
        <f>HYPERLINK("https://klasma.github.io/Logging_2513/kartor_geotiff/A 40706-2023 georefererad karta.tif", "A 40706-2023")</f>
        <v/>
      </c>
      <c r="Z35">
        <f>HYPERLINK("https://klasma.github.io/Logging_2513/knärot/A 40706-2023 karta knärot.png", "A 40706-2023")</f>
        <v/>
      </c>
      <c r="AA35">
        <f>HYPERLINK("https://klasma.github.io/Logging_2513/klagomål/A 40706-2023 FSC-klagomål.docx", "A 40706-2023")</f>
        <v/>
      </c>
      <c r="AB35">
        <f>HYPERLINK("https://klasma.github.io/Logging_2513/klagomålsmail/A 40706-2023 FSC-klagomål mail.docx", "A 40706-2023")</f>
        <v/>
      </c>
      <c r="AC35">
        <f>HYPERLINK("https://klasma.github.io/Logging_2513/tillsyn/A 40706-2023 tillsynsbegäran.docx", "A 40706-2023")</f>
        <v/>
      </c>
      <c r="AD35">
        <f>HYPERLINK("https://klasma.github.io/Logging_2513/tillsynsmail/A 40706-2023 tillsynsbegäran mail.docx", "A 40706-2023")</f>
        <v/>
      </c>
    </row>
    <row r="36" ht="15" customHeight="1">
      <c r="A36" t="inlineStr">
        <is>
          <t>A 40116-2025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46323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29.7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5</v>
      </c>
      <c r="U36" t="n">
        <v>3</v>
      </c>
      <c r="V36" s="2" t="inlineStr">
        <is>
          <t>Lunglav
Skrovellav</t>
        </is>
      </c>
      <c r="W36">
        <f>HYPERLINK("https://klasma.github.io/Logging_2513/artfynd/A 40116-2025 artfynd.xlsx", "A 40116-2025")</f>
        <v/>
      </c>
      <c r="X36">
        <f>HYPERLINK("https://klasma.github.io/Logging_2513/kartor/A 40116-2025 karta.png", "A 40116-2025")</f>
        <v/>
      </c>
      <c r="Y36">
        <f>HYPERLINK("https://klasma.github.io/Logging_2513/kartor_geotiff/A 40116-2025 georefererad karta.tif", "A 40116-2025")</f>
        <v/>
      </c>
      <c r="AA36">
        <f>HYPERLINK("https://klasma.github.io/Logging_2513/klagomål/A 40116-2025 FSC-klagomål.docx", "A 40116-2025")</f>
        <v/>
      </c>
      <c r="AB36">
        <f>HYPERLINK("https://klasma.github.io/Logging_2513/klagomålsmail/A 40116-2025 FSC-klagomål mail.docx", "A 40116-2025")</f>
        <v/>
      </c>
      <c r="AC36">
        <f>HYPERLINK("https://klasma.github.io/Logging_2513/tillsyn/A 40116-2025 tillsynsbegäran.docx", "A 40116-2025")</f>
        <v/>
      </c>
      <c r="AD36">
        <f>HYPERLINK("https://klasma.github.io/Logging_2513/tillsynsmail/A 40116-2025 tillsynsbegäran mail.docx", "A 40116-2025")</f>
        <v/>
      </c>
    </row>
    <row r="37" ht="15" customHeight="1">
      <c r="A37" t="inlineStr">
        <is>
          <t>A 42285-2025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45904</v>
      </c>
      <c r="E37" s="1" t="n">
        <v>46323</v>
      </c>
      <c r="F37" t="inlineStr">
        <is>
          <t>NORRBOTTENS LÄN</t>
        </is>
      </c>
      <c r="G37" t="inlineStr">
        <is>
          <t>ÖVERKALIX</t>
        </is>
      </c>
      <c r="I37" t="n">
        <v>0.3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Kungsfågel
Vanlig padda</t>
        </is>
      </c>
      <c r="W37">
        <f>HYPERLINK("https://klasma.github.io/Logging_2513/artfynd/A 42285-2025 artfynd.xlsx", "A 42285-2025")</f>
        <v/>
      </c>
      <c r="X37">
        <f>HYPERLINK("https://klasma.github.io/Logging_2513/kartor/A 42285-2025 karta.png", "A 42285-2025")</f>
        <v/>
      </c>
      <c r="Y37">
        <f>HYPERLINK("https://klasma.github.io/Logging_2513/kartor_geotiff/A 42285-2025 georefererad karta.tif", "A 42285-2025")</f>
        <v/>
      </c>
      <c r="AA37">
        <f>HYPERLINK("https://klasma.github.io/Logging_2513/klagomål/A 42285-2025 FSC-klagomål.docx", "A 42285-2025")</f>
        <v/>
      </c>
      <c r="AB37">
        <f>HYPERLINK("https://klasma.github.io/Logging_2513/klagomålsmail/A 42285-2025 FSC-klagomål mail.docx", "A 42285-2025")</f>
        <v/>
      </c>
      <c r="AC37">
        <f>HYPERLINK("https://klasma.github.io/Logging_2513/tillsyn/A 42285-2025 tillsynsbegäran.docx", "A 42285-2025")</f>
        <v/>
      </c>
      <c r="AD37">
        <f>HYPERLINK("https://klasma.github.io/Logging_2513/tillsynsmail/A 42285-2025 tillsynsbegäran mail.docx", "A 42285-2025")</f>
        <v/>
      </c>
    </row>
    <row r="38" ht="15" customHeight="1">
      <c r="A38" t="inlineStr">
        <is>
          <t>A 7477-2023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46323</v>
      </c>
      <c r="F38" t="inlineStr">
        <is>
          <t>NORRBOTTENS LÄN</t>
        </is>
      </c>
      <c r="G38" t="inlineStr">
        <is>
          <t>ÖVERKALIX</t>
        </is>
      </c>
      <c r="I38" t="n">
        <v>2.6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Motaggsvamp
Skarp dropptaggsvamp</t>
        </is>
      </c>
      <c r="W38">
        <f>HYPERLINK("https://klasma.github.io/Logging_2513/artfynd/A 7477-2023 artfynd.xlsx", "A 7477-2023")</f>
        <v/>
      </c>
      <c r="X38">
        <f>HYPERLINK("https://klasma.github.io/Logging_2513/kartor/A 7477-2023 karta.png", "A 7477-2023")</f>
        <v/>
      </c>
      <c r="Y38">
        <f>HYPERLINK("https://klasma.github.io/Logging_2513/kartor_geotiff/A 7477-2023 georefererad karta.tif", "A 7477-2023")</f>
        <v/>
      </c>
      <c r="AA38">
        <f>HYPERLINK("https://klasma.github.io/Logging_2513/klagomål/A 7477-2023 FSC-klagomål.docx", "A 7477-2023")</f>
        <v/>
      </c>
      <c r="AB38">
        <f>HYPERLINK("https://klasma.github.io/Logging_2513/klagomålsmail/A 7477-2023 FSC-klagomål mail.docx", "A 7477-2023")</f>
        <v/>
      </c>
      <c r="AC38">
        <f>HYPERLINK("https://klasma.github.io/Logging_2513/tillsyn/A 7477-2023 tillsynsbegäran.docx", "A 7477-2023")</f>
        <v/>
      </c>
      <c r="AD38">
        <f>HYPERLINK("https://klasma.github.io/Logging_2513/tillsynsmail/A 7477-2023 tillsynsbegäran mail.docx", "A 7477-2023")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46323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46323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36803-2023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45154</v>
      </c>
      <c r="E41" s="1" t="n">
        <v>46323</v>
      </c>
      <c r="F41" t="inlineStr">
        <is>
          <t>NORRBOTTENS LÄN</t>
        </is>
      </c>
      <c r="G41" t="inlineStr">
        <is>
          <t>ÖVERKALIX</t>
        </is>
      </c>
      <c r="I41" t="n">
        <v>3.1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6</v>
      </c>
      <c r="U41" t="n">
        <v>6</v>
      </c>
      <c r="V41" s="2" t="inlineStr">
        <is>
          <t>Knärot
Revlummer</t>
        </is>
      </c>
      <c r="W41">
        <f>HYPERLINK("https://klasma.github.io/Logging_2513/artfynd/A 36803-2023 artfynd.xlsx", "A 36803-2023")</f>
        <v/>
      </c>
      <c r="X41">
        <f>HYPERLINK("https://klasma.github.io/Logging_2513/kartor/A 36803-2023 karta.png", "A 36803-2023")</f>
        <v/>
      </c>
      <c r="Y41">
        <f>HYPERLINK("https://klasma.github.io/Logging_2513/kartor_geotiff/A 36803-2023 georefererad karta.tif", "A 36803-2023")</f>
        <v/>
      </c>
      <c r="Z41">
        <f>HYPERLINK("https://klasma.github.io/Logging_2513/knärot/A 36803-2023 karta knärot.png", "A 36803-2023")</f>
        <v/>
      </c>
      <c r="AA41">
        <f>HYPERLINK("https://klasma.github.io/Logging_2513/klagomål/A 36803-2023 FSC-klagomål.docx", "A 36803-2023")</f>
        <v/>
      </c>
      <c r="AB41">
        <f>HYPERLINK("https://klasma.github.io/Logging_2513/klagomålsmail/A 36803-2023 FSC-klagomål mail.docx", "A 36803-2023")</f>
        <v/>
      </c>
      <c r="AC41">
        <f>HYPERLINK("https://klasma.github.io/Logging_2513/tillsyn/A 36803-2023 tillsynsbegäran.docx", "A 36803-2023")</f>
        <v/>
      </c>
      <c r="AD41">
        <f>HYPERLINK("https://klasma.github.io/Logging_2513/tillsynsmail/A 36803-2023 tillsynsbegäran mail.docx", "A 36803-2023")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46323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46323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26452-2025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45807</v>
      </c>
      <c r="E44" s="1" t="n">
        <v>46323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Gammelgransskål
Stor aspticka</t>
        </is>
      </c>
      <c r="W44">
        <f>HYPERLINK("https://klasma.github.io/Logging_2513/artfynd/A 26452-2025 artfynd.xlsx", "A 26452-2025")</f>
        <v/>
      </c>
      <c r="X44">
        <f>HYPERLINK("https://klasma.github.io/Logging_2513/kartor/A 26452-2025 karta.png", "A 26452-2025")</f>
        <v/>
      </c>
      <c r="Y44">
        <f>HYPERLINK("https://klasma.github.io/Logging_2513/kartor_geotiff/A 26452-2025 georefererad karta.tif", "A 26452-2025")</f>
        <v/>
      </c>
      <c r="AA44">
        <f>HYPERLINK("https://klasma.github.io/Logging_2513/klagomål/A 26452-2025 FSC-klagomål.docx", "A 26452-2025")</f>
        <v/>
      </c>
      <c r="AB44">
        <f>HYPERLINK("https://klasma.github.io/Logging_2513/klagomålsmail/A 26452-2025 FSC-klagomål mail.docx", "A 26452-2025")</f>
        <v/>
      </c>
      <c r="AC44">
        <f>HYPERLINK("https://klasma.github.io/Logging_2513/tillsyn/A 26452-2025 tillsynsbegäran.docx", "A 26452-2025")</f>
        <v/>
      </c>
      <c r="AD44">
        <f>HYPERLINK("https://klasma.github.io/Logging_2513/tillsynsmail/A 26452-2025 tillsynsbegäran mail.docx", "A 26452-2025")</f>
        <v/>
      </c>
    </row>
    <row r="45" ht="15" customHeight="1">
      <c r="A45" t="inlineStr">
        <is>
          <t>A 41591-2026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46302</v>
      </c>
      <c r="E45" s="1" t="n">
        <v>46323</v>
      </c>
      <c r="F45" t="inlineStr">
        <is>
          <t>NORRBOTTENS LÄN</t>
        </is>
      </c>
      <c r="G45" t="inlineStr">
        <is>
          <t>ÖVERKALIX</t>
        </is>
      </c>
      <c r="H45" t="inlineStr">
        <is>
          <t>SCA</t>
        </is>
      </c>
      <c r="I45" t="n">
        <v>1.8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Lunglav
Tallticka</t>
        </is>
      </c>
      <c r="W45">
        <f>HYPERLINK("https://klasma.github.io/Logging_2513/artfynd/A 41591-2026 artfynd.xlsx", "A 41591-2026")</f>
        <v/>
      </c>
      <c r="X45">
        <f>HYPERLINK("https://klasma.github.io/Logging_2513/kartor/A 41591-2026 karta.png", "A 41591-2026")</f>
        <v/>
      </c>
      <c r="Y45">
        <f>HYPERLINK("https://klasma.github.io/Logging_2513/kartor_geotiff/A 41591-2026 georefererad karta.tif", "A 41591-2026")</f>
        <v/>
      </c>
      <c r="AA45">
        <f>HYPERLINK("https://klasma.github.io/Logging_2513/klagomål/A 41591-2026 FSC-klagomål.docx", "A 41591-2026")</f>
        <v/>
      </c>
      <c r="AB45">
        <f>HYPERLINK("https://klasma.github.io/Logging_2513/klagomålsmail/A 41591-2026 FSC-klagomål mail.docx", "A 41591-2026")</f>
        <v/>
      </c>
      <c r="AC45">
        <f>HYPERLINK("https://klasma.github.io/Logging_2513/tillsyn/A 41591-2026 tillsynsbegäran.docx", "A 41591-2026")</f>
        <v/>
      </c>
      <c r="AD45">
        <f>HYPERLINK("https://klasma.github.io/Logging_2513/tillsynsmail/A 41591-2026 tillsynsbegäran mail.docx", "A 41591-2026")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46323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47680-2024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46323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2.1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Blå taggsvamp
Skarp dropptaggsvamp</t>
        </is>
      </c>
      <c r="W47">
        <f>HYPERLINK("https://klasma.github.io/Logging_2513/artfynd/A 47680-2024 artfynd.xlsx", "A 47680-2024")</f>
        <v/>
      </c>
      <c r="X47">
        <f>HYPERLINK("https://klasma.github.io/Logging_2513/kartor/A 47680-2024 karta.png", "A 47680-2024")</f>
        <v/>
      </c>
      <c r="Y47">
        <f>HYPERLINK("https://klasma.github.io/Logging_2513/kartor_geotiff/A 47680-2024 georefererad karta.tif", "A 47680-2024")</f>
        <v/>
      </c>
      <c r="AA47">
        <f>HYPERLINK("https://klasma.github.io/Logging_2513/klagomål/A 47680-2024 FSC-klagomål.docx", "A 47680-2024")</f>
        <v/>
      </c>
      <c r="AB47">
        <f>HYPERLINK("https://klasma.github.io/Logging_2513/klagomålsmail/A 47680-2024 FSC-klagomål mail.docx", "A 47680-2024")</f>
        <v/>
      </c>
      <c r="AC47">
        <f>HYPERLINK("https://klasma.github.io/Logging_2513/tillsyn/A 47680-2024 tillsynsbegäran.docx", "A 47680-2024")</f>
        <v/>
      </c>
      <c r="AD47">
        <f>HYPERLINK("https://klasma.github.io/Logging_2513/tillsynsmail/A 47680-2024 tillsynsbegäran mail.docx", "A 47680-2024")</f>
        <v/>
      </c>
    </row>
    <row r="48" ht="15" customHeight="1">
      <c r="A48" t="inlineStr">
        <is>
          <t>A 34921-2025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46323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16.4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Lunglav</t>
        </is>
      </c>
      <c r="W48">
        <f>HYPERLINK("https://klasma.github.io/Logging_2513/artfynd/A 34921-2025 artfynd.xlsx", "A 34921-2025")</f>
        <v/>
      </c>
      <c r="X48">
        <f>HYPERLINK("https://klasma.github.io/Logging_2513/kartor/A 34921-2025 karta.png", "A 34921-2025")</f>
        <v/>
      </c>
      <c r="Y48">
        <f>HYPERLINK("https://klasma.github.io/Logging_2513/kartor_geotiff/A 34921-2025 georefererad karta.tif", "A 34921-2025")</f>
        <v/>
      </c>
      <c r="AA48">
        <f>HYPERLINK("https://klasma.github.io/Logging_2513/klagomål/A 34921-2025 FSC-klagomål.docx", "A 34921-2025")</f>
        <v/>
      </c>
      <c r="AB48">
        <f>HYPERLINK("https://klasma.github.io/Logging_2513/klagomålsmail/A 34921-2025 FSC-klagomål mail.docx", "A 34921-2025")</f>
        <v/>
      </c>
      <c r="AC48">
        <f>HYPERLINK("https://klasma.github.io/Logging_2513/tillsyn/A 34921-2025 tillsynsbegäran.docx", "A 34921-2025")</f>
        <v/>
      </c>
      <c r="AD48">
        <f>HYPERLINK("https://klasma.github.io/Logging_2513/tillsynsmail/A 34921-2025 tillsynsbegäran mail.docx", "A 34921-2025")</f>
        <v/>
      </c>
    </row>
    <row r="49" ht="15" customHeight="1">
      <c r="A49" t="inlineStr">
        <is>
          <t>A 28029-2026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46323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1.4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 taggsvamp
Bollvitmossa</t>
        </is>
      </c>
      <c r="W49">
        <f>HYPERLINK("https://klasma.github.io/Logging_2513/artfynd/A 28029-2026 artfynd.xlsx", "A 28029-2026")</f>
        <v/>
      </c>
      <c r="X49">
        <f>HYPERLINK("https://klasma.github.io/Logging_2513/kartor/A 28029-2026 karta.png", "A 28029-2026")</f>
        <v/>
      </c>
      <c r="Y49">
        <f>HYPERLINK("https://klasma.github.io/Logging_2513/kartor_geotiff/A 28029-2026 georefererad karta.tif", "A 28029-2026")</f>
        <v/>
      </c>
      <c r="AA49">
        <f>HYPERLINK("https://klasma.github.io/Logging_2513/klagomål/A 28029-2026 FSC-klagomål.docx", "A 28029-2026")</f>
        <v/>
      </c>
      <c r="AB49">
        <f>HYPERLINK("https://klasma.github.io/Logging_2513/klagomålsmail/A 28029-2026 FSC-klagomål mail.docx", "A 28029-2026")</f>
        <v/>
      </c>
      <c r="AC49">
        <f>HYPERLINK("https://klasma.github.io/Logging_2513/tillsyn/A 28029-2026 tillsynsbegäran.docx", "A 28029-2026")</f>
        <v/>
      </c>
      <c r="AD49">
        <f>HYPERLINK("https://klasma.github.io/Logging_2513/tillsynsmail/A 28029-2026 tillsynsbegäran mail.docx", "A 28029-2026")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46323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46323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46323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22977-2022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44717</v>
      </c>
      <c r="E54" s="1" t="n">
        <v>46323</v>
      </c>
      <c r="F54" t="inlineStr">
        <is>
          <t>NORRBOTTENS LÄN</t>
        </is>
      </c>
      <c r="G54" t="inlineStr">
        <is>
          <t>ÖVERKALIX</t>
        </is>
      </c>
      <c r="I54" t="n">
        <v>19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Bivråk</t>
        </is>
      </c>
      <c r="W54">
        <f>HYPERLINK("https://klasma.github.io/Logging_2513/artfynd/A 22977-2022 artfynd.xlsx", "A 22977-2022")</f>
        <v/>
      </c>
      <c r="X54">
        <f>HYPERLINK("https://klasma.github.io/Logging_2513/kartor/A 22977-2022 karta.png", "A 22977-2022")</f>
        <v/>
      </c>
      <c r="Y54">
        <f>HYPERLINK("https://klasma.github.io/Logging_2513/kartor_geotiff/A 22977-2022 georefererad karta.tif", "A 22977-2022")</f>
        <v/>
      </c>
      <c r="AA54">
        <f>HYPERLINK("https://klasma.github.io/Logging_2513/klagomål/A 22977-2022 FSC-klagomål.docx", "A 22977-2022")</f>
        <v/>
      </c>
      <c r="AB54">
        <f>HYPERLINK("https://klasma.github.io/Logging_2513/klagomålsmail/A 22977-2022 FSC-klagomål mail.docx", "A 22977-2022")</f>
        <v/>
      </c>
      <c r="AC54">
        <f>HYPERLINK("https://klasma.github.io/Logging_2513/tillsyn/A 22977-2022 tillsynsbegäran.docx", "A 22977-2022")</f>
        <v/>
      </c>
      <c r="AD54">
        <f>HYPERLINK("https://klasma.github.io/Logging_2513/tillsynsmail/A 22977-2022 tillsynsbegäran mail.docx", "A 22977-2022")</f>
        <v/>
      </c>
      <c r="AE54">
        <f>HYPERLINK("https://klasma.github.io/Logging_2513/fåglar/A 22977-2022 prioriterade fågelarter.docx", "A 22977-2022")</f>
        <v/>
      </c>
    </row>
    <row r="55" ht="15" customHeight="1">
      <c r="A55" t="inlineStr">
        <is>
          <t>A 20949-2026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46142</v>
      </c>
      <c r="E55" s="1" t="n">
        <v>46323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20949-2026 artfynd.xlsx", "A 20949-2026")</f>
        <v/>
      </c>
      <c r="X55">
        <f>HYPERLINK("https://klasma.github.io/Logging_2513/kartor/A 20949-2026 karta.png", "A 20949-2026")</f>
        <v/>
      </c>
      <c r="Y55">
        <f>HYPERLINK("https://klasma.github.io/Logging_2513/kartor_geotiff/A 20949-2026 georefererad karta.tif", "A 20949-2026")</f>
        <v/>
      </c>
      <c r="AA55">
        <f>HYPERLINK("https://klasma.github.io/Logging_2513/klagomål/A 20949-2026 FSC-klagomål.docx", "A 20949-2026")</f>
        <v/>
      </c>
      <c r="AB55">
        <f>HYPERLINK("https://klasma.github.io/Logging_2513/klagomålsmail/A 20949-2026 FSC-klagomål mail.docx", "A 20949-2026")</f>
        <v/>
      </c>
      <c r="AC55">
        <f>HYPERLINK("https://klasma.github.io/Logging_2513/tillsyn/A 20949-2026 tillsynsbegäran.docx", "A 20949-2026")</f>
        <v/>
      </c>
      <c r="AD55">
        <f>HYPERLINK("https://klasma.github.io/Logging_2513/tillsynsmail/A 20949-2026 tillsynsbegäran mail.docx", "A 20949-2026")</f>
        <v/>
      </c>
    </row>
    <row r="56" ht="15" customHeight="1">
      <c r="A56" t="inlineStr">
        <is>
          <t>A 25335-2026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46323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46.9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Lunglav</t>
        </is>
      </c>
      <c r="W56">
        <f>HYPERLINK("https://klasma.github.io/Logging_2513/artfynd/A 25335-2026 artfynd.xlsx", "A 25335-2026")</f>
        <v/>
      </c>
      <c r="X56">
        <f>HYPERLINK("https://klasma.github.io/Logging_2513/kartor/A 25335-2026 karta.png", "A 25335-2026")</f>
        <v/>
      </c>
      <c r="Y56">
        <f>HYPERLINK("https://klasma.github.io/Logging_2513/kartor_geotiff/A 25335-2026 georefererad karta.tif", "A 25335-2026")</f>
        <v/>
      </c>
      <c r="AA56">
        <f>HYPERLINK("https://klasma.github.io/Logging_2513/klagomål/A 25335-2026 FSC-klagomål.docx", "A 25335-2026")</f>
        <v/>
      </c>
      <c r="AB56">
        <f>HYPERLINK("https://klasma.github.io/Logging_2513/klagomålsmail/A 25335-2026 FSC-klagomål mail.docx", "A 25335-2026")</f>
        <v/>
      </c>
      <c r="AC56">
        <f>HYPERLINK("https://klasma.github.io/Logging_2513/tillsyn/A 25335-2026 tillsynsbegäran.docx", "A 25335-2026")</f>
        <v/>
      </c>
      <c r="AD56">
        <f>HYPERLINK("https://klasma.github.io/Logging_2513/tillsynsmail/A 25335-2026 tillsynsbegäran mail.docx", "A 25335-2026")</f>
        <v/>
      </c>
    </row>
    <row r="57" ht="15" customHeight="1">
      <c r="A57" t="inlineStr">
        <is>
          <t>A 31920-2026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46231</v>
      </c>
      <c r="E57" s="1" t="n">
        <v>46323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HYPERLINK("https://klasma.github.io/Logging_2513/artfynd/A 31920-2026 artfynd.xlsx", "A 31920-2026")</f>
        <v/>
      </c>
      <c r="X57">
        <f>HYPERLINK("https://klasma.github.io/Logging_2513/kartor/A 31920-2026 karta.png", "A 31920-2026")</f>
        <v/>
      </c>
      <c r="Y57">
        <f>HYPERLINK("https://klasma.github.io/Logging_2513/kartor_geotiff/A 31920-2026 georefererad karta.tif", "A 31920-2026")</f>
        <v/>
      </c>
      <c r="AA57">
        <f>HYPERLINK("https://klasma.github.io/Logging_2513/klagomål/A 31920-2026 FSC-klagomål.docx", "A 31920-2026")</f>
        <v/>
      </c>
      <c r="AB57">
        <f>HYPERLINK("https://klasma.github.io/Logging_2513/klagomålsmail/A 31920-2026 FSC-klagomål mail.docx", "A 31920-2026")</f>
        <v/>
      </c>
      <c r="AC57">
        <f>HYPERLINK("https://klasma.github.io/Logging_2513/tillsyn/A 31920-2026 tillsynsbegäran.docx", "A 31920-2026")</f>
        <v/>
      </c>
      <c r="AD57">
        <f>HYPERLINK("https://klasma.github.io/Logging_2513/tillsynsmail/A 31920-2026 tillsynsbegäran mail.docx", "A 31920-2026")</f>
        <v/>
      </c>
    </row>
    <row r="58" ht="15" customHeight="1">
      <c r="A58" t="inlineStr">
        <is>
          <t>A 26305-2025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46323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5.2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Luddlav</t>
        </is>
      </c>
      <c r="W58">
        <f>HYPERLINK("https://klasma.github.io/Logging_2513/artfynd/A 26305-2025 artfynd.xlsx", "A 26305-2025")</f>
        <v/>
      </c>
      <c r="X58">
        <f>HYPERLINK("https://klasma.github.io/Logging_2513/kartor/A 26305-2025 karta.png", "A 26305-2025")</f>
        <v/>
      </c>
      <c r="Y58">
        <f>HYPERLINK("https://klasma.github.io/Logging_2513/kartor_geotiff/A 26305-2025 georefererad karta.tif", "A 26305-2025")</f>
        <v/>
      </c>
      <c r="AA58">
        <f>HYPERLINK("https://klasma.github.io/Logging_2513/klagomål/A 26305-2025 FSC-klagomål.docx", "A 26305-2025")</f>
        <v/>
      </c>
      <c r="AB58">
        <f>HYPERLINK("https://klasma.github.io/Logging_2513/klagomålsmail/A 26305-2025 FSC-klagomål mail.docx", "A 26305-2025")</f>
        <v/>
      </c>
      <c r="AC58">
        <f>HYPERLINK("https://klasma.github.io/Logging_2513/tillsyn/A 26305-2025 tillsynsbegäran.docx", "A 26305-2025")</f>
        <v/>
      </c>
      <c r="AD58">
        <f>HYPERLINK("https://klasma.github.io/Logging_2513/tillsynsmail/A 26305-2025 tillsynsbegäran mail.docx", "A 26305-2025")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46323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46323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41569-2026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46301</v>
      </c>
      <c r="E61" s="1" t="n">
        <v>46323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2.8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HYPERLINK("https://klasma.github.io/Logging_2513/artfynd/A 41569-2026 artfynd.xlsx", "A 41569-2026")</f>
        <v/>
      </c>
      <c r="X61">
        <f>HYPERLINK("https://klasma.github.io/Logging_2513/kartor/A 41569-2026 karta.png", "A 41569-2026")</f>
        <v/>
      </c>
      <c r="Y61">
        <f>HYPERLINK("https://klasma.github.io/Logging_2513/kartor_geotiff/A 41569-2026 georefererad karta.tif", "A 41569-2026")</f>
        <v/>
      </c>
      <c r="AA61">
        <f>HYPERLINK("https://klasma.github.io/Logging_2513/klagomål/A 41569-2026 FSC-klagomål.docx", "A 41569-2026")</f>
        <v/>
      </c>
      <c r="AB61">
        <f>HYPERLINK("https://klasma.github.io/Logging_2513/klagomålsmail/A 41569-2026 FSC-klagomål mail.docx", "A 41569-2026")</f>
        <v/>
      </c>
      <c r="AC61">
        <f>HYPERLINK("https://klasma.github.io/Logging_2513/tillsyn/A 41569-2026 tillsynsbegäran.docx", "A 41569-2026")</f>
        <v/>
      </c>
      <c r="AD61">
        <f>HYPERLINK("https://klasma.github.io/Logging_2513/tillsynsmail/A 41569-2026 tillsynsbegäran mail.docx", "A 41569-2026")</f>
        <v/>
      </c>
    </row>
    <row r="62" ht="15" customHeight="1">
      <c r="A62" t="inlineStr">
        <is>
          <t>A 46280-2024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46323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HYPERLINK("https://klasma.github.io/Logging_2513/artfynd/A 46280-2024 artfynd.xlsx", "A 46280-2024")</f>
        <v/>
      </c>
      <c r="X62">
        <f>HYPERLINK("https://klasma.github.io/Logging_2513/kartor/A 46280-2024 karta.png", "A 46280-2024")</f>
        <v/>
      </c>
      <c r="Y62">
        <f>HYPERLINK("https://klasma.github.io/Logging_2513/kartor_geotiff/A 46280-2024 georefererad karta.tif", "A 46280-2024")</f>
        <v/>
      </c>
      <c r="AA62">
        <f>HYPERLINK("https://klasma.github.io/Logging_2513/klagomål/A 46280-2024 FSC-klagomål.docx", "A 46280-2024")</f>
        <v/>
      </c>
      <c r="AB62">
        <f>HYPERLINK("https://klasma.github.io/Logging_2513/klagomålsmail/A 46280-2024 FSC-klagomål mail.docx", "A 46280-2024")</f>
        <v/>
      </c>
      <c r="AC62">
        <f>HYPERLINK("https://klasma.github.io/Logging_2513/tillsyn/A 46280-2024 tillsynsbegäran.docx", "A 46280-2024")</f>
        <v/>
      </c>
      <c r="AD62">
        <f>HYPERLINK("https://klasma.github.io/Logging_2513/tillsynsmail/A 46280-2024 tillsynsbegäran mail.docx", "A 46280-2024")</f>
        <v/>
      </c>
      <c r="AE62">
        <f>HYPERLINK("https://klasma.github.io/Logging_2513/fåglar/A 46280-2024 prioriterade fågelarter.docx", "A 46280-2024")</f>
        <v/>
      </c>
    </row>
    <row r="63" ht="15" customHeight="1">
      <c r="A63" t="inlineStr">
        <is>
          <t>A 46281-2024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46323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 taggsvamp</t>
        </is>
      </c>
      <c r="W63">
        <f>HYPERLINK("https://klasma.github.io/Logging_2513/artfynd/A 46281-2024 artfynd.xlsx", "A 46281-2024")</f>
        <v/>
      </c>
      <c r="X63">
        <f>HYPERLINK("https://klasma.github.io/Logging_2513/kartor/A 46281-2024 karta.png", "A 46281-2024")</f>
        <v/>
      </c>
      <c r="Y63">
        <f>HYPERLINK("https://klasma.github.io/Logging_2513/kartor_geotiff/A 46281-2024 georefererad karta.tif", "A 46281-2024")</f>
        <v/>
      </c>
      <c r="AA63">
        <f>HYPERLINK("https://klasma.github.io/Logging_2513/klagomål/A 46281-2024 FSC-klagomål.docx", "A 46281-2024")</f>
        <v/>
      </c>
      <c r="AB63">
        <f>HYPERLINK("https://klasma.github.io/Logging_2513/klagomålsmail/A 46281-2024 FSC-klagomål mail.docx", "A 46281-2024")</f>
        <v/>
      </c>
      <c r="AC63">
        <f>HYPERLINK("https://klasma.github.io/Logging_2513/tillsyn/A 46281-2024 tillsynsbegäran.docx", "A 46281-2024")</f>
        <v/>
      </c>
      <c r="AD63">
        <f>HYPERLINK("https://klasma.github.io/Logging_2513/tillsynsmail/A 46281-2024 tillsynsbegäran mail.docx", "A 46281-2024")</f>
        <v/>
      </c>
    </row>
    <row r="64" ht="15" customHeight="1">
      <c r="A64" t="inlineStr">
        <is>
          <t>A 27452-2025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46323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HYPERLINK("https://klasma.github.io/Logging_2513/artfynd/A 27452-2025 artfynd.xlsx", "A 27452-2025")</f>
        <v/>
      </c>
      <c r="X64">
        <f>HYPERLINK("https://klasma.github.io/Logging_2513/kartor/A 27452-2025 karta.png", "A 27452-2025")</f>
        <v/>
      </c>
      <c r="Y64">
        <f>HYPERLINK("https://klasma.github.io/Logging_2513/kartor_geotiff/A 27452-2025 georefererad karta.tif", "A 27452-2025")</f>
        <v/>
      </c>
      <c r="AA64">
        <f>HYPERLINK("https://klasma.github.io/Logging_2513/klagomål/A 27452-2025 FSC-klagomål.docx", "A 27452-2025")</f>
        <v/>
      </c>
      <c r="AB64">
        <f>HYPERLINK("https://klasma.github.io/Logging_2513/klagomålsmail/A 27452-2025 FSC-klagomål mail.docx", "A 27452-2025")</f>
        <v/>
      </c>
      <c r="AC64">
        <f>HYPERLINK("https://klasma.github.io/Logging_2513/tillsyn/A 27452-2025 tillsynsbegäran.docx", "A 27452-2025")</f>
        <v/>
      </c>
      <c r="AD64">
        <f>HYPERLINK("https://klasma.github.io/Logging_2513/tillsynsmail/A 27452-2025 tillsynsbegäran mail.docx", "A 27452-2025")</f>
        <v/>
      </c>
      <c r="AE64">
        <f>HYPERLINK("https://klasma.github.io/Logging_2513/fåglar/A 27452-2025 prioriterade fågelarter.docx", "A 27452-2025")</f>
        <v/>
      </c>
    </row>
    <row r="65" ht="15" customHeight="1">
      <c r="A65" t="inlineStr">
        <is>
          <t>A 71902-2021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44539</v>
      </c>
      <c r="E65" s="1" t="n">
        <v>46323</v>
      </c>
      <c r="F65" t="inlineStr">
        <is>
          <t>NORRBOTTENS LÄN</t>
        </is>
      </c>
      <c r="G65" t="inlineStr">
        <is>
          <t>ÖVERKALIX</t>
        </is>
      </c>
      <c r="I65" t="n">
        <v>24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HYPERLINK("https://klasma.github.io/Logging_2513/artfynd/A 71902-2021 artfynd.xlsx", "A 71902-2021")</f>
        <v/>
      </c>
      <c r="X65">
        <f>HYPERLINK("https://klasma.github.io/Logging_2513/kartor/A 71902-2021 karta.png", "A 71902-2021")</f>
        <v/>
      </c>
      <c r="Y65">
        <f>HYPERLINK("https://klasma.github.io/Logging_2513/kartor_geotiff/A 71902-2021 georefererad karta.tif", "A 71902-2021")</f>
        <v/>
      </c>
      <c r="AA65">
        <f>HYPERLINK("https://klasma.github.io/Logging_2513/klagomål/A 71902-2021 FSC-klagomål.docx", "A 71902-2021")</f>
        <v/>
      </c>
      <c r="AB65">
        <f>HYPERLINK("https://klasma.github.io/Logging_2513/klagomålsmail/A 71902-2021 FSC-klagomål mail.docx", "A 71902-2021")</f>
        <v/>
      </c>
      <c r="AC65">
        <f>HYPERLINK("https://klasma.github.io/Logging_2513/tillsyn/A 71902-2021 tillsynsbegäran.docx", "A 71902-2021")</f>
        <v/>
      </c>
      <c r="AD65">
        <f>HYPERLINK("https://klasma.github.io/Logging_2513/tillsynsmail/A 71902-2021 tillsynsbegäran mail.docx", "A 71902-2021")</f>
        <v/>
      </c>
      <c r="AE65">
        <f>HYPERLINK("https://klasma.github.io/Logging_2513/fåglar/A 71902-2021 prioriterade fågelarter.docx", "A 71902-2021")</f>
        <v/>
      </c>
    </row>
    <row r="66" ht="15" customHeight="1">
      <c r="A66" t="inlineStr">
        <is>
          <t>A 35602-2025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45859</v>
      </c>
      <c r="E66" s="1" t="n">
        <v>46323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HYPERLINK("https://klasma.github.io/Logging_2513/artfynd/A 35602-2025 artfynd.xlsx", "A 35602-2025")</f>
        <v/>
      </c>
      <c r="X66">
        <f>HYPERLINK("https://klasma.github.io/Logging_2513/kartor/A 35602-2025 karta.png", "A 35602-2025")</f>
        <v/>
      </c>
      <c r="Y66">
        <f>HYPERLINK("https://klasma.github.io/Logging_2513/kartor_geotiff/A 35602-2025 georefererad karta.tif", "A 35602-2025")</f>
        <v/>
      </c>
      <c r="AA66">
        <f>HYPERLINK("https://klasma.github.io/Logging_2513/klagomål/A 35602-2025 FSC-klagomål.docx", "A 35602-2025")</f>
        <v/>
      </c>
      <c r="AB66">
        <f>HYPERLINK("https://klasma.github.io/Logging_2513/klagomålsmail/A 35602-2025 FSC-klagomål mail.docx", "A 35602-2025")</f>
        <v/>
      </c>
      <c r="AC66">
        <f>HYPERLINK("https://klasma.github.io/Logging_2513/tillsyn/A 35602-2025 tillsynsbegäran.docx", "A 35602-2025")</f>
        <v/>
      </c>
      <c r="AD66">
        <f>HYPERLINK("https://klasma.github.io/Logging_2513/tillsynsmail/A 35602-2025 tillsynsbegäran mail.docx", "A 35602-2025")</f>
        <v/>
      </c>
    </row>
    <row r="67" ht="15" customHeight="1">
      <c r="A67" t="inlineStr">
        <is>
          <t>A 27087-2026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46187</v>
      </c>
      <c r="E67" s="1" t="n">
        <v>46323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5.1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Talltita</t>
        </is>
      </c>
      <c r="W67">
        <f>HYPERLINK("https://klasma.github.io/Logging_2513/artfynd/A 27087-2026 artfynd.xlsx", "A 27087-2026")</f>
        <v/>
      </c>
      <c r="X67">
        <f>HYPERLINK("https://klasma.github.io/Logging_2513/kartor/A 27087-2026 karta.png", "A 27087-2026")</f>
        <v/>
      </c>
      <c r="Y67">
        <f>HYPERLINK("https://klasma.github.io/Logging_2513/kartor_geotiff/A 27087-2026 georefererad karta.tif", "A 27087-2026")</f>
        <v/>
      </c>
      <c r="AA67">
        <f>HYPERLINK("https://klasma.github.io/Logging_2513/klagomål/A 27087-2026 FSC-klagomål.docx", "A 27087-2026")</f>
        <v/>
      </c>
      <c r="AB67">
        <f>HYPERLINK("https://klasma.github.io/Logging_2513/klagomålsmail/A 27087-2026 FSC-klagomål mail.docx", "A 27087-2026")</f>
        <v/>
      </c>
      <c r="AC67">
        <f>HYPERLINK("https://klasma.github.io/Logging_2513/tillsyn/A 27087-2026 tillsynsbegäran.docx", "A 27087-2026")</f>
        <v/>
      </c>
      <c r="AD67">
        <f>HYPERLINK("https://klasma.github.io/Logging_2513/tillsynsmail/A 27087-2026 tillsynsbegäran mail.docx", "A 27087-2026")</f>
        <v/>
      </c>
      <c r="AE67">
        <f>HYPERLINK("https://klasma.github.io/Logging_2513/fåglar/A 27087-2026 prioriterade fågelarter.docx", "A 27087-2026")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46323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46323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46323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46323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46323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46323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46323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46323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46323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46323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46323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46323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46323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46323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46323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46323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46323</v>
      </c>
      <c r="F84" t="inlineStr">
        <is>
          <t>NORRBOTTENS LÄN</t>
        </is>
      </c>
      <c r="G84" t="inlineStr">
        <is>
          <t>ÖVERKALIX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44607</v>
      </c>
      <c r="E85" s="1" t="n">
        <v>46323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46323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46323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46323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46323</v>
      </c>
      <c r="F89" t="inlineStr">
        <is>
          <t>NORRBOTTENS LÄN</t>
        </is>
      </c>
      <c r="G89" t="inlineStr">
        <is>
          <t>ÖVERKALIX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46323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46323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38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46323</v>
      </c>
      <c r="F92" t="inlineStr">
        <is>
          <t>NORRBOTTENS LÄN</t>
        </is>
      </c>
      <c r="G92" t="inlineStr">
        <is>
          <t>ÖVERKALIX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46323</v>
      </c>
      <c r="F93" t="inlineStr">
        <is>
          <t>NORRBOTTENS LÄN</t>
        </is>
      </c>
      <c r="G93" t="inlineStr">
        <is>
          <t>ÖVERKALIX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6916-2022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44602</v>
      </c>
      <c r="E94" s="1" t="n">
        <v>46323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46323</v>
      </c>
      <c r="F95" t="inlineStr">
        <is>
          <t>NORRBOTTENS LÄN</t>
        </is>
      </c>
      <c r="G95" t="inlineStr">
        <is>
          <t>ÖVERKALIX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46323</v>
      </c>
      <c r="F96" t="inlineStr">
        <is>
          <t>NORRBOTTENS LÄN</t>
        </is>
      </c>
      <c r="G96" t="inlineStr">
        <is>
          <t>ÖVERKALIX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46323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46323</v>
      </c>
      <c r="F98" t="inlineStr">
        <is>
          <t>NORRBOTTENS LÄN</t>
        </is>
      </c>
      <c r="G98" t="inlineStr">
        <is>
          <t>ÖVERKALIX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45631</v>
      </c>
      <c r="E99" s="1" t="n">
        <v>46323</v>
      </c>
      <c r="F99" t="inlineStr">
        <is>
          <t>NORRBOTTENS LÄN</t>
        </is>
      </c>
      <c r="G99" t="inlineStr">
        <is>
          <t>ÖVERKALIX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44993</v>
      </c>
      <c r="E100" s="1" t="n">
        <v>46323</v>
      </c>
      <c r="F100" t="inlineStr">
        <is>
          <t>NORRBOTTENS LÄN</t>
        </is>
      </c>
      <c r="G100" t="inlineStr">
        <is>
          <t>ÖVERKALIX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46323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46323</v>
      </c>
      <c r="F102" t="inlineStr">
        <is>
          <t>NORRBOTTENS LÄN</t>
        </is>
      </c>
      <c r="G102" t="inlineStr">
        <is>
          <t>ÖVERKALIX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46323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45231</v>
      </c>
      <c r="E104" s="1" t="n">
        <v>46323</v>
      </c>
      <c r="F104" t="inlineStr">
        <is>
          <t>NORRBOTTENS LÄN</t>
        </is>
      </c>
      <c r="G104" t="inlineStr">
        <is>
          <t>ÖVERKALIX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46323</v>
      </c>
      <c r="F105" t="inlineStr">
        <is>
          <t>NORRBOTTENS LÄN</t>
        </is>
      </c>
      <c r="G105" t="inlineStr">
        <is>
          <t>ÖVERKALIX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46323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46323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46323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45667</v>
      </c>
      <c r="E109" s="1" t="n">
        <v>46323</v>
      </c>
      <c r="F109" t="inlineStr">
        <is>
          <t>NORRBOTTENS LÄN</t>
        </is>
      </c>
      <c r="G109" t="inlineStr">
        <is>
          <t>ÖVERKALIX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46323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SCA</t>
        </is>
      </c>
      <c r="I110" t="n">
        <v>18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46323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46323</v>
      </c>
      <c r="F112" t="inlineStr">
        <is>
          <t>NORRBOTTENS LÄN</t>
        </is>
      </c>
      <c r="G112" t="inlineStr">
        <is>
          <t>ÖVERKALIX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46323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46323</v>
      </c>
      <c r="F114" t="inlineStr">
        <is>
          <t>NORRBOTTENS LÄN</t>
        </is>
      </c>
      <c r="G114" t="inlineStr">
        <is>
          <t>ÖVERKALIX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46323</v>
      </c>
      <c r="F115" t="inlineStr">
        <is>
          <t>NORRBOTTENS LÄN</t>
        </is>
      </c>
      <c r="G115" t="inlineStr">
        <is>
          <t>ÖVERKALIX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46323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28.8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45379</v>
      </c>
      <c r="E117" s="1" t="n">
        <v>46323</v>
      </c>
      <c r="F117" t="inlineStr">
        <is>
          <t>NORRBOTTENS LÄN</t>
        </is>
      </c>
      <c r="G117" t="inlineStr">
        <is>
          <t>ÖVERKALIX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45443</v>
      </c>
      <c r="E118" s="1" t="n">
        <v>46323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45463</v>
      </c>
      <c r="E119" s="1" t="n">
        <v>46323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46323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44886</v>
      </c>
      <c r="E121" s="1" t="n">
        <v>46323</v>
      </c>
      <c r="F121" t="inlineStr">
        <is>
          <t>NORRBOTTENS LÄN</t>
        </is>
      </c>
      <c r="G121" t="inlineStr">
        <is>
          <t>ÖVERKALIX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46323</v>
      </c>
      <c r="F122" t="inlineStr">
        <is>
          <t>NORRBOTTENS LÄN</t>
        </is>
      </c>
      <c r="G122" t="inlineStr">
        <is>
          <t>ÖVERKALIX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46323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46323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46323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48577-2023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45208</v>
      </c>
      <c r="E126" s="1" t="n">
        <v>46323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72809-2021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46323</v>
      </c>
      <c r="F127" t="inlineStr">
        <is>
          <t>NORRBOTTENS LÄN</t>
        </is>
      </c>
      <c r="G127" t="inlineStr">
        <is>
          <t>ÖVERKALIX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45807</v>
      </c>
      <c r="E128" s="1" t="n">
        <v>46323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37.4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46323</v>
      </c>
      <c r="F129" t="inlineStr">
        <is>
          <t>NORRBOTTENS LÄN</t>
        </is>
      </c>
      <c r="G129" t="inlineStr">
        <is>
          <t>ÖVERKALIX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44546</v>
      </c>
      <c r="E130" s="1" t="n">
        <v>46323</v>
      </c>
      <c r="F130" t="inlineStr">
        <is>
          <t>NORRBOTTENS LÄN</t>
        </is>
      </c>
      <c r="G130" t="inlineStr">
        <is>
          <t>ÖVERKALIX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46323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46323</v>
      </c>
      <c r="F132" t="inlineStr">
        <is>
          <t>NORRBOTTENS LÄN</t>
        </is>
      </c>
      <c r="G132" t="inlineStr">
        <is>
          <t>ÖVERKALIX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46323</v>
      </c>
      <c r="F133" t="inlineStr">
        <is>
          <t>NORRBOTTENS LÄN</t>
        </is>
      </c>
      <c r="G133" t="inlineStr">
        <is>
          <t>ÖVERKALIX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46323</v>
      </c>
      <c r="F134" t="inlineStr">
        <is>
          <t>NORRBOTTENS LÄN</t>
        </is>
      </c>
      <c r="G134" t="inlineStr">
        <is>
          <t>ÖVERKALIX</t>
        </is>
      </c>
      <c r="I134" t="n">
        <v>21.7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46323</v>
      </c>
      <c r="F135" t="inlineStr">
        <is>
          <t>NORRBOTTENS LÄN</t>
        </is>
      </c>
      <c r="G135" t="inlineStr">
        <is>
          <t>ÖVERKALIX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46323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46323</v>
      </c>
      <c r="F137" t="inlineStr">
        <is>
          <t>NORRBOTTENS LÄN</t>
        </is>
      </c>
      <c r="G137" t="inlineStr">
        <is>
          <t>ÖVERKALIX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46323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46323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44754-2025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45917</v>
      </c>
      <c r="E140" s="1" t="n">
        <v>46323</v>
      </c>
      <c r="F140" t="inlineStr">
        <is>
          <t>NORRBOTTENS LÄN</t>
        </is>
      </c>
      <c r="G140" t="inlineStr">
        <is>
          <t>ÖVERKALIX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45922</v>
      </c>
      <c r="E141" s="1" t="n">
        <v>46323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46323</v>
      </c>
      <c r="F142" t="inlineStr">
        <is>
          <t>NORRBOTTENS LÄN</t>
        </is>
      </c>
      <c r="G142" t="inlineStr">
        <is>
          <t>ÖVERKALIX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44890</v>
      </c>
      <c r="E143" s="1" t="n">
        <v>46323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44938</v>
      </c>
      <c r="E144" s="1" t="n">
        <v>46323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46323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46323</v>
      </c>
      <c r="F146" t="inlineStr">
        <is>
          <t>NORRBOTTENS LÄN</t>
        </is>
      </c>
      <c r="G146" t="inlineStr">
        <is>
          <t>ÖVERKALIX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46323</v>
      </c>
      <c r="F147" t="inlineStr">
        <is>
          <t>NORRBOTTENS LÄN</t>
        </is>
      </c>
      <c r="G147" t="inlineStr">
        <is>
          <t>ÖVERKALIX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46323</v>
      </c>
      <c r="F148" t="inlineStr">
        <is>
          <t>NORRBOTTENS LÄN</t>
        </is>
      </c>
      <c r="G148" t="inlineStr">
        <is>
          <t>ÖVERKALIX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46323</v>
      </c>
      <c r="F149" t="inlineStr">
        <is>
          <t>NORRBOTTENS LÄN</t>
        </is>
      </c>
      <c r="G149" t="inlineStr">
        <is>
          <t>ÖVERKALIX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46323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46323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29.9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46323</v>
      </c>
      <c r="F152" t="inlineStr">
        <is>
          <t>NORRBOTTENS LÄN</t>
        </is>
      </c>
      <c r="G152" t="inlineStr">
        <is>
          <t>ÖVERKALIX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46323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44966</v>
      </c>
      <c r="E154" s="1" t="n">
        <v>46323</v>
      </c>
      <c r="F154" t="inlineStr">
        <is>
          <t>NORRBOTTENS LÄN</t>
        </is>
      </c>
      <c r="G154" t="inlineStr">
        <is>
          <t>ÖVERKALIX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46323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46323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46323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45518</v>
      </c>
      <c r="E158" s="1" t="n">
        <v>46323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46323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46323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46323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73216-2021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44547</v>
      </c>
      <c r="E162" s="1" t="n">
        <v>46323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45949</v>
      </c>
      <c r="E163" s="1" t="n">
        <v>46323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46323</v>
      </c>
      <c r="F164" t="inlineStr">
        <is>
          <t>NORRBOTTENS LÄN</t>
        </is>
      </c>
      <c r="G164" t="inlineStr">
        <is>
          <t>ÖVERKALIX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45951</v>
      </c>
      <c r="E165" s="1" t="n">
        <v>46323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46323</v>
      </c>
      <c r="F166" t="inlineStr">
        <is>
          <t>NORRBOTTENS LÄN</t>
        </is>
      </c>
      <c r="G166" t="inlineStr">
        <is>
          <t>ÖVERKALIX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52591-2025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45954</v>
      </c>
      <c r="E167" s="1" t="n">
        <v>46323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45513</v>
      </c>
      <c r="E168" s="1" t="n">
        <v>46323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46323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45379</v>
      </c>
      <c r="E170" s="1" t="n">
        <v>46323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46323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9.9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46323</v>
      </c>
      <c r="F172" t="inlineStr">
        <is>
          <t>NORRBOTTENS LÄN</t>
        </is>
      </c>
      <c r="G172" t="inlineStr">
        <is>
          <t>ÖVERKALIX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46323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46323</v>
      </c>
      <c r="F174" t="inlineStr">
        <is>
          <t>NORRBOTTENS LÄN</t>
        </is>
      </c>
      <c r="G174" t="inlineStr">
        <is>
          <t>ÖVERKALIX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46323</v>
      </c>
      <c r="F175" t="inlineStr">
        <is>
          <t>NORRBOTTENS LÄN</t>
        </is>
      </c>
      <c r="G175" t="inlineStr">
        <is>
          <t>ÖVERKALIX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46323</v>
      </c>
      <c r="F176" t="inlineStr">
        <is>
          <t>NORRBOTTENS LÄN</t>
        </is>
      </c>
      <c r="G176" t="inlineStr">
        <is>
          <t>ÖVERKALIX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44950</v>
      </c>
      <c r="E177" s="1" t="n">
        <v>46323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46323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46323</v>
      </c>
      <c r="F179" t="inlineStr">
        <is>
          <t>NORRBOTTENS LÄN</t>
        </is>
      </c>
      <c r="G179" t="inlineStr">
        <is>
          <t>ÖVERKALIX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46323</v>
      </c>
      <c r="F180" t="inlineStr">
        <is>
          <t>NORRBOTTENS LÄN</t>
        </is>
      </c>
      <c r="G180" t="inlineStr">
        <is>
          <t>ÖVERKALIX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46323</v>
      </c>
      <c r="F181" t="inlineStr">
        <is>
          <t>NORRBOTTENS LÄN</t>
        </is>
      </c>
      <c r="G181" t="inlineStr">
        <is>
          <t>ÖVERKALIX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46323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46323</v>
      </c>
      <c r="F183" t="inlineStr">
        <is>
          <t>NORRBOTTENS LÄN</t>
        </is>
      </c>
      <c r="G183" t="inlineStr">
        <is>
          <t>ÖVERKALIX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46323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45133</v>
      </c>
      <c r="E185" s="1" t="n">
        <v>46323</v>
      </c>
      <c r="F185" t="inlineStr">
        <is>
          <t>NORRBOTTENS LÄN</t>
        </is>
      </c>
      <c r="G185" t="inlineStr">
        <is>
          <t>ÖVERKALIX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46323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45429</v>
      </c>
      <c r="E187" s="1" t="n">
        <v>46323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57744-2025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45981</v>
      </c>
      <c r="E188" s="1" t="n">
        <v>46323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47734-2024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45588</v>
      </c>
      <c r="E189" s="1" t="n">
        <v>46323</v>
      </c>
      <c r="F189" t="inlineStr">
        <is>
          <t>NORRBOTTENS LÄN</t>
        </is>
      </c>
      <c r="G189" t="inlineStr">
        <is>
          <t>ÖVERKALIX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46323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46323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46323</v>
      </c>
      <c r="F192" t="inlineStr">
        <is>
          <t>NORRBOTTENS LÄN</t>
        </is>
      </c>
      <c r="G192" t="inlineStr">
        <is>
          <t>ÖVERKALIX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46323</v>
      </c>
      <c r="F193" t="inlineStr">
        <is>
          <t>NORRBOTTENS LÄN</t>
        </is>
      </c>
      <c r="G193" t="inlineStr">
        <is>
          <t>ÖVERKALIX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46323</v>
      </c>
      <c r="F194" t="inlineStr">
        <is>
          <t>NORRBOTTENS LÄN</t>
        </is>
      </c>
      <c r="G194" t="inlineStr">
        <is>
          <t>ÖVERKALIX</t>
        </is>
      </c>
      <c r="I194" t="n">
        <v>16.1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46323</v>
      </c>
      <c r="F195" t="inlineStr">
        <is>
          <t>NORRBOTTENS LÄN</t>
        </is>
      </c>
      <c r="G195" t="inlineStr">
        <is>
          <t>ÖVERKALIX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45785</v>
      </c>
      <c r="E196" s="1" t="n">
        <v>46323</v>
      </c>
      <c r="F196" t="inlineStr">
        <is>
          <t>NORRBOTTENS LÄN</t>
        </is>
      </c>
      <c r="G196" t="inlineStr">
        <is>
          <t>ÖVERKALIX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46323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46323</v>
      </c>
      <c r="F198" t="inlineStr">
        <is>
          <t>NORRBOTTENS LÄN</t>
        </is>
      </c>
      <c r="G198" t="inlineStr">
        <is>
          <t>ÖVERKALIX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46323</v>
      </c>
      <c r="F199" t="inlineStr">
        <is>
          <t>NORRBOTTENS LÄN</t>
        </is>
      </c>
      <c r="G199" t="inlineStr">
        <is>
          <t>ÖVERKALIX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46323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46323</v>
      </c>
      <c r="F201" t="inlineStr">
        <is>
          <t>NORRBOTTENS LÄN</t>
        </is>
      </c>
      <c r="G201" t="inlineStr">
        <is>
          <t>ÖVERKALIX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44595</v>
      </c>
      <c r="E202" s="1" t="n">
        <v>46323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46323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46323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44823</v>
      </c>
      <c r="E205" s="1" t="n">
        <v>46323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46323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45513</v>
      </c>
      <c r="E207" s="1" t="n">
        <v>46323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46323</v>
      </c>
      <c r="F208" t="inlineStr">
        <is>
          <t>NORRBOTTENS LÄN</t>
        </is>
      </c>
      <c r="G208" t="inlineStr">
        <is>
          <t>ÖVERKALIX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46323</v>
      </c>
      <c r="F209" t="inlineStr">
        <is>
          <t>NORRBOTTENS LÄN</t>
        </is>
      </c>
      <c r="G209" t="inlineStr">
        <is>
          <t>ÖVERKALIX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46323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46323</v>
      </c>
      <c r="F211" t="inlineStr">
        <is>
          <t>NORRBOTTENS LÄN</t>
        </is>
      </c>
      <c r="G211" t="inlineStr">
        <is>
          <t>ÖVERKALIX</t>
        </is>
      </c>
      <c r="I211" t="n">
        <v>9.800000000000001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46323</v>
      </c>
      <c r="F212" t="inlineStr">
        <is>
          <t>NORRBOTTENS LÄN</t>
        </is>
      </c>
      <c r="G212" t="inlineStr">
        <is>
          <t>ÖVERKALIX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46323</v>
      </c>
      <c r="F213" t="inlineStr">
        <is>
          <t>NORRBOTTENS LÄN</t>
        </is>
      </c>
      <c r="G213" t="inlineStr">
        <is>
          <t>ÖVERKALIX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45996</v>
      </c>
      <c r="E214" s="1" t="n">
        <v>46323</v>
      </c>
      <c r="F214" t="inlineStr">
        <is>
          <t>NORRBOTTENS LÄN</t>
        </is>
      </c>
      <c r="G214" t="inlineStr">
        <is>
          <t>ÖVERKALIX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46323</v>
      </c>
      <c r="F215" t="inlineStr">
        <is>
          <t>NORRBOTTENS LÄN</t>
        </is>
      </c>
      <c r="G215" t="inlineStr">
        <is>
          <t>ÖVERKALIX</t>
        </is>
      </c>
      <c r="H215" t="inlineStr">
        <is>
          <t>Övriga statliga verk och myndigheter</t>
        </is>
      </c>
      <c r="I215" t="n">
        <v>10.3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46323</v>
      </c>
      <c r="F216" t="inlineStr">
        <is>
          <t>NORRBOTTENS LÄN</t>
        </is>
      </c>
      <c r="G216" t="inlineStr">
        <is>
          <t>ÖVERKALIX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46323</v>
      </c>
      <c r="F217" t="inlineStr">
        <is>
          <t>NORRBOTTENS LÄN</t>
        </is>
      </c>
      <c r="G217" t="inlineStr">
        <is>
          <t>ÖVERKALIX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46323</v>
      </c>
      <c r="F218" t="inlineStr">
        <is>
          <t>NORRBOTTENS LÄN</t>
        </is>
      </c>
      <c r="G218" t="inlineStr">
        <is>
          <t>ÖVERKALIX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63545-2025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46323</v>
      </c>
      <c r="F219" t="inlineStr">
        <is>
          <t>NORRBOTTENS LÄN</t>
        </is>
      </c>
      <c r="G219" t="inlineStr">
        <is>
          <t>ÖVERKALIX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46323</v>
      </c>
      <c r="F220" t="inlineStr">
        <is>
          <t>NORRBOTTENS LÄN</t>
        </is>
      </c>
      <c r="G220" t="inlineStr">
        <is>
          <t>ÖVERKALIX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46323</v>
      </c>
      <c r="F221" t="inlineStr">
        <is>
          <t>NORRBOTTENS LÄN</t>
        </is>
      </c>
      <c r="G221" t="inlineStr">
        <is>
          <t>ÖVERKALIX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46323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46198</v>
      </c>
      <c r="E223" s="1" t="n">
        <v>46323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46199</v>
      </c>
      <c r="E224" s="1" t="n">
        <v>46323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46323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46323</v>
      </c>
      <c r="F226" t="inlineStr">
        <is>
          <t>NORRBOTTENS LÄN</t>
        </is>
      </c>
      <c r="G226" t="inlineStr">
        <is>
          <t>ÖVERKALIX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46323</v>
      </c>
      <c r="F227" t="inlineStr">
        <is>
          <t>NORRBOTTENS LÄN</t>
        </is>
      </c>
      <c r="G227" t="inlineStr">
        <is>
          <t>ÖVERKALIX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46323</v>
      </c>
      <c r="F228" t="inlineStr">
        <is>
          <t>NORRBOTTENS LÄN</t>
        </is>
      </c>
      <c r="G228" t="inlineStr">
        <is>
          <t>ÖVERKALIX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45677</v>
      </c>
      <c r="E229" s="1" t="n">
        <v>46323</v>
      </c>
      <c r="F229" t="inlineStr">
        <is>
          <t>NORRBOTTENS LÄN</t>
        </is>
      </c>
      <c r="G229" t="inlineStr">
        <is>
          <t>ÖVERKALIX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46205</v>
      </c>
      <c r="E230" s="1" t="n">
        <v>46323</v>
      </c>
      <c r="F230" t="inlineStr">
        <is>
          <t>NORRBOTTENS LÄN</t>
        </is>
      </c>
      <c r="G230" t="inlineStr">
        <is>
          <t>ÖVERKALIX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29927-2026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46205</v>
      </c>
      <c r="E231" s="1" t="n">
        <v>46323</v>
      </c>
      <c r="F231" t="inlineStr">
        <is>
          <t>NORRBOTTENS LÄN</t>
        </is>
      </c>
      <c r="G231" t="inlineStr">
        <is>
          <t>ÖVERKALIX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29937-2026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46205</v>
      </c>
      <c r="E232" s="1" t="n">
        <v>46323</v>
      </c>
      <c r="F232" t="inlineStr">
        <is>
          <t>NORRBOTTENS LÄN</t>
        </is>
      </c>
      <c r="G232" t="inlineStr">
        <is>
          <t>ÖVERKALIX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46323</v>
      </c>
      <c r="F233" t="inlineStr">
        <is>
          <t>NORRBOTTENS LÄN</t>
        </is>
      </c>
      <c r="G233" t="inlineStr">
        <is>
          <t>ÖVERKALIX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45097</v>
      </c>
      <c r="E234" s="1" t="n">
        <v>46323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30326-2026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46207</v>
      </c>
      <c r="E235" s="1" t="n">
        <v>46323</v>
      </c>
      <c r="F235" t="inlineStr">
        <is>
          <t>NORRBOTTENS LÄN</t>
        </is>
      </c>
      <c r="G235" t="inlineStr">
        <is>
          <t>ÖVERKALIX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30327-2026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46207</v>
      </c>
      <c r="E236" s="1" t="n">
        <v>46323</v>
      </c>
      <c r="F236" t="inlineStr">
        <is>
          <t>NORRBOTTENS LÄN</t>
        </is>
      </c>
      <c r="G236" t="inlineStr">
        <is>
          <t>ÖVERKALIX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46323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46323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30019-2026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46323</v>
      </c>
      <c r="F239" t="inlineStr">
        <is>
          <t>NORRBOTTENS LÄN</t>
        </is>
      </c>
      <c r="G239" t="inlineStr">
        <is>
          <t>ÖVERKALIX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45793</v>
      </c>
      <c r="E240" s="1" t="n">
        <v>46323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30241-2026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46206</v>
      </c>
      <c r="E241" s="1" t="n">
        <v>46323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46323</v>
      </c>
      <c r="F242" t="inlineStr">
        <is>
          <t>NORRBOTTENS LÄN</t>
        </is>
      </c>
      <c r="G242" t="inlineStr">
        <is>
          <t>ÖVERKALIX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46323</v>
      </c>
      <c r="F243" t="inlineStr">
        <is>
          <t>NORRBOTTENS LÄN</t>
        </is>
      </c>
      <c r="G243" t="inlineStr">
        <is>
          <t>ÖVERKALIX</t>
        </is>
      </c>
      <c r="I243" t="n">
        <v>22.3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46323</v>
      </c>
      <c r="F244" t="inlineStr">
        <is>
          <t>NORRBOTTENS LÄN</t>
        </is>
      </c>
      <c r="G244" t="inlineStr">
        <is>
          <t>ÖVERKALIX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46323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46323</v>
      </c>
      <c r="F246" t="inlineStr">
        <is>
          <t>NORRBOTTENS LÄN</t>
        </is>
      </c>
      <c r="G246" t="inlineStr">
        <is>
          <t>ÖVERKALIX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30328-2026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46207</v>
      </c>
      <c r="E247" s="1" t="n">
        <v>46323</v>
      </c>
      <c r="F247" t="inlineStr">
        <is>
          <t>NORRBOTTENS LÄN</t>
        </is>
      </c>
      <c r="G247" t="inlineStr">
        <is>
          <t>ÖVERKALIX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45712</v>
      </c>
      <c r="E248" s="1" t="n">
        <v>46323</v>
      </c>
      <c r="F248" t="inlineStr">
        <is>
          <t>NORRBOTTENS LÄN</t>
        </is>
      </c>
      <c r="G248" t="inlineStr">
        <is>
          <t>ÖVERKALIX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46323</v>
      </c>
      <c r="F249" t="inlineStr">
        <is>
          <t>NORRBOTTENS LÄN</t>
        </is>
      </c>
      <c r="G249" t="inlineStr">
        <is>
          <t>ÖVERKALIX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46323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46323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46323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46323</v>
      </c>
      <c r="F253" t="inlineStr">
        <is>
          <t>NORRBOTTENS LÄN</t>
        </is>
      </c>
      <c r="G253" t="inlineStr">
        <is>
          <t>ÖVERKALIX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46323</v>
      </c>
      <c r="F254" t="inlineStr">
        <is>
          <t>NORRBOTTENS LÄN</t>
        </is>
      </c>
      <c r="G254" t="inlineStr">
        <is>
          <t>ÖVERKALIX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45622</v>
      </c>
      <c r="E255" s="1" t="n">
        <v>46323</v>
      </c>
      <c r="F255" t="inlineStr">
        <is>
          <t>NORRBOTTENS LÄN</t>
        </is>
      </c>
      <c r="G255" t="inlineStr">
        <is>
          <t>ÖVERKALIX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45793</v>
      </c>
      <c r="E256" s="1" t="n">
        <v>46323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46323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46323</v>
      </c>
      <c r="F258" t="inlineStr">
        <is>
          <t>NORRBOTTENS LÄN</t>
        </is>
      </c>
      <c r="G258" t="inlineStr">
        <is>
          <t>ÖVERKALIX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46323</v>
      </c>
      <c r="F259" t="inlineStr">
        <is>
          <t>NORRBOTTENS LÄN</t>
        </is>
      </c>
      <c r="G259" t="inlineStr">
        <is>
          <t>ÖVERKALIX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46323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45709</v>
      </c>
      <c r="E261" s="1" t="n">
        <v>46323</v>
      </c>
      <c r="F261" t="inlineStr">
        <is>
          <t>NORRBOTTENS LÄN</t>
        </is>
      </c>
      <c r="G261" t="inlineStr">
        <is>
          <t>ÖVERKALIX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59911-2024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45641</v>
      </c>
      <c r="E262" s="1" t="n">
        <v>46323</v>
      </c>
      <c r="F262" t="inlineStr">
        <is>
          <t>NORRBOTTENS LÄN</t>
        </is>
      </c>
      <c r="G262" t="inlineStr">
        <is>
          <t>ÖVERKALIX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45693</v>
      </c>
      <c r="E263" s="1" t="n">
        <v>46323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46323</v>
      </c>
      <c r="F264" t="inlineStr">
        <is>
          <t>NORRBOTTENS LÄN</t>
        </is>
      </c>
      <c r="G264" t="inlineStr">
        <is>
          <t>ÖVERKALIX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46225</v>
      </c>
      <c r="E265" s="1" t="n">
        <v>46323</v>
      </c>
      <c r="F265" t="inlineStr">
        <is>
          <t>NORRBOTTENS LÄN</t>
        </is>
      </c>
      <c r="G265" t="inlineStr">
        <is>
          <t>ÖVERKALIX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46323</v>
      </c>
      <c r="F266" t="inlineStr">
        <is>
          <t>NORRBOTTENS LÄN</t>
        </is>
      </c>
      <c r="G266" t="inlineStr">
        <is>
          <t>ÖVERKALIX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58764-2023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45251</v>
      </c>
      <c r="E267" s="1" t="n">
        <v>46323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46323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31832-2026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46230</v>
      </c>
      <c r="E269" s="1" t="n">
        <v>46323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46323</v>
      </c>
      <c r="F270" t="inlineStr">
        <is>
          <t>NORRBOTTENS LÄN</t>
        </is>
      </c>
      <c r="G270" t="inlineStr">
        <is>
          <t>ÖVERKALIX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45377</v>
      </c>
      <c r="E271" s="1" t="n">
        <v>46323</v>
      </c>
      <c r="F271" t="inlineStr">
        <is>
          <t>NORRBOTTENS LÄN</t>
        </is>
      </c>
      <c r="G271" t="inlineStr">
        <is>
          <t>ÖVERKALIX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45463</v>
      </c>
      <c r="E272" s="1" t="n">
        <v>46323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46323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46323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46323</v>
      </c>
      <c r="F275" t="inlineStr">
        <is>
          <t>NORRBOTTENS LÄN</t>
        </is>
      </c>
      <c r="G275" t="inlineStr">
        <is>
          <t>ÖVERKALIX</t>
        </is>
      </c>
      <c r="I275" t="n">
        <v>13.1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46281</v>
      </c>
      <c r="E276" s="1" t="n">
        <v>46323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8.9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46281</v>
      </c>
      <c r="E277" s="1" t="n">
        <v>46323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46238</v>
      </c>
      <c r="E278" s="1" t="n">
        <v>46323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46323</v>
      </c>
      <c r="F279" t="inlineStr">
        <is>
          <t>NORRBOTTENS LÄN</t>
        </is>
      </c>
      <c r="G279" t="inlineStr">
        <is>
          <t>ÖVERKALIX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46323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64524-2023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45281</v>
      </c>
      <c r="E281" s="1" t="n">
        <v>46323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46323</v>
      </c>
      <c r="F282" t="inlineStr">
        <is>
          <t>NORRBOTTENS LÄN</t>
        </is>
      </c>
      <c r="G282" t="inlineStr">
        <is>
          <t>ÖVERKALIX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46323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28343-2025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46323</v>
      </c>
      <c r="F284" t="inlineStr">
        <is>
          <t>NORRBOTTENS LÄN</t>
        </is>
      </c>
      <c r="G284" t="inlineStr">
        <is>
          <t>ÖVERKALIX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46323</v>
      </c>
      <c r="F285" t="inlineStr">
        <is>
          <t>NORRBOTTENS LÄN</t>
        </is>
      </c>
      <c r="G285" t="inlineStr">
        <is>
          <t>ÖVERKALIX</t>
        </is>
      </c>
      <c r="I285" t="n">
        <v>12.5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46323</v>
      </c>
      <c r="F286" t="inlineStr">
        <is>
          <t>NORRBOTTENS LÄN</t>
        </is>
      </c>
      <c r="G286" t="inlineStr">
        <is>
          <t>ÖVERKALIX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46080</v>
      </c>
      <c r="E287" s="1" t="n">
        <v>46323</v>
      </c>
      <c r="F287" t="inlineStr">
        <is>
          <t>NORRBOTTENS LÄN</t>
        </is>
      </c>
      <c r="G287" t="inlineStr">
        <is>
          <t>ÖVERKALIX</t>
        </is>
      </c>
      <c r="I287" t="n">
        <v>9.800000000000001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46323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46287</v>
      </c>
      <c r="E289" s="1" t="n">
        <v>46323</v>
      </c>
      <c r="F289" t="inlineStr">
        <is>
          <t>NORRBOTTENS LÄN</t>
        </is>
      </c>
      <c r="G289" t="inlineStr">
        <is>
          <t>ÖVERKALIX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46323</v>
      </c>
      <c r="F290" t="inlineStr">
        <is>
          <t>NORRBOTTENS LÄN</t>
        </is>
      </c>
      <c r="G290" t="inlineStr">
        <is>
          <t>ÖVERKALIX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46323</v>
      </c>
      <c r="F291" t="inlineStr">
        <is>
          <t>NORRBOTTENS LÄN</t>
        </is>
      </c>
      <c r="G291" t="inlineStr">
        <is>
          <t>ÖVERKALIX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46323</v>
      </c>
      <c r="F292" t="inlineStr">
        <is>
          <t>NORRBOTTENS LÄN</t>
        </is>
      </c>
      <c r="G292" t="inlineStr">
        <is>
          <t>ÖVERKALIX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46323</v>
      </c>
      <c r="F293" t="inlineStr">
        <is>
          <t>NORRBOTTENS LÄN</t>
        </is>
      </c>
      <c r="G293" t="inlineStr">
        <is>
          <t>ÖVERKALIX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46323</v>
      </c>
      <c r="F294" t="inlineStr">
        <is>
          <t>NORRBOTTENS LÄN</t>
        </is>
      </c>
      <c r="G294" t="inlineStr">
        <is>
          <t>ÖVERKALIX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46323</v>
      </c>
      <c r="F295" t="inlineStr">
        <is>
          <t>NORRBOTTENS LÄN</t>
        </is>
      </c>
      <c r="G295" t="inlineStr">
        <is>
          <t>ÖVERKALIX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46323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46323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39203-2026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46287</v>
      </c>
      <c r="E298" s="1" t="n">
        <v>46323</v>
      </c>
      <c r="F298" t="inlineStr">
        <is>
          <t>NORRBOTTENS LÄN</t>
        </is>
      </c>
      <c r="G298" t="inlineStr">
        <is>
          <t>ÖVERKALIX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46323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45092</v>
      </c>
      <c r="E300" s="1" t="n">
        <v>46323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46247</v>
      </c>
      <c r="E301" s="1" t="n">
        <v>46323</v>
      </c>
      <c r="F301" t="inlineStr">
        <is>
          <t>NORRBOTTENS LÄN</t>
        </is>
      </c>
      <c r="G301" t="inlineStr">
        <is>
          <t>ÖVERKALIX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46323</v>
      </c>
      <c r="F302" t="inlineStr">
        <is>
          <t>NORRBOTTENS LÄN</t>
        </is>
      </c>
      <c r="G302" t="inlineStr">
        <is>
          <t>ÖVERKALIX</t>
        </is>
      </c>
      <c r="I302" t="n">
        <v>10.4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45693</v>
      </c>
      <c r="E303" s="1" t="n">
        <v>46323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46323</v>
      </c>
      <c r="F304" t="inlineStr">
        <is>
          <t>NORRBOTTENS LÄN</t>
        </is>
      </c>
      <c r="G304" t="inlineStr">
        <is>
          <t>ÖVERKALIX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45548</v>
      </c>
      <c r="E305" s="1" t="n">
        <v>46323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39710-2026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46323</v>
      </c>
      <c r="F306" t="inlineStr">
        <is>
          <t>NORRBOTTENS LÄN</t>
        </is>
      </c>
      <c r="G306" t="inlineStr">
        <is>
          <t>ÖVERKALIX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46323</v>
      </c>
      <c r="F307" t="inlineStr">
        <is>
          <t>NORRBOTTENS LÄN</t>
        </is>
      </c>
      <c r="G307" t="inlineStr">
        <is>
          <t>ÖVERKALIX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33284-2026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46246</v>
      </c>
      <c r="E308" s="1" t="n">
        <v>46323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46323</v>
      </c>
      <c r="F309" t="inlineStr">
        <is>
          <t>NORRBOTTENS LÄN</t>
        </is>
      </c>
      <c r="G309" t="inlineStr">
        <is>
          <t>ÖVERKALIX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45231</v>
      </c>
      <c r="E310" s="1" t="n">
        <v>46323</v>
      </c>
      <c r="F310" t="inlineStr">
        <is>
          <t>NORRBOTTENS LÄN</t>
        </is>
      </c>
      <c r="G310" t="inlineStr">
        <is>
          <t>ÖVERKALIX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72212-2021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44543</v>
      </c>
      <c r="E311" s="1" t="n">
        <v>46323</v>
      </c>
      <c r="F311" t="inlineStr">
        <is>
          <t>NORRBOTTENS LÄN</t>
        </is>
      </c>
      <c r="G311" t="inlineStr">
        <is>
          <t>ÖVERKALIX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46323</v>
      </c>
      <c r="F312" t="inlineStr">
        <is>
          <t>NORRBOTTENS LÄN</t>
        </is>
      </c>
      <c r="G312" t="inlineStr">
        <is>
          <t>ÖVERKALIX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46323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22.8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45471</v>
      </c>
      <c r="E314" s="1" t="n">
        <v>46323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27057-2024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45471</v>
      </c>
      <c r="E315" s="1" t="n">
        <v>46323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32.6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46323</v>
      </c>
      <c r="F316" t="inlineStr">
        <is>
          <t>NORRBOTTENS LÄN</t>
        </is>
      </c>
      <c r="G316" t="inlineStr">
        <is>
          <t>ÖVERKALIX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46323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46323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46112</v>
      </c>
      <c r="E319" s="1" t="n">
        <v>46323</v>
      </c>
      <c r="F319" t="inlineStr">
        <is>
          <t>NORRBOTTENS LÄN</t>
        </is>
      </c>
      <c r="G319" t="inlineStr">
        <is>
          <t>ÖVERKALIX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46295</v>
      </c>
      <c r="E320" s="1" t="n">
        <v>46323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44880</v>
      </c>
      <c r="E321" s="1" t="n">
        <v>46323</v>
      </c>
      <c r="F321" t="inlineStr">
        <is>
          <t>NORRBOTTENS LÄN</t>
        </is>
      </c>
      <c r="G321" t="inlineStr">
        <is>
          <t>ÖVERKALIX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46252</v>
      </c>
      <c r="E322" s="1" t="n">
        <v>46323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46296</v>
      </c>
      <c r="E323" s="1" t="n">
        <v>46323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46296</v>
      </c>
      <c r="E324" s="1" t="n">
        <v>46323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27.1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46323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46323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46323</v>
      </c>
      <c r="F327" t="inlineStr">
        <is>
          <t>NORRBOTTENS LÄN</t>
        </is>
      </c>
      <c r="G327" t="inlineStr">
        <is>
          <t>ÖVERKALIX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46323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46244</v>
      </c>
      <c r="E329" s="1" t="n">
        <v>46323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46323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46323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46127</v>
      </c>
      <c r="E332" s="1" t="n">
        <v>46323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46323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46297</v>
      </c>
      <c r="E334" s="1" t="n">
        <v>46323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46323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46323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46323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33.7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46323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9.199999999999999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45169</v>
      </c>
      <c r="E339" s="1" t="n">
        <v>46323</v>
      </c>
      <c r="F339" t="inlineStr">
        <is>
          <t>NORRBOTTENS LÄN</t>
        </is>
      </c>
      <c r="G339" t="inlineStr">
        <is>
          <t>ÖVERKALIX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45308</v>
      </c>
      <c r="E340" s="1" t="n">
        <v>46323</v>
      </c>
      <c r="F340" t="inlineStr">
        <is>
          <t>NORRBOTTENS LÄN</t>
        </is>
      </c>
      <c r="G340" t="inlineStr">
        <is>
          <t>ÖVERKALIX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45308</v>
      </c>
      <c r="E341" s="1" t="n">
        <v>46323</v>
      </c>
      <c r="F341" t="inlineStr">
        <is>
          <t>NORRBOTTENS LÄN</t>
        </is>
      </c>
      <c r="G341" t="inlineStr">
        <is>
          <t>ÖVERKALIX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46323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46323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45363</v>
      </c>
      <c r="E344" s="1" t="n">
        <v>46323</v>
      </c>
      <c r="F344" t="inlineStr">
        <is>
          <t>NORRBOTTENS LÄN</t>
        </is>
      </c>
      <c r="G344" t="inlineStr">
        <is>
          <t>ÖVERKALIX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46323</v>
      </c>
      <c r="F345" t="inlineStr">
        <is>
          <t>NORRBOTTENS LÄN</t>
        </is>
      </c>
      <c r="G345" t="inlineStr">
        <is>
          <t>ÖVERKALIX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45603</v>
      </c>
      <c r="E346" s="1" t="n">
        <v>46323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46134</v>
      </c>
      <c r="E347" s="1" t="n">
        <v>46323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43314-2022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44834</v>
      </c>
      <c r="E348" s="1" t="n">
        <v>46323</v>
      </c>
      <c r="F348" t="inlineStr">
        <is>
          <t>NORRBOTTENS LÄN</t>
        </is>
      </c>
      <c r="G348" t="inlineStr">
        <is>
          <t>ÖVERKALIX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46323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30881-2024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45498</v>
      </c>
      <c r="E350" s="1" t="n">
        <v>46323</v>
      </c>
      <c r="F350" t="inlineStr">
        <is>
          <t>NORRBOTTENS LÄN</t>
        </is>
      </c>
      <c r="G350" t="inlineStr">
        <is>
          <t>ÖVERKALIX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46301</v>
      </c>
      <c r="E351" s="1" t="n">
        <v>46323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41508-2026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46301</v>
      </c>
      <c r="E352" s="1" t="n">
        <v>46323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46301</v>
      </c>
      <c r="E353" s="1" t="n">
        <v>46323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46323</v>
      </c>
      <c r="F354" t="inlineStr">
        <is>
          <t>NORRBOTTENS LÄN</t>
        </is>
      </c>
      <c r="G354" t="inlineStr">
        <is>
          <t>ÖVERKALIX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46323</v>
      </c>
      <c r="F355" t="inlineStr">
        <is>
          <t>NORRBOTTENS LÄN</t>
        </is>
      </c>
      <c r="G355" t="inlineStr">
        <is>
          <t>ÖVERKALIX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42152-2026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46304</v>
      </c>
      <c r="E356" s="1" t="n">
        <v>46323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46323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42151-2026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46304</v>
      </c>
      <c r="E358" s="1" t="n">
        <v>46323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35191-2026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46260</v>
      </c>
      <c r="E359" s="1" t="n">
        <v>46323</v>
      </c>
      <c r="F359" t="inlineStr">
        <is>
          <t>NORRBOTTENS LÄN</t>
        </is>
      </c>
      <c r="G359" t="inlineStr">
        <is>
          <t>ÖVERKALIX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46260</v>
      </c>
      <c r="E360" s="1" t="n">
        <v>46323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46323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35226-2026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46260</v>
      </c>
      <c r="E362" s="1" t="n">
        <v>46323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46323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62269-2021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44502</v>
      </c>
      <c r="E364" s="1" t="n">
        <v>46323</v>
      </c>
      <c r="F364" t="inlineStr">
        <is>
          <t>NORRBOTTENS LÄN</t>
        </is>
      </c>
      <c r="G364" t="inlineStr">
        <is>
          <t>ÖVERKALIX</t>
        </is>
      </c>
      <c r="I364" t="n">
        <v>9.199999999999999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46323</v>
      </c>
      <c r="F365" t="inlineStr">
        <is>
          <t>NORRBOTTENS LÄN</t>
        </is>
      </c>
      <c r="G365" t="inlineStr">
        <is>
          <t>ÖVERKALIX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42109-2026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46304</v>
      </c>
      <c r="E366" s="1" t="n">
        <v>46323</v>
      </c>
      <c r="F366" t="inlineStr">
        <is>
          <t>NORRBOTTENS LÄN</t>
        </is>
      </c>
      <c r="G366" t="inlineStr">
        <is>
          <t>ÖVERKALIX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45813</v>
      </c>
      <c r="E367" s="1" t="n">
        <v>46323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46323</v>
      </c>
      <c r="F368" t="inlineStr">
        <is>
          <t>NORRBOTTENS LÄN</t>
        </is>
      </c>
      <c r="G368" t="inlineStr">
        <is>
          <t>ÖVERKALIX</t>
        </is>
      </c>
      <c r="I368" t="n">
        <v>11.9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45813</v>
      </c>
      <c r="E369" s="1" t="n">
        <v>46323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45813</v>
      </c>
      <c r="E370" s="1" t="n">
        <v>46323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45813</v>
      </c>
      <c r="E371" s="1" t="n">
        <v>46323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46323</v>
      </c>
      <c r="F372" t="inlineStr">
        <is>
          <t>NORRBOTTENS LÄN</t>
        </is>
      </c>
      <c r="G372" t="inlineStr">
        <is>
          <t>ÖVERKALIX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45813</v>
      </c>
      <c r="E373" s="1" t="n">
        <v>46323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46323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45153</v>
      </c>
      <c r="E375" s="1" t="n">
        <v>46323</v>
      </c>
      <c r="F375" t="inlineStr">
        <is>
          <t>NORRBOTTENS LÄN</t>
        </is>
      </c>
      <c r="G375" t="inlineStr">
        <is>
          <t>ÖVERKALIX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46307</v>
      </c>
      <c r="E376" s="1" t="n">
        <v>46323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42490-2026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46308</v>
      </c>
      <c r="E377" s="1" t="n">
        <v>46323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45639</v>
      </c>
      <c r="E378" s="1" t="n">
        <v>46323</v>
      </c>
      <c r="F378" t="inlineStr">
        <is>
          <t>NORRBOTTENS LÄN</t>
        </is>
      </c>
      <c r="G378" t="inlineStr">
        <is>
          <t>ÖVERKALIX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45909</v>
      </c>
      <c r="E379" s="1" t="n">
        <v>46323</v>
      </c>
      <c r="F379" t="inlineStr">
        <is>
          <t>NORRBOTTENS LÄN</t>
        </is>
      </c>
      <c r="G379" t="inlineStr">
        <is>
          <t>ÖVERKALIX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46323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46323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9.699999999999999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46309</v>
      </c>
      <c r="E382" s="1" t="n">
        <v>46323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46310</v>
      </c>
      <c r="E383" s="1" t="n">
        <v>46323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15.4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46323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46323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44601</v>
      </c>
      <c r="E386" s="1" t="n">
        <v>46323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46323</v>
      </c>
      <c r="F387" t="inlineStr">
        <is>
          <t>NORRBOTTENS LÄN</t>
        </is>
      </c>
      <c r="G387" t="inlineStr">
        <is>
          <t>ÖVERKALIX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45594</v>
      </c>
      <c r="E388" s="1" t="n">
        <v>46323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44973</v>
      </c>
      <c r="E389" s="1" t="n">
        <v>46323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46323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46323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46266</v>
      </c>
      <c r="E392" s="1" t="n">
        <v>46323</v>
      </c>
      <c r="F392" t="inlineStr">
        <is>
          <t>NORRBOTTENS LÄN</t>
        </is>
      </c>
      <c r="G392" t="inlineStr">
        <is>
          <t>ÖVERKALIX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45821</v>
      </c>
      <c r="E393" s="1" t="n">
        <v>46323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46323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45154</v>
      </c>
      <c r="E395" s="1" t="n">
        <v>46323</v>
      </c>
      <c r="F395" t="inlineStr">
        <is>
          <t>NORRBOTTENS LÄN</t>
        </is>
      </c>
      <c r="G395" t="inlineStr">
        <is>
          <t>ÖVERKALIX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46323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46323</v>
      </c>
      <c r="F397" t="inlineStr">
        <is>
          <t>NORRBOTTENS LÄN</t>
        </is>
      </c>
      <c r="G397" t="inlineStr">
        <is>
          <t>ÖVERKALIX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46323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46269</v>
      </c>
      <c r="E399" s="1" t="n">
        <v>46323</v>
      </c>
      <c r="F399" t="inlineStr">
        <is>
          <t>NORRBOTTENS LÄN</t>
        </is>
      </c>
      <c r="G399" t="inlineStr">
        <is>
          <t>ÖVERKALIX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29212-2025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46323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24.4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46323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46323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46323</v>
      </c>
      <c r="F403" t="inlineStr">
        <is>
          <t>NORRBOTTENS LÄN</t>
        </is>
      </c>
      <c r="G403" t="inlineStr">
        <is>
          <t>ÖVERKALIX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43250-2026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46314</v>
      </c>
      <c r="E404" s="1" t="n">
        <v>46323</v>
      </c>
      <c r="F404" t="inlineStr">
        <is>
          <t>NORRBOTTENS LÄN</t>
        </is>
      </c>
      <c r="G404" t="inlineStr">
        <is>
          <t>ÖVERKALIX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46323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45825</v>
      </c>
      <c r="E406" s="1" t="n">
        <v>46323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45513</v>
      </c>
      <c r="E407" s="1" t="n">
        <v>46323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44910</v>
      </c>
      <c r="E408" s="1" t="n">
        <v>46323</v>
      </c>
      <c r="F408" t="inlineStr">
        <is>
          <t>NORRBOTTENS LÄN</t>
        </is>
      </c>
      <c r="G408" t="inlineStr">
        <is>
          <t>ÖVERKALIX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15301-2022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44659</v>
      </c>
      <c r="E409" s="1" t="n">
        <v>46323</v>
      </c>
      <c r="F409" t="inlineStr">
        <is>
          <t>NORRBOTTENS LÄN</t>
        </is>
      </c>
      <c r="G409" t="inlineStr">
        <is>
          <t>ÖVERKALIX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45818</v>
      </c>
      <c r="E410" s="1" t="n">
        <v>46323</v>
      </c>
      <c r="F410" t="inlineStr">
        <is>
          <t>NORRBOTTENS LÄN</t>
        </is>
      </c>
      <c r="G410" t="inlineStr">
        <is>
          <t>ÖVERKALIX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43219-2026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46314</v>
      </c>
      <c r="E411" s="1" t="n">
        <v>46323</v>
      </c>
      <c r="F411" t="inlineStr">
        <is>
          <t>NORRBOTTENS LÄN</t>
        </is>
      </c>
      <c r="G411" t="inlineStr">
        <is>
          <t>ÖVERKALIX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38088-2023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45160</v>
      </c>
      <c r="E412" s="1" t="n">
        <v>46323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44648</v>
      </c>
      <c r="E413" s="1" t="n">
        <v>46323</v>
      </c>
      <c r="F413" t="inlineStr">
        <is>
          <t>NORRBOTTENS LÄN</t>
        </is>
      </c>
      <c r="G413" t="inlineStr">
        <is>
          <t>ÖVERKALIX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46316</v>
      </c>
      <c r="E414" s="1" t="n">
        <v>46323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46323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20505-2026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46323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45621</v>
      </c>
      <c r="E417" s="1" t="n">
        <v>46323</v>
      </c>
      <c r="F417" t="inlineStr">
        <is>
          <t>NORRBOTTENS LÄN</t>
        </is>
      </c>
      <c r="G417" t="inlineStr">
        <is>
          <t>ÖVERKALIX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46323</v>
      </c>
      <c r="F418" t="inlineStr">
        <is>
          <t>NORRBOTTENS LÄN</t>
        </is>
      </c>
      <c r="G418" t="inlineStr">
        <is>
          <t>ÖVERKALIX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46316</v>
      </c>
      <c r="E419" s="1" t="n">
        <v>46323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43832-2026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46316</v>
      </c>
      <c r="E420" s="1" t="n">
        <v>46323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46272</v>
      </c>
      <c r="E421" s="1" t="n">
        <v>46323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20.5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48561-2024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45593</v>
      </c>
      <c r="E422" s="1" t="n">
        <v>46323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45218</v>
      </c>
      <c r="E423" s="1" t="n">
        <v>46323</v>
      </c>
      <c r="F423" t="inlineStr">
        <is>
          <t>NORRBOTTENS LÄN</t>
        </is>
      </c>
      <c r="G423" t="inlineStr">
        <is>
          <t>ÖVERKALIX</t>
        </is>
      </c>
      <c r="I423" t="n">
        <v>8.199999999999999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45223</v>
      </c>
      <c r="E424" s="1" t="n">
        <v>46323</v>
      </c>
      <c r="F424" t="inlineStr">
        <is>
          <t>NORRBOTTENS LÄN</t>
        </is>
      </c>
      <c r="G424" t="inlineStr">
        <is>
          <t>ÖVERKALIX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45180</v>
      </c>
      <c r="E425" s="1" t="n">
        <v>46323</v>
      </c>
      <c r="F425" t="inlineStr">
        <is>
          <t>NORRBOTTENS LÄN</t>
        </is>
      </c>
      <c r="G425" t="inlineStr">
        <is>
          <t>ÖVERKALIX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45315</v>
      </c>
      <c r="E426" s="1" t="n">
        <v>46323</v>
      </c>
      <c r="F426" t="inlineStr">
        <is>
          <t>NORRBOTTENS LÄN</t>
        </is>
      </c>
      <c r="G426" t="inlineStr">
        <is>
          <t>ÖVERKALIX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46323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46318</v>
      </c>
      <c r="E428" s="1" t="n">
        <v>46323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26.5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44208-2026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46318</v>
      </c>
      <c r="E429" s="1" t="n">
        <v>46323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10.8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46318</v>
      </c>
      <c r="E430" s="1" t="n">
        <v>46323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46148</v>
      </c>
      <c r="E431" s="1" t="n">
        <v>46323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46148</v>
      </c>
      <c r="E432" s="1" t="n">
        <v>46323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21424-2026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46148</v>
      </c>
      <c r="E433" s="1" t="n">
        <v>46323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21425-2026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46323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46323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46148</v>
      </c>
      <c r="E436" s="1" t="n">
        <v>46323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46323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31744-2025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45834</v>
      </c>
      <c r="E438" s="1" t="n">
        <v>46323</v>
      </c>
      <c r="F438" t="inlineStr">
        <is>
          <t>NORRBOTTENS LÄN</t>
        </is>
      </c>
      <c r="G438" t="inlineStr">
        <is>
          <t>ÖVERKALIX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46323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46323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18.8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46323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46323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45837</v>
      </c>
      <c r="E443" s="1" t="n">
        <v>46323</v>
      </c>
      <c r="F443" t="inlineStr">
        <is>
          <t>NORRBOTTENS LÄN</t>
        </is>
      </c>
      <c r="G443" t="inlineStr">
        <is>
          <t>ÖVERKALIX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46323</v>
      </c>
      <c r="F444" t="inlineStr">
        <is>
          <t>NORRBOTTENS LÄN</t>
        </is>
      </c>
      <c r="G444" t="inlineStr">
        <is>
          <t>ÖVERKALIX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46323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45837</v>
      </c>
      <c r="E446" s="1" t="n">
        <v>46323</v>
      </c>
      <c r="F446" t="inlineStr">
        <is>
          <t>NORRBOTTENS LÄN</t>
        </is>
      </c>
      <c r="G446" t="inlineStr">
        <is>
          <t>ÖVERKALIX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45837</v>
      </c>
      <c r="E447" s="1" t="n">
        <v>46323</v>
      </c>
      <c r="F447" t="inlineStr">
        <is>
          <t>NORRBOTTENS LÄN</t>
        </is>
      </c>
      <c r="G447" t="inlineStr">
        <is>
          <t>ÖVERKALIX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46323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45839</v>
      </c>
      <c r="E449" s="1" t="n">
        <v>46323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45840</v>
      </c>
      <c r="E450" s="1" t="n">
        <v>46323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42488-2026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46308</v>
      </c>
      <c r="E451" s="1" t="n">
        <v>46323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45840</v>
      </c>
      <c r="E452" s="1" t="n">
        <v>46323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45933</v>
      </c>
      <c r="E453" s="1" t="n">
        <v>46323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37683-2026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46278</v>
      </c>
      <c r="E454" s="1" t="n">
        <v>46323</v>
      </c>
      <c r="F454" t="inlineStr">
        <is>
          <t>NORRBOTTENS LÄN</t>
        </is>
      </c>
      <c r="G454" t="inlineStr">
        <is>
          <t>ÖVERKALIX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34128-2025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45845</v>
      </c>
      <c r="E455" s="1" t="n">
        <v>46323</v>
      </c>
      <c r="F455" t="inlineStr">
        <is>
          <t>NORRBOTTENS LÄN</t>
        </is>
      </c>
      <c r="G455" t="inlineStr">
        <is>
          <t>ÖVERKALIX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46280</v>
      </c>
      <c r="E456" s="1" t="n">
        <v>46323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22945-2026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46323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46323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46323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46323</v>
      </c>
      <c r="F460" t="inlineStr">
        <is>
          <t>NORRBOTTENS LÄN</t>
        </is>
      </c>
      <c r="G460" t="inlineStr">
        <is>
          <t>ÖVERKALIX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46323</v>
      </c>
      <c r="F461" t="inlineStr">
        <is>
          <t>NORRBOTTENS LÄN</t>
        </is>
      </c>
      <c r="G461" t="inlineStr">
        <is>
          <t>ÖVERKALIX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45869</v>
      </c>
      <c r="E462" s="1" t="n">
        <v>46323</v>
      </c>
      <c r="F462" t="inlineStr">
        <is>
          <t>NORRBOTTENS LÄN</t>
        </is>
      </c>
      <c r="G462" t="inlineStr">
        <is>
          <t>ÖVERKALIX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45870</v>
      </c>
      <c r="E463" s="1" t="n">
        <v>46323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36621-2025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45870</v>
      </c>
      <c r="E464" s="1" t="n">
        <v>46323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45869</v>
      </c>
      <c r="E465" s="1" t="n">
        <v>46323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23588-2026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46323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9.9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46323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51354-2025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46323</v>
      </c>
      <c r="F468" t="inlineStr">
        <is>
          <t>NORRBOTTENS LÄN</t>
        </is>
      </c>
      <c r="G468" t="inlineStr">
        <is>
          <t>ÖVERKALIX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23507-2026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46323</v>
      </c>
      <c r="F469" t="inlineStr">
        <is>
          <t>NORRBOTTENS LÄN</t>
        </is>
      </c>
      <c r="G469" t="inlineStr">
        <is>
          <t>ÖVERKALIX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46323</v>
      </c>
      <c r="F470" t="inlineStr">
        <is>
          <t>NORRBOTTENS LÄN</t>
        </is>
      </c>
      <c r="G470" t="inlineStr">
        <is>
          <t>ÖVERKALIX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28372-2025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45818</v>
      </c>
      <c r="E471" s="1" t="n">
        <v>46323</v>
      </c>
      <c r="F471" t="inlineStr">
        <is>
          <t>NORRBOTTENS LÄN</t>
        </is>
      </c>
      <c r="G471" t="inlineStr">
        <is>
          <t>ÖVERKALIX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23938-2026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46323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23949-2026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46323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46323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46323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46323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45882</v>
      </c>
      <c r="E477" s="1" t="n">
        <v>46323</v>
      </c>
      <c r="F477" t="inlineStr">
        <is>
          <t>NORRBOTTENS LÄN</t>
        </is>
      </c>
      <c r="G477" t="inlineStr">
        <is>
          <t>ÖVERKALIX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45882</v>
      </c>
      <c r="E478" s="1" t="n">
        <v>46323</v>
      </c>
      <c r="F478" t="inlineStr">
        <is>
          <t>NORRBOTTENS LÄN</t>
        </is>
      </c>
      <c r="G478" t="inlineStr">
        <is>
          <t>ÖVERKALIX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45882</v>
      </c>
      <c r="E479" s="1" t="n">
        <v>46323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13.4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38191-2025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46323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46323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50392-2025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45944</v>
      </c>
      <c r="E482" s="1" t="n">
        <v>46323</v>
      </c>
      <c r="F482" t="inlineStr">
        <is>
          <t>NORRBOTTENS LÄN</t>
        </is>
      </c>
      <c r="G482" t="inlineStr">
        <is>
          <t>ÖVERKALIX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25546-2026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46323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46177</v>
      </c>
      <c r="E484" s="1" t="n">
        <v>46323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46178</v>
      </c>
      <c r="E485" s="1" t="n">
        <v>46323</v>
      </c>
      <c r="F485" t="inlineStr">
        <is>
          <t>NORRBOTTENS LÄN</t>
        </is>
      </c>
      <c r="G485" t="inlineStr">
        <is>
          <t>ÖVERKALIX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25965-2026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46323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46323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46183</v>
      </c>
      <c r="E488" s="1" t="n">
        <v>46323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8.5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46183</v>
      </c>
      <c r="E489" s="1" t="n">
        <v>46323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Sveaskog</t>
        </is>
      </c>
      <c r="I489" t="n">
        <v>13.8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46183</v>
      </c>
      <c r="E490" s="1" t="n">
        <v>46323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17.7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46323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Sveaskog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28210-2026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46196</v>
      </c>
      <c r="E492" s="1" t="n">
        <v>46323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Sveaskog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3721-2022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44741</v>
      </c>
      <c r="E493" s="1" t="n">
        <v>46323</v>
      </c>
      <c r="F493" t="inlineStr">
        <is>
          <t>NORRBOTTENS LÄN</t>
        </is>
      </c>
      <c r="G493" t="inlineStr">
        <is>
          <t>ÖVERKALIX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2792-2024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45485</v>
      </c>
      <c r="E494" s="1" t="n">
        <v>46323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2700-2024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45482</v>
      </c>
      <c r="E495" s="1" t="n">
        <v>46323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4734-2024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45607</v>
      </c>
      <c r="E496" s="1" t="n">
        <v>46323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1178-2025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45756</v>
      </c>
      <c r="E497" s="1" t="n">
        <v>46323</v>
      </c>
      <c r="F497" t="inlineStr">
        <is>
          <t>NORRBOTTENS LÄN</t>
        </is>
      </c>
      <c r="G497" t="inlineStr">
        <is>
          <t>ÖVERKALIX</t>
        </is>
      </c>
      <c r="I497" t="n">
        <v>39.9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1667-2025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45800</v>
      </c>
      <c r="E498" s="1" t="n">
        <v>46323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SCA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50-2026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46030</v>
      </c>
      <c r="E499" s="1" t="n">
        <v>46323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Sveaskog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2026-10-28T03:16:46Z</dcterms:created>
  <dcterms:modified xmlns:dcterms="http://purl.org/dc/terms/" xmlns:xsi="http://www.w3.org/2001/XMLSchema-instance" xsi:type="dcterms:W3CDTF">2026-10-28T03:16:46Z</dcterms:modified>
</cp:coreProperties>
</file>