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46216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46216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46216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46216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46216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46216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46216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46216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s="2" t="inlineStr">
        <is>
          <t>Goliatmusseron
Blå taggsvamp
Dropptaggsvamp
Motaggsvamp
Orange taggsvamp</t>
        </is>
      </c>
      <c r="V9">
        <f>HYPERLINK("https://klasma.github.io/Logging_2513/artfynd/A 38989-2023 artfynd.xlsx", "A 38989-2023")</f>
        <v/>
      </c>
      <c r="W9">
        <f>HYPERLINK("https://klasma.github.io/Logging_2513/kartor/A 38989-2023 karta.png", "A 38989-2023")</f>
        <v/>
      </c>
      <c r="Y9">
        <f>HYPERLINK("https://klasma.github.io/Logging_2513/klagomål/A 38989-2023 FSC-klagomål.docx", "A 38989-2023")</f>
        <v/>
      </c>
      <c r="Z9">
        <f>HYPERLINK("https://klasma.github.io/Logging_2513/klagomålsmail/A 38989-2023 FSC-klagomål mail.docx", "A 38989-2023")</f>
        <v/>
      </c>
      <c r="AA9">
        <f>HYPERLINK("https://klasma.github.io/Logging_2513/tillsyn/A 38989-2023 tillsynsbegäran.docx", "A 38989-2023")</f>
        <v/>
      </c>
      <c r="AB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46216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s="2" t="inlineStr">
        <is>
          <t>Tallgråticka
Blå taggsvamp
Dropptaggsvamp
Orange taggsvamp
Svartvit taggsvamp</t>
        </is>
      </c>
      <c r="V10">
        <f>HYPERLINK("https://klasma.github.io/Logging_2513/artfynd/A 49422-2023 artfynd.xlsx", "A 49422-2023")</f>
        <v/>
      </c>
      <c r="W10">
        <f>HYPERLINK("https://klasma.github.io/Logging_2513/kartor/A 49422-2023 karta.png", "A 49422-2023")</f>
        <v/>
      </c>
      <c r="Y10">
        <f>HYPERLINK("https://klasma.github.io/Logging_2513/klagomål/A 49422-2023 FSC-klagomål.docx", "A 49422-2023")</f>
        <v/>
      </c>
      <c r="Z10">
        <f>HYPERLINK("https://klasma.github.io/Logging_2513/klagomålsmail/A 49422-2023 FSC-klagomål mail.docx", "A 49422-2023")</f>
        <v/>
      </c>
      <c r="AA10">
        <f>HYPERLINK("https://klasma.github.io/Logging_2513/tillsyn/A 49422-2023 tillsynsbegäran.docx", "A 49422-2023")</f>
        <v/>
      </c>
      <c r="AB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46216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s="2" t="inlineStr">
        <is>
          <t>Blå taggsvamp
Orange taggsvamp
Skarp dropptaggsvamp
Tallfingersvamp
Vaxspindling</t>
        </is>
      </c>
      <c r="V11">
        <f>HYPERLINK("https://klasma.github.io/Logging_2513/artfynd/A 31751-2025 artfynd.xlsx", "A 31751-2025")</f>
        <v/>
      </c>
      <c r="W11">
        <f>HYPERLINK("https://klasma.github.io/Logging_2513/kartor/A 31751-2025 karta.png", "A 31751-2025")</f>
        <v/>
      </c>
      <c r="Y11">
        <f>HYPERLINK("https://klasma.github.io/Logging_2513/klagomål/A 31751-2025 FSC-klagomål.docx", "A 31751-2025")</f>
        <v/>
      </c>
      <c r="Z11">
        <f>HYPERLINK("https://klasma.github.io/Logging_2513/klagomålsmail/A 31751-2025 FSC-klagomål mail.docx", "A 31751-2025")</f>
        <v/>
      </c>
      <c r="AA11">
        <f>HYPERLINK("https://klasma.github.io/Logging_2513/tillsyn/A 31751-2025 tillsynsbegäran.docx", "A 31751-2025")</f>
        <v/>
      </c>
      <c r="AB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46216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46216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46216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46216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17802-2025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45758</v>
      </c>
      <c r="E16" s="1" t="n">
        <v>46216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1.6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Hökuggla
Älg
Tjäder</t>
        </is>
      </c>
      <c r="V16">
        <f>HYPERLINK("https://klasma.github.io/Logging_2513/artfynd/A 17802-2025 artfynd.xlsx", "A 17802-2025")</f>
        <v/>
      </c>
      <c r="W16">
        <f>HYPERLINK("https://klasma.github.io/Logging_2513/kartor/A 17802-2025 karta.png", "A 17802-2025")</f>
        <v/>
      </c>
      <c r="Y16">
        <f>HYPERLINK("https://klasma.github.io/Logging_2513/klagomål/A 17802-2025 FSC-klagomål.docx", "A 17802-2025")</f>
        <v/>
      </c>
      <c r="Z16">
        <f>HYPERLINK("https://klasma.github.io/Logging_2513/klagomålsmail/A 17802-2025 FSC-klagomål mail.docx", "A 17802-2025")</f>
        <v/>
      </c>
      <c r="AA16">
        <f>HYPERLINK("https://klasma.github.io/Logging_2513/tillsyn/A 17802-2025 tillsynsbegäran.docx", "A 17802-2025")</f>
        <v/>
      </c>
      <c r="AB16">
        <f>HYPERLINK("https://klasma.github.io/Logging_2513/tillsynsmail/A 17802-2025 tillsynsbegäran mail.docx", "A 17802-2025")</f>
        <v/>
      </c>
      <c r="AC16">
        <f>HYPERLINK("https://klasma.github.io/Logging_2513/fåglar/A 17802-2025 prioriterade fågelarter.docx", "A 17802-2025")</f>
        <v/>
      </c>
    </row>
    <row r="17" ht="15" customHeight="1">
      <c r="A17" t="inlineStr">
        <is>
          <t>A 30525-2025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45831</v>
      </c>
      <c r="E17" s="1" t="n">
        <v>46216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5.3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Gammelgransskål
Bollvitmossa
Järpe</t>
        </is>
      </c>
      <c r="V17">
        <f>HYPERLINK("https://klasma.github.io/Logging_2513/artfynd/A 30525-2025 artfynd.xlsx", "A 30525-2025")</f>
        <v/>
      </c>
      <c r="W17">
        <f>HYPERLINK("https://klasma.github.io/Logging_2513/kartor/A 30525-2025 karta.png", "A 30525-2025")</f>
        <v/>
      </c>
      <c r="Y17">
        <f>HYPERLINK("https://klasma.github.io/Logging_2513/klagomål/A 30525-2025 FSC-klagomål.docx", "A 30525-2025")</f>
        <v/>
      </c>
      <c r="Z17">
        <f>HYPERLINK("https://klasma.github.io/Logging_2513/klagomålsmail/A 30525-2025 FSC-klagomål mail.docx", "A 30525-2025")</f>
        <v/>
      </c>
      <c r="AA17">
        <f>HYPERLINK("https://klasma.github.io/Logging_2513/tillsyn/A 30525-2025 tillsynsbegäran.docx", "A 30525-2025")</f>
        <v/>
      </c>
      <c r="AB17">
        <f>HYPERLINK("https://klasma.github.io/Logging_2513/tillsynsmail/A 30525-2025 tillsynsbegäran mail.docx", "A 30525-2025")</f>
        <v/>
      </c>
      <c r="AC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46216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s="2" t="inlineStr">
        <is>
          <t>Blå taggsvamp
Dropptaggsvamp
Skarp dropptaggsvamp</t>
        </is>
      </c>
      <c r="V18">
        <f>HYPERLINK("https://klasma.github.io/Logging_2513/artfynd/A 42861-2025 artfynd.xlsx", "A 42861-2025")</f>
        <v/>
      </c>
      <c r="W18">
        <f>HYPERLINK("https://klasma.github.io/Logging_2513/kartor/A 42861-2025 karta.png", "A 42861-2025")</f>
        <v/>
      </c>
      <c r="Y18">
        <f>HYPERLINK("https://klasma.github.io/Logging_2513/klagomål/A 42861-2025 FSC-klagomål.docx", "A 42861-2025")</f>
        <v/>
      </c>
      <c r="Z18">
        <f>HYPERLINK("https://klasma.github.io/Logging_2513/klagomålsmail/A 42861-2025 FSC-klagomål mail.docx", "A 42861-2025")</f>
        <v/>
      </c>
      <c r="AA18">
        <f>HYPERLINK("https://klasma.github.io/Logging_2513/tillsyn/A 42861-2025 tillsynsbegäran.docx", "A 42861-2025")</f>
        <v/>
      </c>
      <c r="AB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46216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s="2" t="inlineStr">
        <is>
          <t>Blå taggsvamp
Dropptaggsvamp
Skarp dropptaggsvamp</t>
        </is>
      </c>
      <c r="V19">
        <f>HYPERLINK("https://klasma.github.io/Logging_2513/artfynd/A 42872-2025 artfynd.xlsx", "A 42872-2025")</f>
        <v/>
      </c>
      <c r="W19">
        <f>HYPERLINK("https://klasma.github.io/Logging_2513/kartor/A 42872-2025 karta.png", "A 42872-2025")</f>
        <v/>
      </c>
      <c r="Y19">
        <f>HYPERLINK("https://klasma.github.io/Logging_2513/klagomål/A 42872-2025 FSC-klagomål.docx", "A 42872-2025")</f>
        <v/>
      </c>
      <c r="Z19">
        <f>HYPERLINK("https://klasma.github.io/Logging_2513/klagomålsmail/A 42872-2025 FSC-klagomål mail.docx", "A 42872-2025")</f>
        <v/>
      </c>
      <c r="AA19">
        <f>HYPERLINK("https://klasma.github.io/Logging_2513/tillsyn/A 42872-2025 tillsynsbegäran.docx", "A 42872-2025")</f>
        <v/>
      </c>
      <c r="AB19">
        <f>HYPERLINK("https://klasma.github.io/Logging_2513/tillsynsmail/A 42872-2025 tillsynsbegäran mail.docx", "A 42872-2025")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46216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s="2" t="inlineStr">
        <is>
          <t>Månlåsbräken
Plattlummer
Fläcknycklar</t>
        </is>
      </c>
      <c r="V20">
        <f>HYPERLINK("https://klasma.github.io/Logging_2513/artfynd/A 28577-2024 artfynd.xlsx", "A 28577-2024")</f>
        <v/>
      </c>
      <c r="W20">
        <f>HYPERLINK("https://klasma.github.io/Logging_2513/kartor/A 28577-2024 karta.png", "A 28577-2024")</f>
        <v/>
      </c>
      <c r="Y20">
        <f>HYPERLINK("https://klasma.github.io/Logging_2513/klagomål/A 28577-2024 FSC-klagomål.docx", "A 28577-2024")</f>
        <v/>
      </c>
      <c r="Z20">
        <f>HYPERLINK("https://klasma.github.io/Logging_2513/klagomålsmail/A 28577-2024 FSC-klagomål mail.docx", "A 28577-2024")</f>
        <v/>
      </c>
      <c r="AA20">
        <f>HYPERLINK("https://klasma.github.io/Logging_2513/tillsyn/A 28577-2024 tillsynsbegäran.docx", "A 28577-2024")</f>
        <v/>
      </c>
      <c r="AB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46216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s="2" t="inlineStr">
        <is>
          <t>Fläckporing
Knärot
Plattlummer</t>
        </is>
      </c>
      <c r="V21">
        <f>HYPERLINK("https://klasma.github.io/Logging_2513/artfynd/A 19275-2025 artfynd.xlsx", "A 19275-2025")</f>
        <v/>
      </c>
      <c r="W21">
        <f>HYPERLINK("https://klasma.github.io/Logging_2513/kartor/A 19275-2025 karta.png", "A 19275-2025")</f>
        <v/>
      </c>
      <c r="X21">
        <f>HYPERLINK("https://klasma.github.io/Logging_2513/knärot/A 19275-2025 karta knärot.png", "A 19275-2025")</f>
        <v/>
      </c>
      <c r="Y21">
        <f>HYPERLINK("https://klasma.github.io/Logging_2513/klagomål/A 19275-2025 FSC-klagomål.docx", "A 19275-2025")</f>
        <v/>
      </c>
      <c r="Z21">
        <f>HYPERLINK("https://klasma.github.io/Logging_2513/klagomålsmail/A 19275-2025 FSC-klagomål mail.docx", "A 19275-2025")</f>
        <v/>
      </c>
      <c r="AA21">
        <f>HYPERLINK("https://klasma.github.io/Logging_2513/tillsyn/A 19275-2025 tillsynsbegäran.docx", "A 19275-2025")</f>
        <v/>
      </c>
      <c r="AB21">
        <f>HYPERLINK("https://klasma.github.io/Logging_2513/tillsynsmail/A 19275-2025 tillsynsbegäran mail.docx", "A 19275-2025")</f>
        <v/>
      </c>
    </row>
    <row r="22" ht="15" customHeight="1">
      <c r="A22" t="inlineStr">
        <is>
          <t>A 25551-2026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46216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3.9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s="2" t="inlineStr">
        <is>
          <t>Goliatmusseron
Blå taggsvamp
Orange taggsvamp</t>
        </is>
      </c>
      <c r="V22">
        <f>HYPERLINK("https://klasma.github.io/Logging_2513/artfynd/A 25551-2026 artfynd.xlsx", "A 25551-2026")</f>
        <v/>
      </c>
      <c r="W22">
        <f>HYPERLINK("https://klasma.github.io/Logging_2513/kartor/A 25551-2026 karta.png", "A 25551-2026")</f>
        <v/>
      </c>
      <c r="Y22">
        <f>HYPERLINK("https://klasma.github.io/Logging_2513/klagomål/A 25551-2026 FSC-klagomål.docx", "A 25551-2026")</f>
        <v/>
      </c>
      <c r="Z22">
        <f>HYPERLINK("https://klasma.github.io/Logging_2513/klagomålsmail/A 25551-2026 FSC-klagomål mail.docx", "A 25551-2026")</f>
        <v/>
      </c>
      <c r="AA22">
        <f>HYPERLINK("https://klasma.github.io/Logging_2513/tillsyn/A 25551-2026 tillsynsbegäran.docx", "A 25551-2026")</f>
        <v/>
      </c>
      <c r="AB22">
        <f>HYPERLINK("https://klasma.github.io/Logging_2513/tillsynsmail/A 25551-2026 tillsynsbegäran mail.docx", "A 25551-2026")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46216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Tallgråticka
Blå taggsvamp
Skarp dropptaggsvamp</t>
        </is>
      </c>
      <c r="V23">
        <f>HYPERLINK("https://klasma.github.io/Logging_2513/artfynd/A 25544-2026 artfynd.xlsx", "A 25544-2026")</f>
        <v/>
      </c>
      <c r="W23">
        <f>HYPERLINK("https://klasma.github.io/Logging_2513/kartor/A 25544-2026 karta.png", "A 25544-2026")</f>
        <v/>
      </c>
      <c r="Y23">
        <f>HYPERLINK("https://klasma.github.io/Logging_2513/klagomål/A 25544-2026 FSC-klagomål.docx", "A 25544-2026")</f>
        <v/>
      </c>
      <c r="Z23">
        <f>HYPERLINK("https://klasma.github.io/Logging_2513/klagomålsmail/A 25544-2026 FSC-klagomål mail.docx", "A 25544-2026")</f>
        <v/>
      </c>
      <c r="AA23">
        <f>HYPERLINK("https://klasma.github.io/Logging_2513/tillsyn/A 25544-2026 tillsynsbegäran.docx", "A 25544-2026")</f>
        <v/>
      </c>
      <c r="AB23">
        <f>HYPERLINK("https://klasma.github.io/Logging_2513/tillsynsmail/A 25544-2026 tillsynsbegäran mail.docx", "A 25544-2026")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46216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s="2" t="inlineStr">
        <is>
          <t>Garnlav
Lunglav
Fläcknycklar</t>
        </is>
      </c>
      <c r="V24">
        <f>HYPERLINK("https://klasma.github.io/Logging_2513/artfynd/A 28998-2026 artfynd.xlsx", "A 28998-2026")</f>
        <v/>
      </c>
      <c r="W24">
        <f>HYPERLINK("https://klasma.github.io/Logging_2513/kartor/A 28998-2026 karta.png", "A 28998-2026")</f>
        <v/>
      </c>
      <c r="Y24">
        <f>HYPERLINK("https://klasma.github.io/Logging_2513/klagomål/A 28998-2026 FSC-klagomål.docx", "A 28998-2026")</f>
        <v/>
      </c>
      <c r="Z24">
        <f>HYPERLINK("https://klasma.github.io/Logging_2513/klagomålsmail/A 28998-2026 FSC-klagomål mail.docx", "A 28998-2026")</f>
        <v/>
      </c>
      <c r="AA24">
        <f>HYPERLINK("https://klasma.github.io/Logging_2513/tillsyn/A 28998-2026 tillsynsbegäran.docx", "A 28998-2026")</f>
        <v/>
      </c>
      <c r="AB24">
        <f>HYPERLINK("https://klasma.github.io/Logging_2513/tillsynsmail/A 28998-2026 tillsynsbegäran mail.docx", "A 28998-2026")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46216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Skarp dropptaggsvamp
Violmussling</t>
        </is>
      </c>
      <c r="V25">
        <f>HYPERLINK("https://klasma.github.io/Logging_2513/artfynd/A 5797-2022 artfynd.xlsx", "A 5797-2022")</f>
        <v/>
      </c>
      <c r="W25">
        <f>HYPERLINK("https://klasma.github.io/Logging_2513/kartor/A 5797-2022 karta.png", "A 5797-2022")</f>
        <v/>
      </c>
      <c r="Y25">
        <f>HYPERLINK("https://klasma.github.io/Logging_2513/klagomål/A 5797-2022 FSC-klagomål.docx", "A 5797-2022")</f>
        <v/>
      </c>
      <c r="Z25">
        <f>HYPERLINK("https://klasma.github.io/Logging_2513/klagomålsmail/A 5797-2022 FSC-klagomål mail.docx", "A 5797-2022")</f>
        <v/>
      </c>
      <c r="AA25">
        <f>HYPERLINK("https://klasma.github.io/Logging_2513/tillsyn/A 5797-2022 tillsynsbegäran.docx", "A 5797-2022")</f>
        <v/>
      </c>
      <c r="AB25">
        <f>HYPERLINK("https://klasma.github.io/Logging_2513/tillsynsmail/A 5797-2022 tillsynsbegäran mail.docx", "A 5797-2022")</f>
        <v/>
      </c>
    </row>
    <row r="26" ht="15" customHeight="1">
      <c r="A26" t="inlineStr">
        <is>
          <t>A 26452-2025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45807</v>
      </c>
      <c r="E26" s="1" t="n">
        <v>46216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Gammelgransskål
Stor aspticka</t>
        </is>
      </c>
      <c r="V26">
        <f>HYPERLINK("https://klasma.github.io/Logging_2513/artfynd/A 26452-2025 artfynd.xlsx", "A 26452-2025")</f>
        <v/>
      </c>
      <c r="W26">
        <f>HYPERLINK("https://klasma.github.io/Logging_2513/kartor/A 26452-2025 karta.png", "A 26452-2025")</f>
        <v/>
      </c>
      <c r="Y26">
        <f>HYPERLINK("https://klasma.github.io/Logging_2513/klagomål/A 26452-2025 FSC-klagomål.docx", "A 26452-2025")</f>
        <v/>
      </c>
      <c r="Z26">
        <f>HYPERLINK("https://klasma.github.io/Logging_2513/klagomålsmail/A 26452-2025 FSC-klagomål mail.docx", "A 26452-2025")</f>
        <v/>
      </c>
      <c r="AA26">
        <f>HYPERLINK("https://klasma.github.io/Logging_2513/tillsyn/A 26452-2025 tillsynsbegäran.docx", "A 26452-2025")</f>
        <v/>
      </c>
      <c r="AB26">
        <f>HYPERLINK("https://klasma.github.io/Logging_2513/tillsynsmail/A 26452-2025 tillsynsbegäran mail.docx", "A 26452-2025")</f>
        <v/>
      </c>
    </row>
    <row r="27" ht="15" customHeight="1">
      <c r="A27" t="inlineStr">
        <is>
          <t>A 40116-2025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45894</v>
      </c>
      <c r="E27" s="1" t="n">
        <v>46216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29.7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5</v>
      </c>
      <c r="U27" s="2" t="inlineStr">
        <is>
          <t>Lunglav
Skrovellav</t>
        </is>
      </c>
      <c r="V27">
        <f>HYPERLINK("https://klasma.github.io/Logging_2513/artfynd/A 40116-2025 artfynd.xlsx", "A 40116-2025")</f>
        <v/>
      </c>
      <c r="W27">
        <f>HYPERLINK("https://klasma.github.io/Logging_2513/kartor/A 40116-2025 karta.png", "A 40116-2025")</f>
        <v/>
      </c>
      <c r="Y27">
        <f>HYPERLINK("https://klasma.github.io/Logging_2513/klagomål/A 40116-2025 FSC-klagomål.docx", "A 40116-2025")</f>
        <v/>
      </c>
      <c r="Z27">
        <f>HYPERLINK("https://klasma.github.io/Logging_2513/klagomålsmail/A 40116-2025 FSC-klagomål mail.docx", "A 40116-2025")</f>
        <v/>
      </c>
      <c r="AA27">
        <f>HYPERLINK("https://klasma.github.io/Logging_2513/tillsyn/A 40116-2025 tillsynsbegäran.docx", "A 40116-2025")</f>
        <v/>
      </c>
      <c r="AB27">
        <f>HYPERLINK("https://klasma.github.io/Logging_2513/tillsynsmail/A 40116-2025 tillsynsbegäran mail.docx", "A 40116-2025")</f>
        <v/>
      </c>
    </row>
    <row r="28" ht="15" customHeight="1">
      <c r="A28" t="inlineStr">
        <is>
          <t>A 40706-2023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46216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7.1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s="2" t="inlineStr">
        <is>
          <t>Knärot
Dropptaggsvamp</t>
        </is>
      </c>
      <c r="V28">
        <f>HYPERLINK("https://klasma.github.io/Logging_2513/artfynd/A 40706-2023 artfynd.xlsx", "A 40706-2023")</f>
        <v/>
      </c>
      <c r="W28">
        <f>HYPERLINK("https://klasma.github.io/Logging_2513/kartor/A 40706-2023 karta.png", "A 40706-2023")</f>
        <v/>
      </c>
      <c r="X28">
        <f>HYPERLINK("https://klasma.github.io/Logging_2513/knärot/A 40706-2023 karta knärot.png", "A 40706-2023")</f>
        <v/>
      </c>
      <c r="Y28">
        <f>HYPERLINK("https://klasma.github.io/Logging_2513/klagomål/A 40706-2023 FSC-klagomål.docx", "A 40706-2023")</f>
        <v/>
      </c>
      <c r="Z28">
        <f>HYPERLINK("https://klasma.github.io/Logging_2513/klagomålsmail/A 40706-2023 FSC-klagomål mail.docx", "A 40706-2023")</f>
        <v/>
      </c>
      <c r="AA28">
        <f>HYPERLINK("https://klasma.github.io/Logging_2513/tillsyn/A 40706-2023 tillsynsbegäran.docx", "A 40706-2023")</f>
        <v/>
      </c>
      <c r="AB28">
        <f>HYPERLINK("https://klasma.github.io/Logging_2513/tillsynsmail/A 40706-2023 tillsynsbegäran mail.docx", "A 40706-2023")</f>
        <v/>
      </c>
    </row>
    <row r="29" ht="15" customHeight="1">
      <c r="A29" t="inlineStr">
        <is>
          <t>A 42285-2025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45904</v>
      </c>
      <c r="E29" s="1" t="n">
        <v>46216</v>
      </c>
      <c r="F29" t="inlineStr">
        <is>
          <t>NORRBOTTENS LÄN</t>
        </is>
      </c>
      <c r="G29" t="inlineStr">
        <is>
          <t>ÖVERKALIX</t>
        </is>
      </c>
      <c r="I29" t="n">
        <v>0.3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Kungsfågel
Vanlig padda</t>
        </is>
      </c>
      <c r="V29">
        <f>HYPERLINK("https://klasma.github.io/Logging_2513/artfynd/A 42285-2025 artfynd.xlsx", "A 42285-2025")</f>
        <v/>
      </c>
      <c r="W29">
        <f>HYPERLINK("https://klasma.github.io/Logging_2513/kartor/A 42285-2025 karta.png", "A 42285-2025")</f>
        <v/>
      </c>
      <c r="Y29">
        <f>HYPERLINK("https://klasma.github.io/Logging_2513/klagomål/A 42285-2025 FSC-klagomål.docx", "A 42285-2025")</f>
        <v/>
      </c>
      <c r="Z29">
        <f>HYPERLINK("https://klasma.github.io/Logging_2513/klagomålsmail/A 42285-2025 FSC-klagomål mail.docx", "A 42285-2025")</f>
        <v/>
      </c>
      <c r="AA29">
        <f>HYPERLINK("https://klasma.github.io/Logging_2513/tillsyn/A 42285-2025 tillsynsbegäran.docx", "A 42285-2025")</f>
        <v/>
      </c>
      <c r="AB29">
        <f>HYPERLINK("https://klasma.github.io/Logging_2513/tillsynsmail/A 42285-2025 tillsynsbegäran mail.docx", "A 42285-2025")</f>
        <v/>
      </c>
    </row>
    <row r="30" ht="15" customHeight="1">
      <c r="A30" t="inlineStr">
        <is>
          <t>A 34921-2025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46216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16.4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Gammelgransskål
Lunglav</t>
        </is>
      </c>
      <c r="V30">
        <f>HYPERLINK("https://klasma.github.io/Logging_2513/artfynd/A 34921-2025 artfynd.xlsx", "A 34921-2025")</f>
        <v/>
      </c>
      <c r="W30">
        <f>HYPERLINK("https://klasma.github.io/Logging_2513/kartor/A 34921-2025 karta.png", "A 34921-2025")</f>
        <v/>
      </c>
      <c r="Y30">
        <f>HYPERLINK("https://klasma.github.io/Logging_2513/klagomål/A 34921-2025 FSC-klagomål.docx", "A 34921-2025")</f>
        <v/>
      </c>
      <c r="Z30">
        <f>HYPERLINK("https://klasma.github.io/Logging_2513/klagomålsmail/A 34921-2025 FSC-klagomål mail.docx", "A 34921-2025")</f>
        <v/>
      </c>
      <c r="AA30">
        <f>HYPERLINK("https://klasma.github.io/Logging_2513/tillsyn/A 34921-2025 tillsynsbegäran.docx", "A 34921-2025")</f>
        <v/>
      </c>
      <c r="AB30">
        <f>HYPERLINK("https://klasma.github.io/Logging_2513/tillsynsmail/A 34921-2025 tillsynsbegäran mail.docx", "A 34921-2025")</f>
        <v/>
      </c>
    </row>
    <row r="31" ht="15" customHeight="1">
      <c r="A31" t="inlineStr">
        <is>
          <t>A 7477-2023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46216</v>
      </c>
      <c r="F31" t="inlineStr">
        <is>
          <t>NORRBOTTENS LÄN</t>
        </is>
      </c>
      <c r="G31" t="inlineStr">
        <is>
          <t>ÖVERKALIX</t>
        </is>
      </c>
      <c r="I31" t="n">
        <v>2.6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HYPERLINK("https://klasma.github.io/Logging_2513/artfynd/A 7477-2023 artfynd.xlsx", "A 7477-2023")</f>
        <v/>
      </c>
      <c r="W31">
        <f>HYPERLINK("https://klasma.github.io/Logging_2513/kartor/A 7477-2023 karta.png", "A 7477-2023")</f>
        <v/>
      </c>
      <c r="Y31">
        <f>HYPERLINK("https://klasma.github.io/Logging_2513/klagomål/A 7477-2023 FSC-klagomål.docx", "A 7477-2023")</f>
        <v/>
      </c>
      <c r="Z31">
        <f>HYPERLINK("https://klasma.github.io/Logging_2513/klagomålsmail/A 7477-2023 FSC-klagomål mail.docx", "A 7477-2023")</f>
        <v/>
      </c>
      <c r="AA31">
        <f>HYPERLINK("https://klasma.github.io/Logging_2513/tillsyn/A 7477-2023 tillsynsbegäran.docx", "A 7477-2023")</f>
        <v/>
      </c>
      <c r="AB31">
        <f>HYPERLINK("https://klasma.github.io/Logging_2513/tillsynsmail/A 7477-2023 tillsynsbegäran mail.docx", "A 7477-2023")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46216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Garnlav
Ullticka</t>
        </is>
      </c>
      <c r="V32">
        <f>HYPERLINK("https://klasma.github.io/Logging_2513/artfynd/A 62951-2025 artfynd.xlsx", "A 62951-2025")</f>
        <v/>
      </c>
      <c r="W32">
        <f>HYPERLINK("https://klasma.github.io/Logging_2513/kartor/A 62951-2025 karta.png", "A 62951-2025")</f>
        <v/>
      </c>
      <c r="Y32">
        <f>HYPERLINK("https://klasma.github.io/Logging_2513/klagomål/A 62951-2025 FSC-klagomål.docx", "A 62951-2025")</f>
        <v/>
      </c>
      <c r="Z32">
        <f>HYPERLINK("https://klasma.github.io/Logging_2513/klagomålsmail/A 62951-2025 FSC-klagomål mail.docx", "A 62951-2025")</f>
        <v/>
      </c>
      <c r="AA32">
        <f>HYPERLINK("https://klasma.github.io/Logging_2513/tillsyn/A 62951-2025 tillsynsbegäran.docx", "A 62951-2025")</f>
        <v/>
      </c>
      <c r="AB32">
        <f>HYPERLINK("https://klasma.github.io/Logging_2513/tillsynsmail/A 62951-2025 tillsynsbegäran mail.docx", "A 62951-2025")</f>
        <v/>
      </c>
    </row>
    <row r="33" ht="15" customHeight="1">
      <c r="A33" t="inlineStr">
        <is>
          <t>A 14152-2026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46099</v>
      </c>
      <c r="E33" s="1" t="n">
        <v>46216</v>
      </c>
      <c r="F33" t="inlineStr">
        <is>
          <t>NORRBOTTENS LÄN</t>
        </is>
      </c>
      <c r="G33" t="inlineStr">
        <is>
          <t>ÖVERKALIX</t>
        </is>
      </c>
      <c r="I33" t="n">
        <v>4.6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Källpraktmossa
Spädstarr</t>
        </is>
      </c>
      <c r="V33">
        <f>HYPERLINK("https://klasma.github.io/Logging_2513/artfynd/A 14152-2026 artfynd.xlsx", "A 14152-2026")</f>
        <v/>
      </c>
      <c r="W33">
        <f>HYPERLINK("https://klasma.github.io/Logging_2513/kartor/A 14152-2026 karta.png", "A 14152-2026")</f>
        <v/>
      </c>
      <c r="Y33">
        <f>HYPERLINK("https://klasma.github.io/Logging_2513/klagomål/A 14152-2026 FSC-klagomål.docx", "A 14152-2026")</f>
        <v/>
      </c>
      <c r="Z33">
        <f>HYPERLINK("https://klasma.github.io/Logging_2513/klagomålsmail/A 14152-2026 FSC-klagomål mail.docx", "A 14152-2026")</f>
        <v/>
      </c>
      <c r="AA33">
        <f>HYPERLINK("https://klasma.github.io/Logging_2513/tillsyn/A 14152-2026 tillsynsbegäran.docx", "A 14152-2026")</f>
        <v/>
      </c>
      <c r="AB33">
        <f>HYPERLINK("https://klasma.github.io/Logging_2513/tillsynsmail/A 14152-2026 tillsynsbegäran mail.docx", "A 14152-2026")</f>
        <v/>
      </c>
    </row>
    <row r="34" ht="15" customHeight="1">
      <c r="A34" t="inlineStr">
        <is>
          <t>A 36803-2023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46216</v>
      </c>
      <c r="F34" t="inlineStr">
        <is>
          <t>NORRBOTTENS LÄN</t>
        </is>
      </c>
      <c r="G34" t="inlineStr">
        <is>
          <t>ÖVERKALIX</t>
        </is>
      </c>
      <c r="I34" t="n">
        <v>3.1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6</v>
      </c>
      <c r="U34" s="2" t="inlineStr">
        <is>
          <t>Knärot
Revlummer</t>
        </is>
      </c>
      <c r="V34">
        <f>HYPERLINK("https://klasma.github.io/Logging_2513/artfynd/A 36803-2023 artfynd.xlsx", "A 36803-2023")</f>
        <v/>
      </c>
      <c r="W34">
        <f>HYPERLINK("https://klasma.github.io/Logging_2513/kartor/A 36803-2023 karta.png", "A 36803-2023")</f>
        <v/>
      </c>
      <c r="X34">
        <f>HYPERLINK("https://klasma.github.io/Logging_2513/knärot/A 36803-2023 karta knärot.png", "A 36803-2023")</f>
        <v/>
      </c>
      <c r="Y34">
        <f>HYPERLINK("https://klasma.github.io/Logging_2513/klagomål/A 36803-2023 FSC-klagomål.docx", "A 36803-2023")</f>
        <v/>
      </c>
      <c r="Z34">
        <f>HYPERLINK("https://klasma.github.io/Logging_2513/klagomålsmail/A 36803-2023 FSC-klagomål mail.docx", "A 36803-2023")</f>
        <v/>
      </c>
      <c r="AA34">
        <f>HYPERLINK("https://klasma.github.io/Logging_2513/tillsyn/A 36803-2023 tillsynsbegäran.docx", "A 36803-2023")</f>
        <v/>
      </c>
      <c r="AB34">
        <f>HYPERLINK("https://klasma.github.io/Logging_2513/tillsynsmail/A 36803-2023 tillsynsbegäran mail.docx", "A 36803-2023")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46216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Blå taggsvamp
Skarp dropptaggsvamp</t>
        </is>
      </c>
      <c r="V35">
        <f>HYPERLINK("https://klasma.github.io/Logging_2513/artfynd/A 47680-2024 artfynd.xlsx", "A 47680-2024")</f>
        <v/>
      </c>
      <c r="W35">
        <f>HYPERLINK("https://klasma.github.io/Logging_2513/kartor/A 47680-2024 karta.png", "A 47680-2024")</f>
        <v/>
      </c>
      <c r="Y35">
        <f>HYPERLINK("https://klasma.github.io/Logging_2513/klagomål/A 47680-2024 FSC-klagomål.docx", "A 47680-2024")</f>
        <v/>
      </c>
      <c r="Z35">
        <f>HYPERLINK("https://klasma.github.io/Logging_2513/klagomålsmail/A 47680-2024 FSC-klagomål mail.docx", "A 47680-2024")</f>
        <v/>
      </c>
      <c r="AA35">
        <f>HYPERLINK("https://klasma.github.io/Logging_2513/tillsyn/A 47680-2024 tillsynsbegäran.docx", "A 47680-2024")</f>
        <v/>
      </c>
      <c r="AB35">
        <f>HYPERLINK("https://klasma.github.io/Logging_2513/tillsynsmail/A 47680-2024 tillsynsbegäran mail.docx", "A 47680-2024")</f>
        <v/>
      </c>
    </row>
    <row r="36" ht="15" customHeight="1">
      <c r="A36" t="inlineStr">
        <is>
          <t>A 36378-2024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45534</v>
      </c>
      <c r="E36" s="1" t="n">
        <v>46216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21.5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Lunglav
Fläcknycklar</t>
        </is>
      </c>
      <c r="V36">
        <f>HYPERLINK("https://klasma.github.io/Logging_2513/artfynd/A 36378-2024 artfynd.xlsx", "A 36378-2024")</f>
        <v/>
      </c>
      <c r="W36">
        <f>HYPERLINK("https://klasma.github.io/Logging_2513/kartor/A 36378-2024 karta.png", "A 36378-2024")</f>
        <v/>
      </c>
      <c r="Y36">
        <f>HYPERLINK("https://klasma.github.io/Logging_2513/klagomål/A 36378-2024 FSC-klagomål.docx", "A 36378-2024")</f>
        <v/>
      </c>
      <c r="Z36">
        <f>HYPERLINK("https://klasma.github.io/Logging_2513/klagomålsmail/A 36378-2024 FSC-klagomål mail.docx", "A 36378-2024")</f>
        <v/>
      </c>
      <c r="AA36">
        <f>HYPERLINK("https://klasma.github.io/Logging_2513/tillsyn/A 36378-2024 tillsynsbegäran.docx", "A 36378-2024")</f>
        <v/>
      </c>
      <c r="AB36">
        <f>HYPERLINK("https://klasma.github.io/Logging_2513/tillsynsmail/A 36378-2024 tillsynsbegäran mail.docx", "A 36378-2024")</f>
        <v/>
      </c>
    </row>
    <row r="37" ht="15" customHeight="1">
      <c r="A37" t="inlineStr">
        <is>
          <t>A 36381-2024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46216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26.7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Gammelgransskål
Orre</t>
        </is>
      </c>
      <c r="V37">
        <f>HYPERLINK("https://klasma.github.io/Logging_2513/artfynd/A 36381-2024 artfynd.xlsx", "A 36381-2024")</f>
        <v/>
      </c>
      <c r="W37">
        <f>HYPERLINK("https://klasma.github.io/Logging_2513/kartor/A 36381-2024 karta.png", "A 36381-2024")</f>
        <v/>
      </c>
      <c r="Y37">
        <f>HYPERLINK("https://klasma.github.io/Logging_2513/klagomål/A 36381-2024 FSC-klagomål.docx", "A 36381-2024")</f>
        <v/>
      </c>
      <c r="Z37">
        <f>HYPERLINK("https://klasma.github.io/Logging_2513/klagomålsmail/A 36381-2024 FSC-klagomål mail.docx", "A 36381-2024")</f>
        <v/>
      </c>
      <c r="AA37">
        <f>HYPERLINK("https://klasma.github.io/Logging_2513/tillsyn/A 36381-2024 tillsynsbegäran.docx", "A 36381-2024")</f>
        <v/>
      </c>
      <c r="AB37">
        <f>HYPERLINK("https://klasma.github.io/Logging_2513/tillsynsmail/A 36381-2024 tillsynsbegäran mail.docx", "A 36381-2024")</f>
        <v/>
      </c>
      <c r="AC37">
        <f>HYPERLINK("https://klasma.github.io/Logging_2513/fåglar/A 36381-2024 prioriterade fågelarter.docx", "A 36381-2024")</f>
        <v/>
      </c>
    </row>
    <row r="38" ht="15" customHeight="1">
      <c r="A38" t="inlineStr">
        <is>
          <t>A 28029-2026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46216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Blå taggsvamp
Bollvitmossa</t>
        </is>
      </c>
      <c r="V38">
        <f>HYPERLINK("https://klasma.github.io/Logging_2513/artfynd/A 28029-2026 artfynd.xlsx", "A 28029-2026")</f>
        <v/>
      </c>
      <c r="W38">
        <f>HYPERLINK("https://klasma.github.io/Logging_2513/kartor/A 28029-2026 karta.png", "A 28029-2026")</f>
        <v/>
      </c>
      <c r="Y38">
        <f>HYPERLINK("https://klasma.github.io/Logging_2513/klagomål/A 28029-2026 FSC-klagomål.docx", "A 28029-2026")</f>
        <v/>
      </c>
      <c r="Z38">
        <f>HYPERLINK("https://klasma.github.io/Logging_2513/klagomålsmail/A 28029-2026 FSC-klagomål mail.docx", "A 28029-2026")</f>
        <v/>
      </c>
      <c r="AA38">
        <f>HYPERLINK("https://klasma.github.io/Logging_2513/tillsyn/A 28029-2026 tillsynsbegäran.docx", "A 28029-2026")</f>
        <v/>
      </c>
      <c r="AB38">
        <f>HYPERLINK("https://klasma.github.io/Logging_2513/tillsynsmail/A 28029-2026 tillsynsbegäran mail.docx", "A 28029-2026")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46216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s="2" t="inlineStr">
        <is>
          <t>Knärot
Fläcknycklar</t>
        </is>
      </c>
      <c r="V39">
        <f>HYPERLINK("https://klasma.github.io/Logging_2513/artfynd/A 28929-2026 artfynd.xlsx", "A 28929-2026")</f>
        <v/>
      </c>
      <c r="W39">
        <f>HYPERLINK("https://klasma.github.io/Logging_2513/kartor/A 28929-2026 karta.png", "A 28929-2026")</f>
        <v/>
      </c>
      <c r="X39">
        <f>HYPERLINK("https://klasma.github.io/Logging_2513/knärot/A 28929-2026 karta knärot.png", "A 28929-2026")</f>
        <v/>
      </c>
      <c r="Y39">
        <f>HYPERLINK("https://klasma.github.io/Logging_2513/klagomål/A 28929-2026 FSC-klagomål.docx", "A 28929-2026")</f>
        <v/>
      </c>
      <c r="Z39">
        <f>HYPERLINK("https://klasma.github.io/Logging_2513/klagomålsmail/A 28929-2026 FSC-klagomål mail.docx", "A 28929-2026")</f>
        <v/>
      </c>
      <c r="AA39">
        <f>HYPERLINK("https://klasma.github.io/Logging_2513/tillsyn/A 28929-2026 tillsynsbegäran.docx", "A 28929-2026")</f>
        <v/>
      </c>
      <c r="AB39">
        <f>HYPERLINK("https://klasma.github.io/Logging_2513/tillsynsmail/A 28929-2026 tillsynsbegäran mail.docx", "A 28929-2026")</f>
        <v/>
      </c>
    </row>
    <row r="40" ht="15" customHeight="1">
      <c r="A40" t="inlineStr">
        <is>
          <t>A 50691-2024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46216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4.2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Gammelgransskål
Vedticka</t>
        </is>
      </c>
      <c r="V40">
        <f>HYPERLINK("https://klasma.github.io/Logging_2513/artfynd/A 50691-2024 artfynd.xlsx", "A 50691-2024")</f>
        <v/>
      </c>
      <c r="W40">
        <f>HYPERLINK("https://klasma.github.io/Logging_2513/kartor/A 50691-2024 karta.png", "A 50691-2024")</f>
        <v/>
      </c>
      <c r="Y40">
        <f>HYPERLINK("https://klasma.github.io/Logging_2513/klagomål/A 50691-2024 FSC-klagomål.docx", "A 50691-2024")</f>
        <v/>
      </c>
      <c r="Z40">
        <f>HYPERLINK("https://klasma.github.io/Logging_2513/klagomålsmail/A 50691-2024 FSC-klagomål mail.docx", "A 50691-2024")</f>
        <v/>
      </c>
      <c r="AA40">
        <f>HYPERLINK("https://klasma.github.io/Logging_2513/tillsyn/A 50691-2024 tillsynsbegäran.docx", "A 50691-2024")</f>
        <v/>
      </c>
      <c r="AB40">
        <f>HYPERLINK("https://klasma.github.io/Logging_2513/tillsynsmail/A 50691-2024 tillsynsbegäran mail.docx", "A 50691-2024")</f>
        <v/>
      </c>
    </row>
    <row r="41" ht="15" customHeight="1">
      <c r="A41" t="inlineStr">
        <is>
          <t>A 23373-2026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46162</v>
      </c>
      <c r="E41" s="1" t="n">
        <v>46216</v>
      </c>
      <c r="F41" t="inlineStr">
        <is>
          <t>NORRBOTTENS LÄN</t>
        </is>
      </c>
      <c r="G41" t="inlineStr">
        <is>
          <t>ÖVERKALIX</t>
        </is>
      </c>
      <c r="I41" t="n">
        <v>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Garnlav
Sälg</t>
        </is>
      </c>
      <c r="V41">
        <f>HYPERLINK("https://klasma.github.io/Logging_2513/artfynd/A 23373-2026 artfynd.xlsx", "A 23373-2026")</f>
        <v/>
      </c>
      <c r="W41">
        <f>HYPERLINK("https://klasma.github.io/Logging_2513/kartor/A 23373-2026 karta.png", "A 23373-2026")</f>
        <v/>
      </c>
      <c r="Y41">
        <f>HYPERLINK("https://klasma.github.io/Logging_2513/klagomål/A 23373-2026 FSC-klagomål.docx", "A 23373-2026")</f>
        <v/>
      </c>
      <c r="Z41">
        <f>HYPERLINK("https://klasma.github.io/Logging_2513/klagomålsmail/A 23373-2026 FSC-klagomål mail.docx", "A 23373-2026")</f>
        <v/>
      </c>
      <c r="AA41">
        <f>HYPERLINK("https://klasma.github.io/Logging_2513/tillsyn/A 23373-2026 tillsynsbegäran.docx", "A 23373-2026")</f>
        <v/>
      </c>
      <c r="AB41">
        <f>HYPERLINK("https://klasma.github.io/Logging_2513/tillsynsmail/A 23373-2026 tillsynsbegäran mail.docx", "A 23373-2026")</f>
        <v/>
      </c>
    </row>
    <row r="42" ht="15" customHeight="1">
      <c r="A42" t="inlineStr">
        <is>
          <t>A 60509-2021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44496</v>
      </c>
      <c r="E42" s="1" t="n">
        <v>46216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13.5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Stor aspticka
Vedticka</t>
        </is>
      </c>
      <c r="V42">
        <f>HYPERLINK("https://klasma.github.io/Logging_2513/artfynd/A 60509-2021 artfynd.xlsx", "A 60509-2021")</f>
        <v/>
      </c>
      <c r="W42">
        <f>HYPERLINK("https://klasma.github.io/Logging_2513/kartor/A 60509-2021 karta.png", "A 60509-2021")</f>
        <v/>
      </c>
      <c r="Y42">
        <f>HYPERLINK("https://klasma.github.io/Logging_2513/klagomål/A 60509-2021 FSC-klagomål.docx", "A 60509-2021")</f>
        <v/>
      </c>
      <c r="Z42">
        <f>HYPERLINK("https://klasma.github.io/Logging_2513/klagomålsmail/A 60509-2021 FSC-klagomål mail.docx", "A 60509-2021")</f>
        <v/>
      </c>
      <c r="AA42">
        <f>HYPERLINK("https://klasma.github.io/Logging_2513/tillsyn/A 60509-2021 tillsynsbegäran.docx", "A 60509-2021")</f>
        <v/>
      </c>
      <c r="AB42">
        <f>HYPERLINK("https://klasma.github.io/Logging_2513/tillsynsmail/A 60509-2021 tillsynsbegäran mail.docx", "A 60509-2021")</f>
        <v/>
      </c>
    </row>
    <row r="43" ht="15" customHeight="1">
      <c r="A43" t="inlineStr">
        <is>
          <t>S 2701-2024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45482</v>
      </c>
      <c r="E43" s="1" t="n">
        <v>46216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s="2" t="inlineStr">
        <is>
          <t>Höstlåsbräken
Månlåsbräken</t>
        </is>
      </c>
      <c r="V43">
        <f>HYPERLINK("https://klasma.github.io/Logging_2513/artfynd/S 2701-2024 artfynd.xlsx", "S 2701-2024")</f>
        <v/>
      </c>
      <c r="W43">
        <f>HYPERLINK("https://klasma.github.io/Logging_2513/kartor/S 2701-2024 karta.png", "S 2701-2024")</f>
        <v/>
      </c>
      <c r="Y43">
        <f>HYPERLINK("https://klasma.github.io/Logging_2513/klagomål/S 2701-2024 FSC-klagomål.docx", "S 2701-2024")</f>
        <v/>
      </c>
      <c r="Z43">
        <f>HYPERLINK("https://klasma.github.io/Logging_2513/klagomålsmail/S 2701-2024 FSC-klagomål mail.docx", "S 2701-2024")</f>
        <v/>
      </c>
      <c r="AA43">
        <f>HYPERLINK("https://klasma.github.io/Logging_2513/tillsyn/S 2701-2024 tillsynsbegäran.docx", "S 2701-2024")</f>
        <v/>
      </c>
      <c r="AB43">
        <f>HYPERLINK("https://klasma.github.io/Logging_2513/tillsynsmail/S 2701-2024 tillsynsbegäran mail.docx", "S 2701-2024")</f>
        <v/>
      </c>
    </row>
    <row r="44" ht="15" customHeight="1">
      <c r="A44" t="inlineStr">
        <is>
          <t>A 15137-2022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44658</v>
      </c>
      <c r="E44" s="1" t="n">
        <v>46216</v>
      </c>
      <c r="F44" t="inlineStr">
        <is>
          <t>NORRBOTTENS LÄN</t>
        </is>
      </c>
      <c r="G44" t="inlineStr">
        <is>
          <t>ÖVERKALIX</t>
        </is>
      </c>
      <c r="I44" t="n">
        <v>5.7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Kortskaftad ärgspik</t>
        </is>
      </c>
      <c r="V44">
        <f>HYPERLINK("https://klasma.github.io/Logging_2513/artfynd/A 15137-2022 artfynd.xlsx", "A 15137-2022")</f>
        <v/>
      </c>
      <c r="W44">
        <f>HYPERLINK("https://klasma.github.io/Logging_2513/kartor/A 15137-2022 karta.png", "A 15137-2022")</f>
        <v/>
      </c>
      <c r="Y44">
        <f>HYPERLINK("https://klasma.github.io/Logging_2513/klagomål/A 15137-2022 FSC-klagomål.docx", "A 15137-2022")</f>
        <v/>
      </c>
      <c r="Z44">
        <f>HYPERLINK("https://klasma.github.io/Logging_2513/klagomålsmail/A 15137-2022 FSC-klagomål mail.docx", "A 15137-2022")</f>
        <v/>
      </c>
      <c r="AA44">
        <f>HYPERLINK("https://klasma.github.io/Logging_2513/tillsyn/A 15137-2022 tillsynsbegäran.docx", "A 15137-2022")</f>
        <v/>
      </c>
      <c r="AB44">
        <f>HYPERLINK("https://klasma.github.io/Logging_2513/tillsynsmail/A 15137-2022 tillsynsbegäran mail.docx", "A 15137-2022")</f>
        <v/>
      </c>
    </row>
    <row r="45" ht="15" customHeight="1">
      <c r="A45" t="inlineStr">
        <is>
          <t>A 22977-2022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44717</v>
      </c>
      <c r="E45" s="1" t="n">
        <v>46216</v>
      </c>
      <c r="F45" t="inlineStr">
        <is>
          <t>NORRBOTTENS LÄN</t>
        </is>
      </c>
      <c r="G45" t="inlineStr">
        <is>
          <t>ÖVERKALIX</t>
        </is>
      </c>
      <c r="I45" t="n">
        <v>19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Bivråk</t>
        </is>
      </c>
      <c r="V45">
        <f>HYPERLINK("https://klasma.github.io/Logging_2513/artfynd/A 22977-2022 artfynd.xlsx", "A 22977-2022")</f>
        <v/>
      </c>
      <c r="W45">
        <f>HYPERLINK("https://klasma.github.io/Logging_2513/kartor/A 22977-2022 karta.png", "A 22977-2022")</f>
        <v/>
      </c>
      <c r="Y45">
        <f>HYPERLINK("https://klasma.github.io/Logging_2513/klagomål/A 22977-2022 FSC-klagomål.docx", "A 22977-2022")</f>
        <v/>
      </c>
      <c r="Z45">
        <f>HYPERLINK("https://klasma.github.io/Logging_2513/klagomålsmail/A 22977-2022 FSC-klagomål mail.docx", "A 22977-2022")</f>
        <v/>
      </c>
      <c r="AA45">
        <f>HYPERLINK("https://klasma.github.io/Logging_2513/tillsyn/A 22977-2022 tillsynsbegäran.docx", "A 22977-2022")</f>
        <v/>
      </c>
      <c r="AB45">
        <f>HYPERLINK("https://klasma.github.io/Logging_2513/tillsynsmail/A 22977-2022 tillsynsbegäran mail.docx", "A 22977-2022")</f>
        <v/>
      </c>
      <c r="AC45">
        <f>HYPERLINK("https://klasma.github.io/Logging_2513/fåglar/A 22977-2022 prioriterade fågelarter.docx", "A 22977-2022")</f>
        <v/>
      </c>
    </row>
    <row r="46" ht="15" customHeight="1">
      <c r="A46" t="inlineStr">
        <is>
          <t>A 26305-2025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46216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5.2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Luddlav</t>
        </is>
      </c>
      <c r="V46">
        <f>HYPERLINK("https://klasma.github.io/Logging_2513/artfynd/A 26305-2025 artfynd.xlsx", "A 26305-2025")</f>
        <v/>
      </c>
      <c r="W46">
        <f>HYPERLINK("https://klasma.github.io/Logging_2513/kartor/A 26305-2025 karta.png", "A 26305-2025")</f>
        <v/>
      </c>
      <c r="Y46">
        <f>HYPERLINK("https://klasma.github.io/Logging_2513/klagomål/A 26305-2025 FSC-klagomål.docx", "A 26305-2025")</f>
        <v/>
      </c>
      <c r="Z46">
        <f>HYPERLINK("https://klasma.github.io/Logging_2513/klagomålsmail/A 26305-2025 FSC-klagomål mail.docx", "A 26305-2025")</f>
        <v/>
      </c>
      <c r="AA46">
        <f>HYPERLINK("https://klasma.github.io/Logging_2513/tillsyn/A 26305-2025 tillsynsbegäran.docx", "A 26305-2025")</f>
        <v/>
      </c>
      <c r="AB46">
        <f>HYPERLINK("https://klasma.github.io/Logging_2513/tillsynsmail/A 26305-2025 tillsynsbegäran mail.docx", "A 26305-2025")</f>
        <v/>
      </c>
    </row>
    <row r="47" ht="15" customHeight="1">
      <c r="A47" t="inlineStr">
        <is>
          <t>A 27452-2025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45813</v>
      </c>
      <c r="E47" s="1" t="n">
        <v>46216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6.3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HYPERLINK("https://klasma.github.io/Logging_2513/artfynd/A 27452-2025 artfynd.xlsx", "A 27452-2025")</f>
        <v/>
      </c>
      <c r="W47">
        <f>HYPERLINK("https://klasma.github.io/Logging_2513/kartor/A 27452-2025 karta.png", "A 27452-2025")</f>
        <v/>
      </c>
      <c r="Y47">
        <f>HYPERLINK("https://klasma.github.io/Logging_2513/klagomål/A 27452-2025 FSC-klagomål.docx", "A 27452-2025")</f>
        <v/>
      </c>
      <c r="Z47">
        <f>HYPERLINK("https://klasma.github.io/Logging_2513/klagomålsmail/A 27452-2025 FSC-klagomål mail.docx", "A 27452-2025")</f>
        <v/>
      </c>
      <c r="AA47">
        <f>HYPERLINK("https://klasma.github.io/Logging_2513/tillsyn/A 27452-2025 tillsynsbegäran.docx", "A 27452-2025")</f>
        <v/>
      </c>
      <c r="AB47">
        <f>HYPERLINK("https://klasma.github.io/Logging_2513/tillsynsmail/A 27452-2025 tillsynsbegäran mail.docx", "A 27452-2025")</f>
        <v/>
      </c>
      <c r="AC47">
        <f>HYPERLINK("https://klasma.github.io/Logging_2513/fåglar/A 27452-2025 prioriterade fågelarter.docx", "A 27452-2025")</f>
        <v/>
      </c>
    </row>
    <row r="48" ht="15" customHeight="1">
      <c r="A48" t="inlineStr">
        <is>
          <t>A 37532-2022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46216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Blå taggsvamp</t>
        </is>
      </c>
      <c r="V48">
        <f>HYPERLINK("https://klasma.github.io/Logging_2513/artfynd/A 37532-2022 artfynd.xlsx", "A 37532-2022")</f>
        <v/>
      </c>
      <c r="W48">
        <f>HYPERLINK("https://klasma.github.io/Logging_2513/kartor/A 37532-2022 karta.png", "A 37532-2022")</f>
        <v/>
      </c>
      <c r="Y48">
        <f>HYPERLINK("https://klasma.github.io/Logging_2513/klagomål/A 37532-2022 FSC-klagomål.docx", "A 37532-2022")</f>
        <v/>
      </c>
      <c r="Z48">
        <f>HYPERLINK("https://klasma.github.io/Logging_2513/klagomålsmail/A 37532-2022 FSC-klagomål mail.docx", "A 37532-2022")</f>
        <v/>
      </c>
      <c r="AA48">
        <f>HYPERLINK("https://klasma.github.io/Logging_2513/tillsyn/A 37532-2022 tillsynsbegäran.docx", "A 37532-2022")</f>
        <v/>
      </c>
      <c r="AB48">
        <f>HYPERLINK("https://klasma.github.io/Logging_2513/tillsynsmail/A 37532-2022 tillsynsbegäran mail.docx", "A 37532-2022")</f>
        <v/>
      </c>
    </row>
    <row r="49" ht="15" customHeight="1">
      <c r="A49" t="inlineStr">
        <is>
          <t>A 35602-2025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45859</v>
      </c>
      <c r="E49" s="1" t="n">
        <v>46216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Fläcknycklar</t>
        </is>
      </c>
      <c r="V49">
        <f>HYPERLINK("https://klasma.github.io/Logging_2513/artfynd/A 35602-2025 artfynd.xlsx", "A 35602-2025")</f>
        <v/>
      </c>
      <c r="W49">
        <f>HYPERLINK("https://klasma.github.io/Logging_2513/kartor/A 35602-2025 karta.png", "A 35602-2025")</f>
        <v/>
      </c>
      <c r="Y49">
        <f>HYPERLINK("https://klasma.github.io/Logging_2513/klagomål/A 35602-2025 FSC-klagomål.docx", "A 35602-2025")</f>
        <v/>
      </c>
      <c r="Z49">
        <f>HYPERLINK("https://klasma.github.io/Logging_2513/klagomålsmail/A 35602-2025 FSC-klagomål mail.docx", "A 35602-2025")</f>
        <v/>
      </c>
      <c r="AA49">
        <f>HYPERLINK("https://klasma.github.io/Logging_2513/tillsyn/A 35602-2025 tillsynsbegäran.docx", "A 35602-2025")</f>
        <v/>
      </c>
      <c r="AB49">
        <f>HYPERLINK("https://klasma.github.io/Logging_2513/tillsynsmail/A 35602-2025 tillsynsbegäran mail.docx", "A 35602-2025")</f>
        <v/>
      </c>
    </row>
    <row r="50" ht="15" customHeight="1">
      <c r="A50" t="inlineStr">
        <is>
          <t>A 46280-2024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46216</v>
      </c>
      <c r="F50" t="inlineStr">
        <is>
          <t>NORRBOTTENS LÄN</t>
        </is>
      </c>
      <c r="G50" t="inlineStr">
        <is>
          <t>ÖVERKALIX</t>
        </is>
      </c>
      <c r="H50" t="inlineStr">
        <is>
          <t>SCA</t>
        </is>
      </c>
      <c r="I50" t="n">
        <v>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Spillkråka</t>
        </is>
      </c>
      <c r="V50">
        <f>HYPERLINK("https://klasma.github.io/Logging_2513/artfynd/A 46280-2024 artfynd.xlsx", "A 46280-2024")</f>
        <v/>
      </c>
      <c r="W50">
        <f>HYPERLINK("https://klasma.github.io/Logging_2513/kartor/A 46280-2024 karta.png", "A 46280-2024")</f>
        <v/>
      </c>
      <c r="Y50">
        <f>HYPERLINK("https://klasma.github.io/Logging_2513/klagomål/A 46280-2024 FSC-klagomål.docx", "A 46280-2024")</f>
        <v/>
      </c>
      <c r="Z50">
        <f>HYPERLINK("https://klasma.github.io/Logging_2513/klagomålsmail/A 46280-2024 FSC-klagomål mail.docx", "A 46280-2024")</f>
        <v/>
      </c>
      <c r="AA50">
        <f>HYPERLINK("https://klasma.github.io/Logging_2513/tillsyn/A 46280-2024 tillsynsbegäran.docx", "A 46280-2024")</f>
        <v/>
      </c>
      <c r="AB50">
        <f>HYPERLINK("https://klasma.github.io/Logging_2513/tillsynsmail/A 46280-2024 tillsynsbegäran mail.docx", "A 46280-2024")</f>
        <v/>
      </c>
      <c r="AC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46216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HYPERLINK("https://klasma.github.io/Logging_2513/artfynd/A 46281-2024 artfynd.xlsx", "A 46281-2024")</f>
        <v/>
      </c>
      <c r="W51">
        <f>HYPERLINK("https://klasma.github.io/Logging_2513/kartor/A 46281-2024 karta.png", "A 46281-2024")</f>
        <v/>
      </c>
      <c r="Y51">
        <f>HYPERLINK("https://klasma.github.io/Logging_2513/klagomål/A 46281-2024 FSC-klagomål.docx", "A 46281-2024")</f>
        <v/>
      </c>
      <c r="Z51">
        <f>HYPERLINK("https://klasma.github.io/Logging_2513/klagomålsmail/A 46281-2024 FSC-klagomål mail.docx", "A 46281-2024")</f>
        <v/>
      </c>
      <c r="AA51">
        <f>HYPERLINK("https://klasma.github.io/Logging_2513/tillsyn/A 46281-2024 tillsynsbegäran.docx", "A 46281-2024")</f>
        <v/>
      </c>
      <c r="AB51">
        <f>HYPERLINK("https://klasma.github.io/Logging_2513/tillsynsmail/A 46281-2024 tillsynsbegäran mail.docx", "A 46281-2024")</f>
        <v/>
      </c>
    </row>
    <row r="52" ht="15" customHeight="1">
      <c r="A52" t="inlineStr">
        <is>
          <t>A 7234-2023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46216</v>
      </c>
      <c r="F52" t="inlineStr">
        <is>
          <t>NORRBOTTENS LÄN</t>
        </is>
      </c>
      <c r="G52" t="inlineStr">
        <is>
          <t>ÖVERKALIX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HYPERLINK("https://klasma.github.io/Logging_2513/artfynd/A 7234-2023 artfynd.xlsx", "A 7234-2023")</f>
        <v/>
      </c>
      <c r="W52">
        <f>HYPERLINK("https://klasma.github.io/Logging_2513/kartor/A 7234-2023 karta.png", "A 7234-2023")</f>
        <v/>
      </c>
      <c r="Y52">
        <f>HYPERLINK("https://klasma.github.io/Logging_2513/klagomål/A 7234-2023 FSC-klagomål.docx", "A 7234-2023")</f>
        <v/>
      </c>
      <c r="Z52">
        <f>HYPERLINK("https://klasma.github.io/Logging_2513/klagomålsmail/A 7234-2023 FSC-klagomål mail.docx", "A 7234-2023")</f>
        <v/>
      </c>
      <c r="AA52">
        <f>HYPERLINK("https://klasma.github.io/Logging_2513/tillsyn/A 7234-2023 tillsynsbegäran.docx", "A 7234-2023")</f>
        <v/>
      </c>
      <c r="AB52">
        <f>HYPERLINK("https://klasma.github.io/Logging_2513/tillsynsmail/A 7234-2023 tillsynsbegäran mail.docx", "A 7234-2023")</f>
        <v/>
      </c>
      <c r="AC52">
        <f>HYPERLINK("https://klasma.github.io/Logging_2513/fåglar/A 7234-2023 prioriterade fågelarter.docx", "A 7234-2023")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46216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Tallbit</t>
        </is>
      </c>
      <c r="V53">
        <f>HYPERLINK("https://klasma.github.io/Logging_2513/artfynd/A 8407-2025 artfynd.xlsx", "A 8407-2025")</f>
        <v/>
      </c>
      <c r="W53">
        <f>HYPERLINK("https://klasma.github.io/Logging_2513/kartor/A 8407-2025 karta.png", "A 8407-2025")</f>
        <v/>
      </c>
      <c r="Y53">
        <f>HYPERLINK("https://klasma.github.io/Logging_2513/klagomål/A 8407-2025 FSC-klagomål.docx", "A 8407-2025")</f>
        <v/>
      </c>
      <c r="Z53">
        <f>HYPERLINK("https://klasma.github.io/Logging_2513/klagomålsmail/A 8407-2025 FSC-klagomål mail.docx", "A 8407-2025")</f>
        <v/>
      </c>
      <c r="AA53">
        <f>HYPERLINK("https://klasma.github.io/Logging_2513/tillsyn/A 8407-2025 tillsynsbegäran.docx", "A 8407-2025")</f>
        <v/>
      </c>
      <c r="AB53">
        <f>HYPERLINK("https://klasma.github.io/Logging_2513/tillsynsmail/A 8407-2025 tillsynsbegäran mail.docx", "A 8407-2025")</f>
        <v/>
      </c>
      <c r="AC53">
        <f>HYPERLINK("https://klasma.github.io/Logging_2513/fåglar/A 8407-2025 prioriterade fågelarter.docx", "A 8407-2025")</f>
        <v/>
      </c>
    </row>
    <row r="54" ht="15" customHeight="1">
      <c r="A54" t="inlineStr">
        <is>
          <t>A 25335-2026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46216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46.9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Lunglav</t>
        </is>
      </c>
      <c r="V54">
        <f>HYPERLINK("https://klasma.github.io/Logging_2513/artfynd/A 25335-2026 artfynd.xlsx", "A 25335-2026")</f>
        <v/>
      </c>
      <c r="W54">
        <f>HYPERLINK("https://klasma.github.io/Logging_2513/kartor/A 25335-2026 karta.png", "A 25335-2026")</f>
        <v/>
      </c>
      <c r="Y54">
        <f>HYPERLINK("https://klasma.github.io/Logging_2513/klagomål/A 25335-2026 FSC-klagomål.docx", "A 25335-2026")</f>
        <v/>
      </c>
      <c r="Z54">
        <f>HYPERLINK("https://klasma.github.io/Logging_2513/klagomålsmail/A 25335-2026 FSC-klagomål mail.docx", "A 25335-2026")</f>
        <v/>
      </c>
      <c r="AA54">
        <f>HYPERLINK("https://klasma.github.io/Logging_2513/tillsyn/A 25335-2026 tillsynsbegäran.docx", "A 25335-2026")</f>
        <v/>
      </c>
      <c r="AB54">
        <f>HYPERLINK("https://klasma.github.io/Logging_2513/tillsynsmail/A 25335-2026 tillsynsbegäran mail.docx", "A 25335-2026")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46216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HYPERLINK("https://klasma.github.io/Logging_2513/artfynd/A 71902-2021 artfynd.xlsx", "A 71902-2021")</f>
        <v/>
      </c>
      <c r="W55">
        <f>HYPERLINK("https://klasma.github.io/Logging_2513/kartor/A 71902-2021 karta.png", "A 71902-2021")</f>
        <v/>
      </c>
      <c r="Y55">
        <f>HYPERLINK("https://klasma.github.io/Logging_2513/klagomål/A 71902-2021 FSC-klagomål.docx", "A 71902-2021")</f>
        <v/>
      </c>
      <c r="Z55">
        <f>HYPERLINK("https://klasma.github.io/Logging_2513/klagomålsmail/A 71902-2021 FSC-klagomål mail.docx", "A 71902-2021")</f>
        <v/>
      </c>
      <c r="AA55">
        <f>HYPERLINK("https://klasma.github.io/Logging_2513/tillsyn/A 71902-2021 tillsynsbegäran.docx", "A 71902-2021")</f>
        <v/>
      </c>
      <c r="AB55">
        <f>HYPERLINK("https://klasma.github.io/Logging_2513/tillsynsmail/A 71902-2021 tillsynsbegäran mail.docx", "A 71902-2021")</f>
        <v/>
      </c>
      <c r="AC55">
        <f>HYPERLINK("https://klasma.github.io/Logging_2513/fåglar/A 71902-2021 prioriterade fågelarter.docx", "A 71902-2021")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46216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Lunglav</t>
        </is>
      </c>
      <c r="V56">
        <f>HYPERLINK("https://klasma.github.io/Logging_2513/artfynd/A 21777-2024 artfynd.xlsx", "A 21777-2024")</f>
        <v/>
      </c>
      <c r="W56">
        <f>HYPERLINK("https://klasma.github.io/Logging_2513/kartor/A 21777-2024 karta.png", "A 21777-2024")</f>
        <v/>
      </c>
      <c r="Y56">
        <f>HYPERLINK("https://klasma.github.io/Logging_2513/klagomål/A 21777-2024 FSC-klagomål.docx", "A 21777-2024")</f>
        <v/>
      </c>
      <c r="Z56">
        <f>HYPERLINK("https://klasma.github.io/Logging_2513/klagomålsmail/A 21777-2024 FSC-klagomål mail.docx", "A 21777-2024")</f>
        <v/>
      </c>
      <c r="AA56">
        <f>HYPERLINK("https://klasma.github.io/Logging_2513/tillsyn/A 21777-2024 tillsynsbegäran.docx", "A 21777-2024")</f>
        <v/>
      </c>
      <c r="AB56">
        <f>HYPERLINK("https://klasma.github.io/Logging_2513/tillsynsmail/A 21777-2024 tillsynsbegäran mail.docx", "A 21777-2024")</f>
        <v/>
      </c>
    </row>
    <row r="57" ht="15" customHeight="1">
      <c r="A57" t="inlineStr">
        <is>
          <t>A 23383-2026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46216</v>
      </c>
      <c r="F57" t="inlineStr">
        <is>
          <t>NORRBOTTENS LÄN</t>
        </is>
      </c>
      <c r="G57" t="inlineStr">
        <is>
          <t>ÖVERKALIX</t>
        </is>
      </c>
      <c r="I57" t="n">
        <v>2.6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HYPERLINK("https://klasma.github.io/Logging_2513/artfynd/A 23383-2026 artfynd.xlsx", "A 23383-2026")</f>
        <v/>
      </c>
      <c r="W57">
        <f>HYPERLINK("https://klasma.github.io/Logging_2513/kartor/A 23383-2026 karta.png", "A 23383-2026")</f>
        <v/>
      </c>
      <c r="Y57">
        <f>HYPERLINK("https://klasma.github.io/Logging_2513/klagomål/A 23383-2026 FSC-klagomål.docx", "A 23383-2026")</f>
        <v/>
      </c>
      <c r="Z57">
        <f>HYPERLINK("https://klasma.github.io/Logging_2513/klagomålsmail/A 23383-2026 FSC-klagomål mail.docx", "A 23383-2026")</f>
        <v/>
      </c>
      <c r="AA57">
        <f>HYPERLINK("https://klasma.github.io/Logging_2513/tillsyn/A 23383-2026 tillsynsbegäran.docx", "A 23383-2026")</f>
        <v/>
      </c>
      <c r="AB57">
        <f>HYPERLINK("https://klasma.github.io/Logging_2513/tillsynsmail/A 23383-2026 tillsynsbegäran mail.docx", "A 23383-2026")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46216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46216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46216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46216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73757-2021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44551</v>
      </c>
      <c r="E62" s="1" t="n">
        <v>46216</v>
      </c>
      <c r="F62" t="inlineStr">
        <is>
          <t>NORRBOTTENS LÄN</t>
        </is>
      </c>
      <c r="G62" t="inlineStr">
        <is>
          <t>ÖVERKALIX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46216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46216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46216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46216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46216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46216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46216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46216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46216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46216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46216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46216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46216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46216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44393</v>
      </c>
      <c r="E77" s="1" t="n">
        <v>46216</v>
      </c>
      <c r="F77" t="inlineStr">
        <is>
          <t>NORRBOTTENS LÄN</t>
        </is>
      </c>
      <c r="G77" t="inlineStr">
        <is>
          <t>ÖVERKALIX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46216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46216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46216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46216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46216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46216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46216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46216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46216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46216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46216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46216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46216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46216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46216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46216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46216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46216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7039-2022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44603</v>
      </c>
      <c r="E96" s="1" t="n">
        <v>46216</v>
      </c>
      <c r="F96" t="inlineStr">
        <is>
          <t>NORRBOTTENS LÄN</t>
        </is>
      </c>
      <c r="G96" t="inlineStr">
        <is>
          <t>ÖVERKALIX</t>
        </is>
      </c>
      <c r="H96" t="inlineStr">
        <is>
          <t>Övriga statliga verk och myndigheter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46216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46216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59911-2024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45641</v>
      </c>
      <c r="E99" s="1" t="n">
        <v>46216</v>
      </c>
      <c r="F99" t="inlineStr">
        <is>
          <t>NORRBOTTENS LÄN</t>
        </is>
      </c>
      <c r="G99" t="inlineStr">
        <is>
          <t>ÖVERKALIX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46216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56402-2022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46216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46216</v>
      </c>
      <c r="F102" t="inlineStr">
        <is>
          <t>NORRBOTTENS LÄN</t>
        </is>
      </c>
      <c r="G102" t="inlineStr">
        <is>
          <t>ÖVERKALIX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46216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46216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33301-2024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45518</v>
      </c>
      <c r="E105" s="1" t="n">
        <v>46216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46216</v>
      </c>
      <c r="F106" t="inlineStr">
        <is>
          <t>NORRBOTTENS LÄN</t>
        </is>
      </c>
      <c r="G106" t="inlineStr">
        <is>
          <t>ÖVERKALIX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46216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44306-2021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46216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46216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25510-2024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46216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46216</v>
      </c>
      <c r="F111" t="inlineStr">
        <is>
          <t>NORRBOTTENS LÄN</t>
        </is>
      </c>
      <c r="G111" t="inlineStr">
        <is>
          <t>ÖVERKALIX</t>
        </is>
      </c>
      <c r="I111" t="n">
        <v>13.1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46216</v>
      </c>
      <c r="F112" t="inlineStr">
        <is>
          <t>NORRBOTTENS LÄN</t>
        </is>
      </c>
      <c r="G112" t="inlineStr">
        <is>
          <t>ÖVERKALIX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11329-2024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46216</v>
      </c>
      <c r="F113" t="inlineStr">
        <is>
          <t>NORRBOTTENS LÄN</t>
        </is>
      </c>
      <c r="G113" t="inlineStr">
        <is>
          <t>ÖVERKALIX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60417-2024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46216</v>
      </c>
      <c r="F114" t="inlineStr">
        <is>
          <t>NORRBOTTENS LÄN</t>
        </is>
      </c>
      <c r="G114" t="inlineStr">
        <is>
          <t>ÖVERKALIX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57966-2023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46216</v>
      </c>
      <c r="F115" t="inlineStr">
        <is>
          <t>NORRBOTTENS LÄN</t>
        </is>
      </c>
      <c r="G115" t="inlineStr">
        <is>
          <t>ÖVERKALIX</t>
        </is>
      </c>
      <c r="I115" t="n">
        <v>21.7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25629-2025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46216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46216</v>
      </c>
      <c r="F117" t="inlineStr">
        <is>
          <t>NORRBOTTENS LÄN</t>
        </is>
      </c>
      <c r="G117" t="inlineStr">
        <is>
          <t>ÖVERKALIX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46216</v>
      </c>
      <c r="F118" t="inlineStr">
        <is>
          <t>NORRBOTTENS LÄN</t>
        </is>
      </c>
      <c r="G118" t="inlineStr">
        <is>
          <t>ÖVERKALIX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46216</v>
      </c>
      <c r="F119" t="inlineStr">
        <is>
          <t>NORRBOTTENS LÄN</t>
        </is>
      </c>
      <c r="G119" t="inlineStr">
        <is>
          <t>ÖVERKALIX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46216</v>
      </c>
      <c r="F120" t="inlineStr">
        <is>
          <t>NORRBOTTENS LÄN</t>
        </is>
      </c>
      <c r="G120" t="inlineStr">
        <is>
          <t>ÖVERKALIX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46216</v>
      </c>
      <c r="F121" t="inlineStr">
        <is>
          <t>NORRBOTTENS LÄN</t>
        </is>
      </c>
      <c r="G121" t="inlineStr">
        <is>
          <t>ÖVERKALIX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22071-2024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46216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26944-2025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46216</v>
      </c>
      <c r="F123" t="inlineStr">
        <is>
          <t>NORRBOTTENS LÄN</t>
        </is>
      </c>
      <c r="G123" t="inlineStr">
        <is>
          <t>ÖVERKALIX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46216</v>
      </c>
      <c r="F124" t="inlineStr">
        <is>
          <t>NORRBOTTENS LÄN</t>
        </is>
      </c>
      <c r="G124" t="inlineStr">
        <is>
          <t>ÖVERKALIX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46216</v>
      </c>
      <c r="F125" t="inlineStr">
        <is>
          <t>NORRBOTTENS LÄN</t>
        </is>
      </c>
      <c r="G125" t="inlineStr">
        <is>
          <t>ÖVERKALIX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46216</v>
      </c>
      <c r="F126" t="inlineStr">
        <is>
          <t>NORRBOTTENS LÄN</t>
        </is>
      </c>
      <c r="G126" t="inlineStr">
        <is>
          <t>ÖVERKALIX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46216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45807</v>
      </c>
      <c r="E128" s="1" t="n">
        <v>46216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10.9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27461-2025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46216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27451-2025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46216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46216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27613-2025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46216</v>
      </c>
      <c r="F132" t="inlineStr">
        <is>
          <t>NORRBOTTENS LÄN</t>
        </is>
      </c>
      <c r="G132" t="inlineStr">
        <is>
          <t>ÖVERKALIX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46216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46216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27455-2025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46216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46216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55772-2022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46216</v>
      </c>
      <c r="F137" t="inlineStr">
        <is>
          <t>NORRBOTTENS LÄN</t>
        </is>
      </c>
      <c r="G137" t="inlineStr">
        <is>
          <t>ÖVERKALIX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46216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46216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26366-2024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46216</v>
      </c>
      <c r="F140" t="inlineStr">
        <is>
          <t>NORRBOTTENS LÄN</t>
        </is>
      </c>
      <c r="G140" t="inlineStr">
        <is>
          <t>ÖVERKALIX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46216</v>
      </c>
      <c r="F141" t="inlineStr">
        <is>
          <t>NORRBOTTENS LÄN</t>
        </is>
      </c>
      <c r="G141" t="inlineStr">
        <is>
          <t>ÖVERKALIX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29150-2025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45821</v>
      </c>
      <c r="E142" s="1" t="n">
        <v>46216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17.2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46216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46216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19531-2024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45429</v>
      </c>
      <c r="E145" s="1" t="n">
        <v>46216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46216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28926-2025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46216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9.699999999999999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26535-2025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46216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37.4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46216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46216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29463-2025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46216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29212-2025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46216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24.4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29213-2025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46216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47735-2024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46216</v>
      </c>
      <c r="F154" t="inlineStr">
        <is>
          <t>NORRBOTTENS LÄN</t>
        </is>
      </c>
      <c r="G154" t="inlineStr">
        <is>
          <t>ÖVERKALIX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46216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30038-2025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46216</v>
      </c>
      <c r="F156" t="inlineStr">
        <is>
          <t>NORRBOTTENS LÄN</t>
        </is>
      </c>
      <c r="G156" t="inlineStr">
        <is>
          <t>ÖVERKALIX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46216</v>
      </c>
      <c r="F157" t="inlineStr">
        <is>
          <t>NORRBOTTENS LÄN</t>
        </is>
      </c>
      <c r="G157" t="inlineStr">
        <is>
          <t>ÖVERKALIX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43173-2023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46216</v>
      </c>
      <c r="F158" t="inlineStr">
        <is>
          <t>NORRBOTTENS LÄN</t>
        </is>
      </c>
      <c r="G158" t="inlineStr">
        <is>
          <t>ÖVERKALIX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46216</v>
      </c>
      <c r="F159" t="inlineStr">
        <is>
          <t>NORRBOTTENS LÄN</t>
        </is>
      </c>
      <c r="G159" t="inlineStr">
        <is>
          <t>ÖVERKALIX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46216</v>
      </c>
      <c r="F160" t="inlineStr">
        <is>
          <t>NORRBOTTENS LÄN</t>
        </is>
      </c>
      <c r="G160" t="inlineStr">
        <is>
          <t>ÖVERKALIX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30776-2025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46216</v>
      </c>
      <c r="F161" t="inlineStr">
        <is>
          <t>NORRBOTTENS LÄN</t>
        </is>
      </c>
      <c r="G161" t="inlineStr">
        <is>
          <t>ÖVERKALIX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43066-2025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46216</v>
      </c>
      <c r="F162" t="inlineStr">
        <is>
          <t>NORRBOTTENS LÄN</t>
        </is>
      </c>
      <c r="G162" t="inlineStr">
        <is>
          <t>ÖVERKALIX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43065-2025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46216</v>
      </c>
      <c r="F163" t="inlineStr">
        <is>
          <t>NORRBOTTENS LÄN</t>
        </is>
      </c>
      <c r="G163" t="inlineStr">
        <is>
          <t>ÖVERKALIX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46216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28893-2025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46216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43626-2025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46216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72364-2021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46216</v>
      </c>
      <c r="F167" t="inlineStr">
        <is>
          <t>NORRBOTTENS LÄN</t>
        </is>
      </c>
      <c r="G167" t="inlineStr">
        <is>
          <t>ÖVERKALIX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46216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31640-2025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46216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31744-2025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45834</v>
      </c>
      <c r="E170" s="1" t="n">
        <v>46216</v>
      </c>
      <c r="F170" t="inlineStr">
        <is>
          <t>NORRBOTTENS LÄN</t>
        </is>
      </c>
      <c r="G170" t="inlineStr">
        <is>
          <t>ÖVERKALIX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32067-2025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46216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32636-2025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46216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46216</v>
      </c>
      <c r="F173" t="inlineStr">
        <is>
          <t>NORRBOTTENS LÄN</t>
        </is>
      </c>
      <c r="G173" t="inlineStr">
        <is>
          <t>ÖVERKALIX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46216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44754-2025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45917</v>
      </c>
      <c r="E175" s="1" t="n">
        <v>46216</v>
      </c>
      <c r="F175" t="inlineStr">
        <is>
          <t>NORRBOTTENS LÄN</t>
        </is>
      </c>
      <c r="G175" t="inlineStr">
        <is>
          <t>ÖVERKALIX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32535-2025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46216</v>
      </c>
      <c r="F176" t="inlineStr">
        <is>
          <t>NORRBOTTENS LÄN</t>
        </is>
      </c>
      <c r="G176" t="inlineStr">
        <is>
          <t>ÖVERKALIX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46216</v>
      </c>
      <c r="F177" t="inlineStr">
        <is>
          <t>NORRBOTTENS LÄN</t>
        </is>
      </c>
      <c r="G177" t="inlineStr">
        <is>
          <t>ÖVERKALIX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27681-2023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45097</v>
      </c>
      <c r="E178" s="1" t="n">
        <v>46216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46216</v>
      </c>
      <c r="F179" t="inlineStr">
        <is>
          <t>NORRBOTTENS LÄN</t>
        </is>
      </c>
      <c r="G179" t="inlineStr">
        <is>
          <t>ÖVERKALIX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33266-2025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46216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13372-2023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45005</v>
      </c>
      <c r="E181" s="1" t="n">
        <v>46216</v>
      </c>
      <c r="F181" t="inlineStr">
        <is>
          <t>NORRBOTTENS LÄN</t>
        </is>
      </c>
      <c r="G181" t="inlineStr">
        <is>
          <t>ÖVERKALIX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33224-2025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46216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11535-2024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46216</v>
      </c>
      <c r="F183" t="inlineStr">
        <is>
          <t>NORRBOTTENS LÄN</t>
        </is>
      </c>
      <c r="G183" t="inlineStr">
        <is>
          <t>ÖVERKALIX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34128-2025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45845</v>
      </c>
      <c r="E184" s="1" t="n">
        <v>46216</v>
      </c>
      <c r="F184" t="inlineStr">
        <is>
          <t>NORRBOTTENS LÄN</t>
        </is>
      </c>
      <c r="G184" t="inlineStr">
        <is>
          <t>ÖVERKALIX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45535-2025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45922</v>
      </c>
      <c r="E185" s="1" t="n">
        <v>46216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19984-2025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46216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23302-2023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46216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41706-2021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44424</v>
      </c>
      <c r="E188" s="1" t="n">
        <v>46216</v>
      </c>
      <c r="F188" t="inlineStr">
        <is>
          <t>NORRBOTTENS LÄN</t>
        </is>
      </c>
      <c r="G188" t="inlineStr">
        <is>
          <t>ÖVERKALIX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25506-2024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46216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46216</v>
      </c>
      <c r="F190" t="inlineStr">
        <is>
          <t>NORRBOTTENS LÄN</t>
        </is>
      </c>
      <c r="G190" t="inlineStr">
        <is>
          <t>ÖVERKALIX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34911-2023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46216</v>
      </c>
      <c r="F191" t="inlineStr">
        <is>
          <t>NORRBOTTENS LÄN</t>
        </is>
      </c>
      <c r="G191" t="inlineStr">
        <is>
          <t>ÖVERKALIX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36501-2025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46216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46216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48667-2025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46216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46216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46216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36715-2025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46216</v>
      </c>
      <c r="F197" t="inlineStr">
        <is>
          <t>NORRBOTTENS LÄN</t>
        </is>
      </c>
      <c r="G197" t="inlineStr">
        <is>
          <t>ÖVERKALIX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45940</v>
      </c>
      <c r="E198" s="1" t="n">
        <v>46216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46216</v>
      </c>
      <c r="F199" t="inlineStr">
        <is>
          <t>NORRBOTTENS LÄN</t>
        </is>
      </c>
      <c r="G199" t="inlineStr">
        <is>
          <t>ÖVERKALIX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38152-2025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46216</v>
      </c>
      <c r="F200" t="inlineStr">
        <is>
          <t>NORRBOTTENS LÄN</t>
        </is>
      </c>
      <c r="G200" t="inlineStr">
        <is>
          <t>ÖVERKALIX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38081-2025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46216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38191-2025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46216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38026-2025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45882</v>
      </c>
      <c r="E203" s="1" t="n">
        <v>46216</v>
      </c>
      <c r="F203" t="inlineStr">
        <is>
          <t>NORRBOTTENS LÄN</t>
        </is>
      </c>
      <c r="G203" t="inlineStr">
        <is>
          <t>ÖVERKALIX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15491-2025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46216</v>
      </c>
      <c r="F204" t="inlineStr">
        <is>
          <t>NORRBOTTENS LÄN</t>
        </is>
      </c>
      <c r="G204" t="inlineStr">
        <is>
          <t>ÖVERKALIX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19259-2024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46216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46216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50983-2025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45947</v>
      </c>
      <c r="E207" s="1" t="n">
        <v>46216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55642-2023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45238</v>
      </c>
      <c r="E208" s="1" t="n">
        <v>46216</v>
      </c>
      <c r="F208" t="inlineStr">
        <is>
          <t>NORRBOTTENS LÄN</t>
        </is>
      </c>
      <c r="G208" t="inlineStr">
        <is>
          <t>ÖVERKALIX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46216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38088-2023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46216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46042</v>
      </c>
      <c r="E211" s="1" t="n">
        <v>46216</v>
      </c>
      <c r="F211" t="inlineStr">
        <is>
          <t>NORRBOTTENS LÄN</t>
        </is>
      </c>
      <c r="G211" t="inlineStr">
        <is>
          <t>ÖVERKALIX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51656-2025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46216</v>
      </c>
      <c r="F212" t="inlineStr">
        <is>
          <t>NORRBOTTENS LÄN</t>
        </is>
      </c>
      <c r="G212" t="inlineStr">
        <is>
          <t>ÖVERKALIX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46216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46216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51634-2025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45951</v>
      </c>
      <c r="E215" s="1" t="n">
        <v>46216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45949</v>
      </c>
      <c r="E216" s="1" t="n">
        <v>46216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26140-2023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45086</v>
      </c>
      <c r="E217" s="1" t="n">
        <v>46216</v>
      </c>
      <c r="F217" t="inlineStr">
        <is>
          <t>NORRBOTTENS LÄN</t>
        </is>
      </c>
      <c r="G217" t="inlineStr">
        <is>
          <t>ÖVERKALIX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46216</v>
      </c>
      <c r="F218" t="inlineStr">
        <is>
          <t>NORRBOTTENS LÄN</t>
        </is>
      </c>
      <c r="G218" t="inlineStr">
        <is>
          <t>ÖVERKALIX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46216</v>
      </c>
      <c r="F219" t="inlineStr">
        <is>
          <t>NORRBOTTENS LÄN</t>
        </is>
      </c>
      <c r="G219" t="inlineStr">
        <is>
          <t>ÖVERKALIX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58764-2023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45251</v>
      </c>
      <c r="E220" s="1" t="n">
        <v>46216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52973-2025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46216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8672-2025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45712</v>
      </c>
      <c r="E222" s="1" t="n">
        <v>46216</v>
      </c>
      <c r="F222" t="inlineStr">
        <is>
          <t>NORRBOTTENS LÄN</t>
        </is>
      </c>
      <c r="G222" t="inlineStr">
        <is>
          <t>ÖVERKALIX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52591-2025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45954</v>
      </c>
      <c r="E223" s="1" t="n">
        <v>46216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53091-2025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46216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46216</v>
      </c>
      <c r="F225" t="inlineStr">
        <is>
          <t>NORRBOTTENS LÄN</t>
        </is>
      </c>
      <c r="G225" t="inlineStr">
        <is>
          <t>ÖVERKALIX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46216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45767-2023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46216</v>
      </c>
      <c r="F227" t="inlineStr">
        <is>
          <t>NORRBOTTENS LÄN</t>
        </is>
      </c>
      <c r="G227" t="inlineStr">
        <is>
          <t>ÖVERKALIX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46216</v>
      </c>
      <c r="F228" t="inlineStr">
        <is>
          <t>NORRBOTTENS LÄN</t>
        </is>
      </c>
      <c r="G228" t="inlineStr">
        <is>
          <t>ÖVERKALIX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54118-2025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46216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25698-2024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46216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46216</v>
      </c>
      <c r="F231" t="inlineStr">
        <is>
          <t>NORRBOTTENS LÄN</t>
        </is>
      </c>
      <c r="G231" t="inlineStr">
        <is>
          <t>ÖVERKALIX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54900-2025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45967</v>
      </c>
      <c r="E232" s="1" t="n">
        <v>46216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46216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33865-2023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45133</v>
      </c>
      <c r="E234" s="1" t="n">
        <v>46216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6355-2026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46216</v>
      </c>
      <c r="F235" t="inlineStr">
        <is>
          <t>NORRBOTTENS LÄN</t>
        </is>
      </c>
      <c r="G235" t="inlineStr">
        <is>
          <t>ÖVERKALIX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72809-2021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46216</v>
      </c>
      <c r="F236" t="inlineStr">
        <is>
          <t>NORRBOTTENS LÄN</t>
        </is>
      </c>
      <c r="G236" t="inlineStr">
        <is>
          <t>ÖVERKALIX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40155-2024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46216</v>
      </c>
      <c r="F237" t="inlineStr">
        <is>
          <t>NORRBOTTENS LÄN</t>
        </is>
      </c>
      <c r="G237" t="inlineStr">
        <is>
          <t>ÖVERKALIX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46216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57744-2025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45981</v>
      </c>
      <c r="E239" s="1" t="n">
        <v>46216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57834-2025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45981</v>
      </c>
      <c r="E240" s="1" t="n">
        <v>46216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11919-2023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46216</v>
      </c>
      <c r="F241" t="inlineStr">
        <is>
          <t>NORRBOTTENS LÄN</t>
        </is>
      </c>
      <c r="G241" t="inlineStr">
        <is>
          <t>ÖVERKALIX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62269-2021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44502</v>
      </c>
      <c r="E242" s="1" t="n">
        <v>46216</v>
      </c>
      <c r="F242" t="inlineStr">
        <is>
          <t>NORRBOTTENS LÄN</t>
        </is>
      </c>
      <c r="G242" t="inlineStr">
        <is>
          <t>ÖVERKALIX</t>
        </is>
      </c>
      <c r="I242" t="n">
        <v>9.199999999999999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46059</v>
      </c>
      <c r="E243" s="1" t="n">
        <v>46216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22470-2023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45070</v>
      </c>
      <c r="E244" s="1" t="n">
        <v>46216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46216</v>
      </c>
      <c r="F245" t="inlineStr">
        <is>
          <t>NORRBOTTENS LÄN</t>
        </is>
      </c>
      <c r="G245" t="inlineStr">
        <is>
          <t>ÖVERKALIX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58646-2025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46216</v>
      </c>
      <c r="F246" t="inlineStr">
        <is>
          <t>NORRBOTTENS LÄN</t>
        </is>
      </c>
      <c r="G246" t="inlineStr">
        <is>
          <t>ÖVERKALIX</t>
        </is>
      </c>
      <c r="I246" t="n">
        <v>16.1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5653-2022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44595</v>
      </c>
      <c r="E247" s="1" t="n">
        <v>46216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58644-2025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46216</v>
      </c>
      <c r="F248" t="inlineStr">
        <is>
          <t>NORRBOTTENS LÄN</t>
        </is>
      </c>
      <c r="G248" t="inlineStr">
        <is>
          <t>ÖVERKALIX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40619-2022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46216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40281-2022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44820</v>
      </c>
      <c r="E250" s="1" t="n">
        <v>46216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46216</v>
      </c>
      <c r="F251" t="inlineStr">
        <is>
          <t>NORRBOTTENS LÄN</t>
        </is>
      </c>
      <c r="G251" t="inlineStr">
        <is>
          <t>ÖVERKALIX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59829-2025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46216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13.3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59897-2025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46216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46216</v>
      </c>
      <c r="F254" t="inlineStr">
        <is>
          <t>NORRBOTTENS LÄN</t>
        </is>
      </c>
      <c r="G254" t="inlineStr">
        <is>
          <t>ÖVERKALIX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6641-2022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46216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26554-2023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45092</v>
      </c>
      <c r="E256" s="1" t="n">
        <v>46216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46216</v>
      </c>
      <c r="F257" t="inlineStr">
        <is>
          <t>NORRBOTTENS LÄN</t>
        </is>
      </c>
      <c r="G257" t="inlineStr">
        <is>
          <t>ÖVERKALIX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60171-2025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46216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60172-2025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46216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45996</v>
      </c>
      <c r="E260" s="1" t="n">
        <v>46216</v>
      </c>
      <c r="F260" t="inlineStr">
        <is>
          <t>NORRBOTTENS LÄN</t>
        </is>
      </c>
      <c r="G260" t="inlineStr">
        <is>
          <t>ÖVERKALIX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46216</v>
      </c>
      <c r="F261" t="inlineStr">
        <is>
          <t>NORRBOTTENS LÄN</t>
        </is>
      </c>
      <c r="G261" t="inlineStr">
        <is>
          <t>ÖVERKALIX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60834-2025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46216</v>
      </c>
      <c r="F262" t="inlineStr">
        <is>
          <t>NORRBOTTENS LÄN</t>
        </is>
      </c>
      <c r="G262" t="inlineStr">
        <is>
          <t>ÖVERKALIX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60890-2025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46216</v>
      </c>
      <c r="F263" t="inlineStr">
        <is>
          <t>NORRBOTTENS LÄN</t>
        </is>
      </c>
      <c r="G263" t="inlineStr">
        <is>
          <t>ÖVERKALIX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46216</v>
      </c>
      <c r="F264" t="inlineStr">
        <is>
          <t>NORRBOTTENS LÄN</t>
        </is>
      </c>
      <c r="G264" t="inlineStr">
        <is>
          <t>ÖVERKALIX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45999</v>
      </c>
      <c r="E265" s="1" t="n">
        <v>46216</v>
      </c>
      <c r="F265" t="inlineStr">
        <is>
          <t>NORRBOTTENS LÄN</t>
        </is>
      </c>
      <c r="G265" t="inlineStr">
        <is>
          <t>ÖVERKALIX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60815-2025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46216</v>
      </c>
      <c r="F266" t="inlineStr">
        <is>
          <t>NORRBOTTENS LÄN</t>
        </is>
      </c>
      <c r="G266" t="inlineStr">
        <is>
          <t>ÖVERKALIX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61406-2025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46216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45321</v>
      </c>
      <c r="E268" s="1" t="n">
        <v>46216</v>
      </c>
      <c r="F268" t="inlineStr">
        <is>
          <t>NORRBOTTENS LÄN</t>
        </is>
      </c>
      <c r="G268" t="inlineStr">
        <is>
          <t>ÖVERKALIX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42407-2022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44830</v>
      </c>
      <c r="E269" s="1" t="n">
        <v>46216</v>
      </c>
      <c r="F269" t="inlineStr">
        <is>
          <t>NORRBOTTENS LÄN</t>
        </is>
      </c>
      <c r="G269" t="inlineStr">
        <is>
          <t>ÖVERKALIX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25697-2024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46216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61706-2025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46216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46216</v>
      </c>
      <c r="F272" t="inlineStr">
        <is>
          <t>NORRBOTTENS LÄN</t>
        </is>
      </c>
      <c r="G272" t="inlineStr">
        <is>
          <t>ÖVERKALIX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10293-2026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46216</v>
      </c>
      <c r="F273" t="inlineStr">
        <is>
          <t>NORRBOTTENS LÄN</t>
        </is>
      </c>
      <c r="G273" t="inlineStr">
        <is>
          <t>ÖVERKALIX</t>
        </is>
      </c>
      <c r="I273" t="n">
        <v>10.8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11181-2026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46216</v>
      </c>
      <c r="F274" t="inlineStr">
        <is>
          <t>NORRBOTTENS LÄN</t>
        </is>
      </c>
      <c r="G274" t="inlineStr">
        <is>
          <t>ÖVERKALIX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11179-2026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46216</v>
      </c>
      <c r="F275" t="inlineStr">
        <is>
          <t>NORRBOTTENS LÄN</t>
        </is>
      </c>
      <c r="G275" t="inlineStr">
        <is>
          <t>ÖVERKALIX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26450-2025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45807</v>
      </c>
      <c r="E276" s="1" t="n">
        <v>46216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28343-2025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45818</v>
      </c>
      <c r="E277" s="1" t="n">
        <v>46216</v>
      </c>
      <c r="F277" t="inlineStr">
        <is>
          <t>NORRBOTTENS LÄN</t>
        </is>
      </c>
      <c r="G277" t="inlineStr">
        <is>
          <t>ÖVERKALIX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46216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46216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63023-2025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46216</v>
      </c>
      <c r="F280" t="inlineStr">
        <is>
          <t>NORRBOTTENS LÄN</t>
        </is>
      </c>
      <c r="G280" t="inlineStr">
        <is>
          <t>ÖVERKALIX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11685-2026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46216</v>
      </c>
      <c r="F281" t="inlineStr">
        <is>
          <t>NORRBOTTENS LÄN</t>
        </is>
      </c>
      <c r="G281" t="inlineStr">
        <is>
          <t>ÖVERKALIX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11770-2026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46216</v>
      </c>
      <c r="F282" t="inlineStr">
        <is>
          <t>NORRBOTTENS LÄN</t>
        </is>
      </c>
      <c r="G282" t="inlineStr">
        <is>
          <t>ÖVERKALIX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11771-2026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46216</v>
      </c>
      <c r="F283" t="inlineStr">
        <is>
          <t>NORRBOTTENS LÄN</t>
        </is>
      </c>
      <c r="G283" t="inlineStr">
        <is>
          <t>ÖVERKALIX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73216-2021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44547</v>
      </c>
      <c r="E284" s="1" t="n">
        <v>46216</v>
      </c>
      <c r="F284" t="inlineStr">
        <is>
          <t>NORRBOTTENS LÄN</t>
        </is>
      </c>
      <c r="G284" t="inlineStr">
        <is>
          <t>ÖVERKALIX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46216</v>
      </c>
      <c r="F285" t="inlineStr">
        <is>
          <t>NORRBOTTENS LÄN</t>
        </is>
      </c>
      <c r="G285" t="inlineStr">
        <is>
          <t>ÖVERKALIX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49091-2024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45594</v>
      </c>
      <c r="E286" s="1" t="n">
        <v>46216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11768-2026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46216</v>
      </c>
      <c r="F287" t="inlineStr">
        <is>
          <t>NORRBOTTENS LÄN</t>
        </is>
      </c>
      <c r="G287" t="inlineStr">
        <is>
          <t>ÖVERKALIX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63545-2025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46216</v>
      </c>
      <c r="F288" t="inlineStr">
        <is>
          <t>NORRBOTTENS LÄN</t>
        </is>
      </c>
      <c r="G288" t="inlineStr">
        <is>
          <t>ÖVERKALIX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63242-2025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46010</v>
      </c>
      <c r="E289" s="1" t="n">
        <v>46216</v>
      </c>
      <c r="F289" t="inlineStr">
        <is>
          <t>NORRBOTTENS LÄN</t>
        </is>
      </c>
      <c r="G289" t="inlineStr">
        <is>
          <t>ÖVERKALIX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63451-2025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46216</v>
      </c>
      <c r="F290" t="inlineStr">
        <is>
          <t>NORRBOTTENS LÄN</t>
        </is>
      </c>
      <c r="G290" t="inlineStr">
        <is>
          <t>ÖVERKALIX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63454-2025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46216</v>
      </c>
      <c r="F291" t="inlineStr">
        <is>
          <t>NORRBOTTENS LÄN</t>
        </is>
      </c>
      <c r="G291" t="inlineStr">
        <is>
          <t>ÖVERKALIX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11772-2026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46216</v>
      </c>
      <c r="F292" t="inlineStr">
        <is>
          <t>NORRBOTTENS LÄN</t>
        </is>
      </c>
      <c r="G292" t="inlineStr">
        <is>
          <t>ÖVERKALIX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27054-2024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45471</v>
      </c>
      <c r="E293" s="1" t="n">
        <v>46216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27057-2024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45471</v>
      </c>
      <c r="E294" s="1" t="n">
        <v>46216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32.6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52647-2024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46216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44469</v>
      </c>
      <c r="E296" s="1" t="n">
        <v>46216</v>
      </c>
      <c r="F296" t="inlineStr">
        <is>
          <t>NORRBOTTENS LÄN</t>
        </is>
      </c>
      <c r="G296" t="inlineStr">
        <is>
          <t>ÖVERKALIX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12277-2026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46216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12278-2026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46216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44950</v>
      </c>
      <c r="E299" s="1" t="n">
        <v>46216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12591-2024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46216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50862-2023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46216</v>
      </c>
      <c r="F301" t="inlineStr">
        <is>
          <t>NORRBOTTENS LÄN</t>
        </is>
      </c>
      <c r="G301" t="inlineStr">
        <is>
          <t>ÖVERKALIX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24548-2024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45460</v>
      </c>
      <c r="E302" s="1" t="n">
        <v>46216</v>
      </c>
      <c r="F302" t="inlineStr">
        <is>
          <t>NORRBOTTENS LÄN</t>
        </is>
      </c>
      <c r="G302" t="inlineStr">
        <is>
          <t>ÖVERKALIX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46216</v>
      </c>
      <c r="F303" t="inlineStr">
        <is>
          <t>NORRBOTTENS LÄN</t>
        </is>
      </c>
      <c r="G303" t="inlineStr">
        <is>
          <t>ÖVERKALIX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60400-2022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46216</v>
      </c>
      <c r="F304" t="inlineStr">
        <is>
          <t>NORRBOTTENS LÄN</t>
        </is>
      </c>
      <c r="G304" t="inlineStr">
        <is>
          <t>ÖVERKALIX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58038-2024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45631</v>
      </c>
      <c r="E305" s="1" t="n">
        <v>46216</v>
      </c>
      <c r="F305" t="inlineStr">
        <is>
          <t>NORRBOTTENS LÄN</t>
        </is>
      </c>
      <c r="G305" t="inlineStr">
        <is>
          <t>ÖVERKALIX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1944-2022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44575</v>
      </c>
      <c r="E306" s="1" t="n">
        <v>46216</v>
      </c>
      <c r="F306" t="inlineStr">
        <is>
          <t>NORRBOTTENS LÄN</t>
        </is>
      </c>
      <c r="G306" t="inlineStr">
        <is>
          <t>ÖVERKALIX</t>
        </is>
      </c>
      <c r="I306" t="n">
        <v>10.4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15011-2026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46216</v>
      </c>
      <c r="F307" t="inlineStr">
        <is>
          <t>NORRBOTTENS LÄN</t>
        </is>
      </c>
      <c r="G307" t="inlineStr">
        <is>
          <t>ÖVERKALIX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15358-2026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46216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35169-2022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44797</v>
      </c>
      <c r="E309" s="1" t="n">
        <v>46216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32477-2024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45513</v>
      </c>
      <c r="E310" s="1" t="n">
        <v>46216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30881-2024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45498</v>
      </c>
      <c r="E311" s="1" t="n">
        <v>46216</v>
      </c>
      <c r="F311" t="inlineStr">
        <is>
          <t>NORRBOTTENS LÄN</t>
        </is>
      </c>
      <c r="G311" t="inlineStr">
        <is>
          <t>ÖVERKALIX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16487-2026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46112</v>
      </c>
      <c r="E312" s="1" t="n">
        <v>46216</v>
      </c>
      <c r="F312" t="inlineStr">
        <is>
          <t>NORRBOTTENS LÄN</t>
        </is>
      </c>
      <c r="G312" t="inlineStr">
        <is>
          <t>ÖVERKALIX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45308</v>
      </c>
      <c r="E313" s="1" t="n">
        <v>46216</v>
      </c>
      <c r="F313" t="inlineStr">
        <is>
          <t>NORRBOTTENS LÄN</t>
        </is>
      </c>
      <c r="G313" t="inlineStr">
        <is>
          <t>ÖVERKALIX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16794-2026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46216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46216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46216</v>
      </c>
      <c r="F316" t="inlineStr">
        <is>
          <t>NORRBOTTENS LÄN</t>
        </is>
      </c>
      <c r="G316" t="inlineStr">
        <is>
          <t>ÖVERKALIX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46120</v>
      </c>
      <c r="E317" s="1" t="n">
        <v>46216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17469-2026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46216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12580-2024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46216</v>
      </c>
      <c r="F319" t="inlineStr">
        <is>
          <t>NORRBOTTENS LÄN</t>
        </is>
      </c>
      <c r="G319" t="inlineStr">
        <is>
          <t>ÖVERKALIX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17690-2026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46216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32616-2024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45513</v>
      </c>
      <c r="E321" s="1" t="n">
        <v>46216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46216</v>
      </c>
      <c r="F322" t="inlineStr">
        <is>
          <t>NORRBOTTENS LÄN</t>
        </is>
      </c>
      <c r="G322" t="inlineStr">
        <is>
          <t>ÖVERKALIX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18522-2026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46216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18523-2026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46127</v>
      </c>
      <c r="E324" s="1" t="n">
        <v>46216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46216</v>
      </c>
      <c r="F325" t="inlineStr">
        <is>
          <t>NORRBOTTENS LÄN</t>
        </is>
      </c>
      <c r="G325" t="inlineStr">
        <is>
          <t>ÖVERKALIX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59832-2024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45639</v>
      </c>
      <c r="E326" s="1" t="n">
        <v>46216</v>
      </c>
      <c r="F326" t="inlineStr">
        <is>
          <t>NORRBOTTENS LÄN</t>
        </is>
      </c>
      <c r="G326" t="inlineStr">
        <is>
          <t>ÖVERKALIX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25180-2026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46216</v>
      </c>
      <c r="F327" t="inlineStr">
        <is>
          <t>NORRBOTTENS LÄN</t>
        </is>
      </c>
      <c r="G327" t="inlineStr">
        <is>
          <t>ÖVERKALIX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19107-2026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46216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19410-2026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46216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55857-2024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45622</v>
      </c>
      <c r="E330" s="1" t="n">
        <v>46216</v>
      </c>
      <c r="F330" t="inlineStr">
        <is>
          <t>NORRBOTTENS LÄN</t>
        </is>
      </c>
      <c r="G330" t="inlineStr">
        <is>
          <t>ÖVERKALIX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42721-2023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45181</v>
      </c>
      <c r="E331" s="1" t="n">
        <v>46216</v>
      </c>
      <c r="F331" t="inlineStr">
        <is>
          <t>NORRBOTTENS LÄN</t>
        </is>
      </c>
      <c r="G331" t="inlineStr">
        <is>
          <t>ÖVERKALIX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19805-2026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46216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46216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19858-2026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46216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19616-2026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46216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57870-2022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44899</v>
      </c>
      <c r="E336" s="1" t="n">
        <v>46216</v>
      </c>
      <c r="F336" t="inlineStr">
        <is>
          <t>NORRBOTTENS LÄN</t>
        </is>
      </c>
      <c r="G336" t="inlineStr">
        <is>
          <t>ÖVERKALIX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25545-2026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46216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25546-2026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46216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8417-2025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46216</v>
      </c>
      <c r="F339" t="inlineStr">
        <is>
          <t>NORRBOTTENS LÄN</t>
        </is>
      </c>
      <c r="G339" t="inlineStr">
        <is>
          <t>ÖVERKALIX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45540</v>
      </c>
      <c r="E340" s="1" t="n">
        <v>46216</v>
      </c>
      <c r="F340" t="inlineStr">
        <is>
          <t>NORRBOTTENS LÄN</t>
        </is>
      </c>
      <c r="G340" t="inlineStr">
        <is>
          <t>ÖVERKALIX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64524-2023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45281</v>
      </c>
      <c r="E341" s="1" t="n">
        <v>46216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15301-2022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44659</v>
      </c>
      <c r="E342" s="1" t="n">
        <v>46216</v>
      </c>
      <c r="F342" t="inlineStr">
        <is>
          <t>NORRBOTTENS LÄN</t>
        </is>
      </c>
      <c r="G342" t="inlineStr">
        <is>
          <t>ÖVERKALIX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36797-2023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45154</v>
      </c>
      <c r="E343" s="1" t="n">
        <v>46216</v>
      </c>
      <c r="F343" t="inlineStr">
        <is>
          <t>NORRBOTTENS LÄN</t>
        </is>
      </c>
      <c r="G343" t="inlineStr">
        <is>
          <t>ÖVERKALIX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60463-2024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46216</v>
      </c>
      <c r="F344" t="inlineStr">
        <is>
          <t>NORRBOTTENS LÄN</t>
        </is>
      </c>
      <c r="G344" t="inlineStr">
        <is>
          <t>ÖVERKALIX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42119-2024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46216</v>
      </c>
      <c r="F345" t="inlineStr">
        <is>
          <t>NORRBOTTENS LÄN</t>
        </is>
      </c>
      <c r="G345" t="inlineStr">
        <is>
          <t>ÖVERKALIX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19541-2024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45429</v>
      </c>
      <c r="E346" s="1" t="n">
        <v>46216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22.7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25822-2026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46216</v>
      </c>
      <c r="F347" t="inlineStr">
        <is>
          <t>NORRBOTTENS LÄN</t>
        </is>
      </c>
      <c r="G347" t="inlineStr">
        <is>
          <t>ÖVERKALIX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55857-2024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46216</v>
      </c>
      <c r="F348" t="inlineStr">
        <is>
          <t>NORRBOTTENS LÄN</t>
        </is>
      </c>
      <c r="G348" t="inlineStr">
        <is>
          <t>ÖVERKALIX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25692-2024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46216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72623-2021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44546</v>
      </c>
      <c r="E350" s="1" t="n">
        <v>46216</v>
      </c>
      <c r="F350" t="inlineStr">
        <is>
          <t>NORRBOTTENS LÄN</t>
        </is>
      </c>
      <c r="G350" t="inlineStr">
        <is>
          <t>ÖVERKALIX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25965-2026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46216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38940-2024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45548</v>
      </c>
      <c r="E352" s="1" t="n">
        <v>46216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25970-2026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46216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45513</v>
      </c>
      <c r="E354" s="1" t="n">
        <v>46216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9.800000000000001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14255-2023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45009</v>
      </c>
      <c r="E355" s="1" t="n">
        <v>46216</v>
      </c>
      <c r="F355" t="inlineStr">
        <is>
          <t>NORRBOTTENS LÄN</t>
        </is>
      </c>
      <c r="G355" t="inlineStr">
        <is>
          <t>ÖVERKALIX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20171-2026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46216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38975-2024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45548</v>
      </c>
      <c r="E357" s="1" t="n">
        <v>46216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51561-2024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46216</v>
      </c>
      <c r="F358" t="inlineStr">
        <is>
          <t>NORRBOTTENS LÄN</t>
        </is>
      </c>
      <c r="G358" t="inlineStr">
        <is>
          <t>ÖVERKALIX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46216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26426-2026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46216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26427-2026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46216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17.7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26429-2026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46216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20505-2026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46216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45748-2023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46216</v>
      </c>
      <c r="F364" t="inlineStr">
        <is>
          <t>NORRBOTTENS LÄN</t>
        </is>
      </c>
      <c r="G364" t="inlineStr">
        <is>
          <t>ÖVERKALIX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13717-2022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44648</v>
      </c>
      <c r="E365" s="1" t="n">
        <v>46216</v>
      </c>
      <c r="F365" t="inlineStr">
        <is>
          <t>NORRBOTTENS LÄN</t>
        </is>
      </c>
      <c r="G365" t="inlineStr">
        <is>
          <t>ÖVERKALIX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46216</v>
      </c>
      <c r="F366" t="inlineStr">
        <is>
          <t>NORRBOTTENS LÄN</t>
        </is>
      </c>
      <c r="G366" t="inlineStr">
        <is>
          <t>ÖVERKALIX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28208-2025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46216</v>
      </c>
      <c r="F367" t="inlineStr">
        <is>
          <t>NORRBOTTENS LÄN</t>
        </is>
      </c>
      <c r="G367" t="inlineStr">
        <is>
          <t>ÖVERKALIX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21299-2024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45440</v>
      </c>
      <c r="E368" s="1" t="n">
        <v>46216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46216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20949-2026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46142</v>
      </c>
      <c r="E370" s="1" t="n">
        <v>46216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46216</v>
      </c>
      <c r="F371" t="inlineStr">
        <is>
          <t>NORRBOTTENS LÄN</t>
        </is>
      </c>
      <c r="G371" t="inlineStr">
        <is>
          <t>ÖVERKALIX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6454-2025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45699</v>
      </c>
      <c r="E372" s="1" t="n">
        <v>46216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28.8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7448-2023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46216</v>
      </c>
      <c r="F373" t="inlineStr">
        <is>
          <t>NORRBOTTENS LÄN</t>
        </is>
      </c>
      <c r="G373" t="inlineStr">
        <is>
          <t>ÖVERKALIX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49473-2023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45205</v>
      </c>
      <c r="E374" s="1" t="n">
        <v>46216</v>
      </c>
      <c r="F374" t="inlineStr">
        <is>
          <t>NORRBOTTENS LÄN</t>
        </is>
      </c>
      <c r="G374" t="inlineStr">
        <is>
          <t>ÖVERKALIX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45334</v>
      </c>
      <c r="E375" s="1" t="n">
        <v>46216</v>
      </c>
      <c r="F375" t="inlineStr">
        <is>
          <t>NORRBOTTENS LÄN</t>
        </is>
      </c>
      <c r="G375" t="inlineStr">
        <is>
          <t>ÖVERKALIX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55227-2024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46216</v>
      </c>
      <c r="F376" t="inlineStr">
        <is>
          <t>NORRBOTTENS LÄN</t>
        </is>
      </c>
      <c r="G376" t="inlineStr">
        <is>
          <t>ÖVERKALIX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27087-2026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46187</v>
      </c>
      <c r="E377" s="1" t="n">
        <v>46216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45699</v>
      </c>
      <c r="E378" s="1" t="n">
        <v>46216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21417-2026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46148</v>
      </c>
      <c r="E379" s="1" t="n">
        <v>46216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21427-2026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46216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46216</v>
      </c>
      <c r="F381" t="inlineStr">
        <is>
          <t>NORRBOTTENS LÄN</t>
        </is>
      </c>
      <c r="G381" t="inlineStr">
        <is>
          <t>ÖVERKALIX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6591-2023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46216</v>
      </c>
      <c r="F382" t="inlineStr">
        <is>
          <t>NORRBOTTENS LÄN</t>
        </is>
      </c>
      <c r="G382" t="inlineStr">
        <is>
          <t>ÖVERKALIX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45321</v>
      </c>
      <c r="E383" s="1" t="n">
        <v>46216</v>
      </c>
      <c r="F383" t="inlineStr">
        <is>
          <t>NORRBOTTENS LÄN</t>
        </is>
      </c>
      <c r="G383" t="inlineStr">
        <is>
          <t>ÖVERKALIX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21411-2026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46216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21419-2026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46148</v>
      </c>
      <c r="E385" s="1" t="n">
        <v>46216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21423-2026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46148</v>
      </c>
      <c r="E386" s="1" t="n">
        <v>46216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21424-2026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46216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21425-2026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46216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21429-2026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46148</v>
      </c>
      <c r="E389" s="1" t="n">
        <v>46216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18.8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29961-2023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46216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46216</v>
      </c>
      <c r="F391" t="inlineStr">
        <is>
          <t>NORRBOTTENS LÄN</t>
        </is>
      </c>
      <c r="G391" t="inlineStr">
        <is>
          <t>ÖVERKALIX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46216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72212-2021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44543</v>
      </c>
      <c r="E393" s="1" t="n">
        <v>46216</v>
      </c>
      <c r="F393" t="inlineStr">
        <is>
          <t>NORRBOTTENS LÄN</t>
        </is>
      </c>
      <c r="G393" t="inlineStr">
        <is>
          <t>ÖVERKALIX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21422-2026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46148</v>
      </c>
      <c r="E394" s="1" t="n">
        <v>46216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46216</v>
      </c>
      <c r="F395" t="inlineStr">
        <is>
          <t>NORRBOTTENS LÄN</t>
        </is>
      </c>
      <c r="G395" t="inlineStr">
        <is>
          <t>ÖVERKALIX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22163-2026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46216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23.2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20580-2024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45436</v>
      </c>
      <c r="E397" s="1" t="n">
        <v>46216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29.9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28038-2026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46216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45667</v>
      </c>
      <c r="E399" s="1" t="n">
        <v>46216</v>
      </c>
      <c r="F399" t="inlineStr">
        <is>
          <t>NORRBOTTENS LÄN</t>
        </is>
      </c>
      <c r="G399" t="inlineStr">
        <is>
          <t>ÖVERKALIX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15546-2024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45401</v>
      </c>
      <c r="E400" s="1" t="n">
        <v>46216</v>
      </c>
      <c r="F400" t="inlineStr">
        <is>
          <t>NORRBOTTENS LÄN</t>
        </is>
      </c>
      <c r="G400" t="inlineStr">
        <is>
          <t>ÖVERKALIX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28210-2026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46196</v>
      </c>
      <c r="E401" s="1" t="n">
        <v>46216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39405-2022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44817</v>
      </c>
      <c r="E402" s="1" t="n">
        <v>46216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8.800000000000001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48221-2025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46216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28925-2026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46216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37085-2024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46216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28644-2026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46216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22742-2026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46157</v>
      </c>
      <c r="E407" s="1" t="n">
        <v>46216</v>
      </c>
      <c r="F407" t="inlineStr">
        <is>
          <t>NORRBOTTENS LÄN</t>
        </is>
      </c>
      <c r="G407" t="inlineStr">
        <is>
          <t>ÖVERKALIX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46945-2021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44446</v>
      </c>
      <c r="E408" s="1" t="n">
        <v>46216</v>
      </c>
      <c r="F408" t="inlineStr">
        <is>
          <t>NORRBOTTENS LÄN</t>
        </is>
      </c>
      <c r="G408" t="inlineStr">
        <is>
          <t>ÖVERKALIX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28641-2026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46216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52075-2023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45223</v>
      </c>
      <c r="E410" s="1" t="n">
        <v>46216</v>
      </c>
      <c r="F410" t="inlineStr">
        <is>
          <t>NORRBOTTENS LÄN</t>
        </is>
      </c>
      <c r="G410" t="inlineStr">
        <is>
          <t>ÖVERKALIX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51058-2024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46216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43673-2021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44433</v>
      </c>
      <c r="E412" s="1" t="n">
        <v>46216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46216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22955-2026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46216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46216</v>
      </c>
      <c r="F415" t="inlineStr">
        <is>
          <t>NORRBOTTENS LÄN</t>
        </is>
      </c>
      <c r="G415" t="inlineStr">
        <is>
          <t>ÖVERKALIX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20392-2025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45775</v>
      </c>
      <c r="E416" s="1" t="n">
        <v>46216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55226-2024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45621</v>
      </c>
      <c r="E417" s="1" t="n">
        <v>46216</v>
      </c>
      <c r="F417" t="inlineStr">
        <is>
          <t>NORRBOTTENS LÄN</t>
        </is>
      </c>
      <c r="G417" t="inlineStr">
        <is>
          <t>ÖVERKALIX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22945-2026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46216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15153-2025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45744</v>
      </c>
      <c r="E419" s="1" t="n">
        <v>46216</v>
      </c>
      <c r="F419" t="inlineStr">
        <is>
          <t>NORRBOTTENS LÄN</t>
        </is>
      </c>
      <c r="G419" t="inlineStr">
        <is>
          <t>ÖVERKALIX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46216</v>
      </c>
      <c r="F420" t="inlineStr">
        <is>
          <t>NORRBOTTENS LÄN</t>
        </is>
      </c>
      <c r="G420" t="inlineStr">
        <is>
          <t>ÖVERKALIX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23353-2026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46216</v>
      </c>
      <c r="F421" t="inlineStr">
        <is>
          <t>NORRBOTTENS LÄN</t>
        </is>
      </c>
      <c r="G421" t="inlineStr">
        <is>
          <t>ÖVERKALIX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23364-2026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46216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23588-2026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46216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29827-2026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46216</v>
      </c>
      <c r="F424" t="inlineStr">
        <is>
          <t>NORRBOTTENS LÄN</t>
        </is>
      </c>
      <c r="G424" t="inlineStr">
        <is>
          <t>ÖVERKALIX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58037-2024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46216</v>
      </c>
      <c r="F425" t="inlineStr">
        <is>
          <t>NORRBOTTENS LÄN</t>
        </is>
      </c>
      <c r="G425" t="inlineStr">
        <is>
          <t>ÖVERKALIX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19985-2025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45771</v>
      </c>
      <c r="E426" s="1" t="n">
        <v>46216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62561-2023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45268</v>
      </c>
      <c r="E427" s="1" t="n">
        <v>46216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48577-2023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45208</v>
      </c>
      <c r="E428" s="1" t="n">
        <v>46216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38941-2024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45548</v>
      </c>
      <c r="E429" s="1" t="n">
        <v>46216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23360-2026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46216</v>
      </c>
      <c r="F430" t="inlineStr">
        <is>
          <t>NORRBOTTENS LÄN</t>
        </is>
      </c>
      <c r="G430" t="inlineStr">
        <is>
          <t>ÖVERKALIX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23362-2026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46216</v>
      </c>
      <c r="F431" t="inlineStr">
        <is>
          <t>NORRBOTTENS LÄN</t>
        </is>
      </c>
      <c r="G431" t="inlineStr">
        <is>
          <t>ÖVERKALIX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29937-2026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46205</v>
      </c>
      <c r="E432" s="1" t="n">
        <v>46216</v>
      </c>
      <c r="F432" t="inlineStr">
        <is>
          <t>NORRBOTTENS LÄN</t>
        </is>
      </c>
      <c r="G432" t="inlineStr">
        <is>
          <t>ÖVERKALIX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29927-2026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46205</v>
      </c>
      <c r="E433" s="1" t="n">
        <v>46216</v>
      </c>
      <c r="F433" t="inlineStr">
        <is>
          <t>NORRBOTTENS LÄN</t>
        </is>
      </c>
      <c r="G433" t="inlineStr">
        <is>
          <t>ÖVERKALIX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46216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23507-2026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46216</v>
      </c>
      <c r="F435" t="inlineStr">
        <is>
          <t>NORRBOTTENS LÄN</t>
        </is>
      </c>
      <c r="G435" t="inlineStr">
        <is>
          <t>ÖVERKALIX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23771-2026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46216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23938-2026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46216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23935-2026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46216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28372-2025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45818</v>
      </c>
      <c r="E439" s="1" t="n">
        <v>46216</v>
      </c>
      <c r="F439" t="inlineStr">
        <is>
          <t>NORRBOTTENS LÄN</t>
        </is>
      </c>
      <c r="G439" t="inlineStr">
        <is>
          <t>ÖVERKALIX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30027-2026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46216</v>
      </c>
      <c r="F440" t="inlineStr">
        <is>
          <t>NORRBOTTENS LÄN</t>
        </is>
      </c>
      <c r="G440" t="inlineStr">
        <is>
          <t>ÖVERKALIX</t>
        </is>
      </c>
      <c r="I440" t="n">
        <v>22.3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30037-2026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46216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30039-2026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46216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36839-2023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45153</v>
      </c>
      <c r="E443" s="1" t="n">
        <v>46216</v>
      </c>
      <c r="F443" t="inlineStr">
        <is>
          <t>NORRBOTTENS LÄN</t>
        </is>
      </c>
      <c r="G443" t="inlineStr">
        <is>
          <t>ÖVERKALIX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23942-2026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46216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52976-2024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46216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30328-2026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46207</v>
      </c>
      <c r="E446" s="1" t="n">
        <v>46216</v>
      </c>
      <c r="F446" t="inlineStr">
        <is>
          <t>NORRBOTTENS LÄN</t>
        </is>
      </c>
      <c r="G446" t="inlineStr">
        <is>
          <t>ÖVERKALIX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30241-2026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46206</v>
      </c>
      <c r="E447" s="1" t="n">
        <v>46216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29960-2023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46216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30329-2026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46207</v>
      </c>
      <c r="E449" s="1" t="n">
        <v>46216</v>
      </c>
      <c r="F449" t="inlineStr">
        <is>
          <t>NORRBOTTENS LÄN</t>
        </is>
      </c>
      <c r="G449" t="inlineStr">
        <is>
          <t>ÖVERKALIX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30327-2026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46207</v>
      </c>
      <c r="E450" s="1" t="n">
        <v>46216</v>
      </c>
      <c r="F450" t="inlineStr">
        <is>
          <t>NORRBOTTENS LÄN</t>
        </is>
      </c>
      <c r="G450" t="inlineStr">
        <is>
          <t>ÖVERKALIX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51354-2025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46216</v>
      </c>
      <c r="F451" t="inlineStr">
        <is>
          <t>NORRBOTTENS LÄN</t>
        </is>
      </c>
      <c r="G451" t="inlineStr">
        <is>
          <t>ÖVERKALIX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23949-2026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46216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23953-2026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46216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30019-2026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46216</v>
      </c>
      <c r="F454" t="inlineStr">
        <is>
          <t>NORRBOTTENS LÄN</t>
        </is>
      </c>
      <c r="G454" t="inlineStr">
        <is>
          <t>ÖVERKALIX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30326-2026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46207</v>
      </c>
      <c r="E455" s="1" t="n">
        <v>46216</v>
      </c>
      <c r="F455" t="inlineStr">
        <is>
          <t>NORRBOTTENS LÄN</t>
        </is>
      </c>
      <c r="G455" t="inlineStr">
        <is>
          <t>ÖVERKALIX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23324-2023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45076</v>
      </c>
      <c r="E456" s="1" t="n">
        <v>46216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Övriga statliga verk och myndigheter</t>
        </is>
      </c>
      <c r="I456" t="n">
        <v>38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24128-2026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46216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24170-2026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46216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19529-2024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45429</v>
      </c>
      <c r="E459" s="1" t="n">
        <v>46216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48561-2024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45593</v>
      </c>
      <c r="E460" s="1" t="n">
        <v>46216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5382-2025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46216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24129-2026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46216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14.2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24587-2026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46216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45693</v>
      </c>
      <c r="E464" s="1" t="n">
        <v>46216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33761-2024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45520</v>
      </c>
      <c r="E465" s="1" t="n">
        <v>46216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21520-2025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45782</v>
      </c>
      <c r="E466" s="1" t="n">
        <v>46216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39974-2021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44417</v>
      </c>
      <c r="E467" s="1" t="n">
        <v>46216</v>
      </c>
      <c r="F467" t="inlineStr">
        <is>
          <t>NORRBOTTENS LÄN</t>
        </is>
      </c>
      <c r="G467" t="inlineStr">
        <is>
          <t>ÖVERKALIX</t>
        </is>
      </c>
      <c r="I467" t="n">
        <v>21.6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22108-2025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45785</v>
      </c>
      <c r="E468" s="1" t="n">
        <v>46216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23867-2025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46216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46216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23870-2025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45793</v>
      </c>
      <c r="E471" s="1" t="n">
        <v>46216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24141-2025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45796</v>
      </c>
      <c r="E472" s="1" t="n">
        <v>46216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24144-2025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45796</v>
      </c>
      <c r="E473" s="1" t="n">
        <v>46216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4114-2024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45323</v>
      </c>
      <c r="E474" s="1" t="n">
        <v>46216</v>
      </c>
      <c r="F474" t="inlineStr">
        <is>
          <t>NORRBOTTENS LÄN</t>
        </is>
      </c>
      <c r="G474" t="inlineStr">
        <is>
          <t>ÖVERKALIX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3721-2022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44741</v>
      </c>
      <c r="E475" s="1" t="n">
        <v>46216</v>
      </c>
      <c r="F475" t="inlineStr">
        <is>
          <t>NORRBOTTENS LÄN</t>
        </is>
      </c>
      <c r="G475" t="inlineStr">
        <is>
          <t>ÖVERKALIX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2792-2024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45485</v>
      </c>
      <c r="E476" s="1" t="n">
        <v>46216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2700-2024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45482</v>
      </c>
      <c r="E477" s="1" t="n">
        <v>46216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4734-2024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45607</v>
      </c>
      <c r="E478" s="1" t="n">
        <v>46216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1178-2025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45756</v>
      </c>
      <c r="E479" s="1" t="n">
        <v>46216</v>
      </c>
      <c r="F479" t="inlineStr">
        <is>
          <t>NORRBOTTENS LÄN</t>
        </is>
      </c>
      <c r="G479" t="inlineStr">
        <is>
          <t>ÖVERKALIX</t>
        </is>
      </c>
      <c r="I479" t="n">
        <v>39.9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1667-2025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45800</v>
      </c>
      <c r="E480" s="1" t="n">
        <v>46216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>
      <c r="A481" t="inlineStr">
        <is>
          <t>S 50-2026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46030</v>
      </c>
      <c r="E481" s="1" t="n">
        <v>46216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2026-07-13T14:48:06Z</dcterms:created>
  <dcterms:modified xmlns:dcterms="http://purl.org/dc/terms/" xmlns:xsi="http://www.w3.org/2001/XMLSchema-instance" xsi:type="dcterms:W3CDTF">2026-07-13T14:48:06Z</dcterms:modified>
</cp:coreProperties>
</file>