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46302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46302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46302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46302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46302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46302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46302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46302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46302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46302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46302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46302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46302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46302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46302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46302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46302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46302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46302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19275-2025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46302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16.3</v>
      </c>
      <c r="J24" t="n">
        <v>2</v>
      </c>
      <c r="K24" t="n">
        <v>1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5</v>
      </c>
      <c r="U24" t="n">
        <v>3</v>
      </c>
      <c r="V24" s="2" t="inlineStr">
        <is>
          <t>Fläckporing
Knärot
Plattlummer</t>
        </is>
      </c>
      <c r="W24">
        <f>HYPERLINK("https://klasma.github.io/Logging_2513/artfynd/A 19275-2025 artfynd.xlsx", "A 19275-2025")</f>
        <v/>
      </c>
      <c r="X24">
        <f>HYPERLINK("https://klasma.github.io/Logging_2513/kartor/A 19275-2025 karta.png", "A 19275-2025")</f>
        <v/>
      </c>
      <c r="Y24">
        <f>HYPERLINK("https://klasma.github.io/Logging_2513/kartor_geotiff/A 19275-2025 georefererad karta.tif", "A 19275-2025")</f>
        <v/>
      </c>
      <c r="Z24">
        <f>HYPERLINK("https://klasma.github.io/Logging_2513/knärot/A 19275-2025 karta knärot.png", "A 19275-2025")</f>
        <v/>
      </c>
      <c r="AA24">
        <f>HYPERLINK("https://klasma.github.io/Logging_2513/klagomål/A 19275-2025 FSC-klagomål.docx", "A 19275-2025")</f>
        <v/>
      </c>
      <c r="AB24">
        <f>HYPERLINK("https://klasma.github.io/Logging_2513/klagomålsmail/A 19275-2025 FSC-klagomål mail.docx", "A 19275-2025")</f>
        <v/>
      </c>
      <c r="AC24">
        <f>HYPERLINK("https://klasma.github.io/Logging_2513/tillsyn/A 19275-2025 tillsynsbegäran.docx", "A 19275-2025")</f>
        <v/>
      </c>
      <c r="AD24">
        <f>HYPERLINK("https://klasma.github.io/Logging_2513/tillsynsmail/A 19275-2025 tillsynsbegäran mail.docx", "A 19275-2025")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46302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46302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46302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46302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26452-2025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45807</v>
      </c>
      <c r="E31" s="1" t="n">
        <v>46302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Stor aspticka</t>
        </is>
      </c>
      <c r="W31">
        <f>HYPERLINK("https://klasma.github.io/Logging_2513/artfynd/A 26452-2025 artfynd.xlsx", "A 26452-2025")</f>
        <v/>
      </c>
      <c r="X31">
        <f>HYPERLINK("https://klasma.github.io/Logging_2513/kartor/A 26452-2025 karta.png", "A 26452-2025")</f>
        <v/>
      </c>
      <c r="Y31">
        <f>HYPERLINK("https://klasma.github.io/Logging_2513/kartor_geotiff/A 26452-2025 georefererad karta.tif", "A 26452-2025")</f>
        <v/>
      </c>
      <c r="AA31">
        <f>HYPERLINK("https://klasma.github.io/Logging_2513/klagomål/A 26452-2025 FSC-klagomål.docx", "A 26452-2025")</f>
        <v/>
      </c>
      <c r="AB31">
        <f>HYPERLINK("https://klasma.github.io/Logging_2513/klagomålsmail/A 26452-2025 FSC-klagomål mail.docx", "A 26452-2025")</f>
        <v/>
      </c>
      <c r="AC31">
        <f>HYPERLINK("https://klasma.github.io/Logging_2513/tillsyn/A 26452-2025 tillsynsbegäran.docx", "A 26452-2025")</f>
        <v/>
      </c>
      <c r="AD31">
        <f>HYPERLINK("https://klasma.github.io/Logging_2513/tillsynsmail/A 26452-2025 tillsynsbegäran mail.docx", "A 26452-2025")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46302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46302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40706-2023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45170</v>
      </c>
      <c r="E34" s="1" t="n">
        <v>46302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7.1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Dropptaggsvamp</t>
        </is>
      </c>
      <c r="W34">
        <f>HYPERLINK("https://klasma.github.io/Logging_2513/artfynd/A 40706-2023 artfynd.xlsx", "A 40706-2023")</f>
        <v/>
      </c>
      <c r="X34">
        <f>HYPERLINK("https://klasma.github.io/Logging_2513/kartor/A 40706-2023 karta.png", "A 40706-2023")</f>
        <v/>
      </c>
      <c r="Y34">
        <f>HYPERLINK("https://klasma.github.io/Logging_2513/kartor_geotiff/A 40706-2023 georefererad karta.tif", "A 40706-2023")</f>
        <v/>
      </c>
      <c r="Z34">
        <f>HYPERLINK("https://klasma.github.io/Logging_2513/knärot/A 40706-2023 karta knärot.png", "A 40706-2023")</f>
        <v/>
      </c>
      <c r="AA34">
        <f>HYPERLINK("https://klasma.github.io/Logging_2513/klagomål/A 40706-2023 FSC-klagomål.docx", "A 40706-2023")</f>
        <v/>
      </c>
      <c r="AB34">
        <f>HYPERLINK("https://klasma.github.io/Logging_2513/klagomålsmail/A 40706-2023 FSC-klagomål mail.docx", "A 40706-2023")</f>
        <v/>
      </c>
      <c r="AC34">
        <f>HYPERLINK("https://klasma.github.io/Logging_2513/tillsyn/A 40706-2023 tillsynsbegäran.docx", "A 40706-2023")</f>
        <v/>
      </c>
      <c r="AD34">
        <f>HYPERLINK("https://klasma.github.io/Logging_2513/tillsynsmail/A 40706-2023 tillsynsbegäran mail.docx", "A 40706-2023")</f>
        <v/>
      </c>
    </row>
    <row r="35" ht="15" customHeight="1">
      <c r="A35" t="inlineStr">
        <is>
          <t>A 14152-2026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46099</v>
      </c>
      <c r="E35" s="1" t="n">
        <v>46302</v>
      </c>
      <c r="F35" t="inlineStr">
        <is>
          <t>NORRBOTTENS LÄN</t>
        </is>
      </c>
      <c r="G35" t="inlineStr">
        <is>
          <t>ÖVERKALIX</t>
        </is>
      </c>
      <c r="I35" t="n">
        <v>4.6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Källpraktmossa
Spädstarr</t>
        </is>
      </c>
      <c r="W35">
        <f>HYPERLINK("https://klasma.github.io/Logging_2513/artfynd/A 14152-2026 artfynd.xlsx", "A 14152-2026")</f>
        <v/>
      </c>
      <c r="X35">
        <f>HYPERLINK("https://klasma.github.io/Logging_2513/kartor/A 14152-2026 karta.png", "A 14152-2026")</f>
        <v/>
      </c>
      <c r="Y35">
        <f>HYPERLINK("https://klasma.github.io/Logging_2513/kartor_geotiff/A 14152-2026 georefererad karta.tif", "A 14152-2026")</f>
        <v/>
      </c>
      <c r="AA35">
        <f>HYPERLINK("https://klasma.github.io/Logging_2513/klagomål/A 14152-2026 FSC-klagomål.docx", "A 14152-2026")</f>
        <v/>
      </c>
      <c r="AB35">
        <f>HYPERLINK("https://klasma.github.io/Logging_2513/klagomålsmail/A 14152-2026 FSC-klagomål mail.docx", "A 14152-2026")</f>
        <v/>
      </c>
      <c r="AC35">
        <f>HYPERLINK("https://klasma.github.io/Logging_2513/tillsyn/A 14152-2026 tillsynsbegäran.docx", "A 14152-2026")</f>
        <v/>
      </c>
      <c r="AD35">
        <f>HYPERLINK("https://klasma.github.io/Logging_2513/tillsynsmail/A 14152-2026 tillsynsbegäran mail.docx", "A 14152-2026")</f>
        <v/>
      </c>
    </row>
    <row r="36" ht="15" customHeight="1">
      <c r="A36" t="inlineStr">
        <is>
          <t>A 34921-2025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46302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16.4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Lunglav</t>
        </is>
      </c>
      <c r="W36">
        <f>HYPERLINK("https://klasma.github.io/Logging_2513/artfynd/A 34921-2025 artfynd.xlsx", "A 34921-2025")</f>
        <v/>
      </c>
      <c r="X36">
        <f>HYPERLINK("https://klasma.github.io/Logging_2513/kartor/A 34921-2025 karta.png", "A 34921-2025")</f>
        <v/>
      </c>
      <c r="Y36">
        <f>HYPERLINK("https://klasma.github.io/Logging_2513/kartor_geotiff/A 34921-2025 georefererad karta.tif", "A 34921-2025")</f>
        <v/>
      </c>
      <c r="AA36">
        <f>HYPERLINK("https://klasma.github.io/Logging_2513/klagomål/A 34921-2025 FSC-klagomål.docx", "A 34921-2025")</f>
        <v/>
      </c>
      <c r="AB36">
        <f>HYPERLINK("https://klasma.github.io/Logging_2513/klagomålsmail/A 34921-2025 FSC-klagomål mail.docx", "A 34921-2025")</f>
        <v/>
      </c>
      <c r="AC36">
        <f>HYPERLINK("https://klasma.github.io/Logging_2513/tillsyn/A 34921-2025 tillsynsbegäran.docx", "A 34921-2025")</f>
        <v/>
      </c>
      <c r="AD36">
        <f>HYPERLINK("https://klasma.github.io/Logging_2513/tillsynsmail/A 34921-2025 tillsynsbegäran mail.docx", "A 34921-2025")</f>
        <v/>
      </c>
    </row>
    <row r="37" ht="15" customHeight="1">
      <c r="A37" t="inlineStr">
        <is>
          <t>A 47680-2024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46302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2.1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Blå taggsvamp
Skarp dropptaggsvamp</t>
        </is>
      </c>
      <c r="W37">
        <f>HYPERLINK("https://klasma.github.io/Logging_2513/artfynd/A 47680-2024 artfynd.xlsx", "A 47680-2024")</f>
        <v/>
      </c>
      <c r="X37">
        <f>HYPERLINK("https://klasma.github.io/Logging_2513/kartor/A 47680-2024 karta.png", "A 47680-2024")</f>
        <v/>
      </c>
      <c r="Y37">
        <f>HYPERLINK("https://klasma.github.io/Logging_2513/kartor_geotiff/A 47680-2024 georefererad karta.tif", "A 47680-2024")</f>
        <v/>
      </c>
      <c r="AA37">
        <f>HYPERLINK("https://klasma.github.io/Logging_2513/klagomål/A 47680-2024 FSC-klagomål.docx", "A 47680-2024")</f>
        <v/>
      </c>
      <c r="AB37">
        <f>HYPERLINK("https://klasma.github.io/Logging_2513/klagomålsmail/A 47680-2024 FSC-klagomål mail.docx", "A 47680-2024")</f>
        <v/>
      </c>
      <c r="AC37">
        <f>HYPERLINK("https://klasma.github.io/Logging_2513/tillsyn/A 47680-2024 tillsynsbegäran.docx", "A 47680-2024")</f>
        <v/>
      </c>
      <c r="AD37">
        <f>HYPERLINK("https://klasma.github.io/Logging_2513/tillsynsmail/A 47680-2024 tillsynsbegäran mail.docx", "A 47680-2024")</f>
        <v/>
      </c>
    </row>
    <row r="38" ht="15" customHeight="1">
      <c r="A38" t="inlineStr">
        <is>
          <t>A 62951-2025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46302</v>
      </c>
      <c r="F38" t="inlineStr">
        <is>
          <t>NORRBOTTENS LÄN</t>
        </is>
      </c>
      <c r="G38" t="inlineStr">
        <is>
          <t>ÖVERKALIX</t>
        </is>
      </c>
      <c r="H38" t="inlineStr">
        <is>
          <t>SCA</t>
        </is>
      </c>
      <c r="I38" t="n">
        <v>4.2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Ullticka</t>
        </is>
      </c>
      <c r="W38">
        <f>HYPERLINK("https://klasma.github.io/Logging_2513/artfynd/A 62951-2025 artfynd.xlsx", "A 62951-2025")</f>
        <v/>
      </c>
      <c r="X38">
        <f>HYPERLINK("https://klasma.github.io/Logging_2513/kartor/A 62951-2025 karta.png", "A 62951-2025")</f>
        <v/>
      </c>
      <c r="Y38">
        <f>HYPERLINK("https://klasma.github.io/Logging_2513/kartor_geotiff/A 62951-2025 georefererad karta.tif", "A 62951-2025")</f>
        <v/>
      </c>
      <c r="AA38">
        <f>HYPERLINK("https://klasma.github.io/Logging_2513/klagomål/A 62951-2025 FSC-klagomål.docx", "A 62951-2025")</f>
        <v/>
      </c>
      <c r="AB38">
        <f>HYPERLINK("https://klasma.github.io/Logging_2513/klagomålsmail/A 62951-2025 FSC-klagomål mail.docx", "A 62951-2025")</f>
        <v/>
      </c>
      <c r="AC38">
        <f>HYPERLINK("https://klasma.github.io/Logging_2513/tillsyn/A 62951-2025 tillsynsbegäran.docx", "A 62951-2025")</f>
        <v/>
      </c>
      <c r="AD38">
        <f>HYPERLINK("https://klasma.github.io/Logging_2513/tillsynsmail/A 62951-2025 tillsynsbegäran mail.docx", "A 62951-2025")</f>
        <v/>
      </c>
    </row>
    <row r="39" ht="15" customHeight="1">
      <c r="A39" t="inlineStr">
        <is>
          <t>A 7477-2023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46302</v>
      </c>
      <c r="F39" t="inlineStr">
        <is>
          <t>NORRBOTTENS LÄN</t>
        </is>
      </c>
      <c r="G39" t="inlineStr">
        <is>
          <t>ÖVERKALIX</t>
        </is>
      </c>
      <c r="I39" t="n">
        <v>2.6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Motaggsvamp
Skarp dropptaggsvamp</t>
        </is>
      </c>
      <c r="W39">
        <f>HYPERLINK("https://klasma.github.io/Logging_2513/artfynd/A 7477-2023 artfynd.xlsx", "A 7477-2023")</f>
        <v/>
      </c>
      <c r="X39">
        <f>HYPERLINK("https://klasma.github.io/Logging_2513/kartor/A 7477-2023 karta.png", "A 7477-2023")</f>
        <v/>
      </c>
      <c r="Y39">
        <f>HYPERLINK("https://klasma.github.io/Logging_2513/kartor_geotiff/A 7477-2023 georefererad karta.tif", "A 7477-2023")</f>
        <v/>
      </c>
      <c r="AA39">
        <f>HYPERLINK("https://klasma.github.io/Logging_2513/klagomål/A 7477-2023 FSC-klagomål.docx", "A 7477-2023")</f>
        <v/>
      </c>
      <c r="AB39">
        <f>HYPERLINK("https://klasma.github.io/Logging_2513/klagomålsmail/A 7477-2023 FSC-klagomål mail.docx", "A 7477-2023")</f>
        <v/>
      </c>
      <c r="AC39">
        <f>HYPERLINK("https://klasma.github.io/Logging_2513/tillsyn/A 7477-2023 tillsynsbegäran.docx", "A 7477-2023")</f>
        <v/>
      </c>
      <c r="AD39">
        <f>HYPERLINK("https://klasma.github.io/Logging_2513/tillsynsmail/A 7477-2023 tillsynsbegäran mail.docx", "A 7477-2023")</f>
        <v/>
      </c>
    </row>
    <row r="40" ht="15" customHeight="1">
      <c r="A40" t="inlineStr">
        <is>
          <t>A 28029-2026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46302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Blå taggsvamp
Bollvitmossa</t>
        </is>
      </c>
      <c r="W40">
        <f>HYPERLINK("https://klasma.github.io/Logging_2513/artfynd/A 28029-2026 artfynd.xlsx", "A 28029-2026")</f>
        <v/>
      </c>
      <c r="X40">
        <f>HYPERLINK("https://klasma.github.io/Logging_2513/kartor/A 28029-2026 karta.png", "A 28029-2026")</f>
        <v/>
      </c>
      <c r="Y40">
        <f>HYPERLINK("https://klasma.github.io/Logging_2513/kartor_geotiff/A 28029-2026 georefererad karta.tif", "A 28029-2026")</f>
        <v/>
      </c>
      <c r="AA40">
        <f>HYPERLINK("https://klasma.github.io/Logging_2513/klagomål/A 28029-2026 FSC-klagomål.docx", "A 28029-2026")</f>
        <v/>
      </c>
      <c r="AB40">
        <f>HYPERLINK("https://klasma.github.io/Logging_2513/klagomålsmail/A 28029-2026 FSC-klagomål mail.docx", "A 28029-2026")</f>
        <v/>
      </c>
      <c r="AC40">
        <f>HYPERLINK("https://klasma.github.io/Logging_2513/tillsyn/A 28029-2026 tillsynsbegäran.docx", "A 28029-2026")</f>
        <v/>
      </c>
      <c r="AD40">
        <f>HYPERLINK("https://klasma.github.io/Logging_2513/tillsynsmail/A 28029-2026 tillsynsbegäran mail.docx", "A 28029-2026")</f>
        <v/>
      </c>
    </row>
    <row r="41" ht="15" customHeight="1">
      <c r="A41" t="inlineStr">
        <is>
          <t>A 28929-2026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46302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3.9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5</v>
      </c>
      <c r="V41" s="2" t="inlineStr">
        <is>
          <t>Knärot
Fläcknycklar</t>
        </is>
      </c>
      <c r="W41">
        <f>HYPERLINK("https://klasma.github.io/Logging_2513/artfynd/A 28929-2026 artfynd.xlsx", "A 28929-2026")</f>
        <v/>
      </c>
      <c r="X41">
        <f>HYPERLINK("https://klasma.github.io/Logging_2513/kartor/A 28929-2026 karta.png", "A 28929-2026")</f>
        <v/>
      </c>
      <c r="Y41">
        <f>HYPERLINK("https://klasma.github.io/Logging_2513/kartor_geotiff/A 28929-2026 georefererad karta.tif", "A 28929-2026")</f>
        <v/>
      </c>
      <c r="Z41">
        <f>HYPERLINK("https://klasma.github.io/Logging_2513/knärot/A 28929-2026 karta knärot.png", "A 28929-2026")</f>
        <v/>
      </c>
      <c r="AA41">
        <f>HYPERLINK("https://klasma.github.io/Logging_2513/klagomål/A 28929-2026 FSC-klagomål.docx", "A 28929-2026")</f>
        <v/>
      </c>
      <c r="AB41">
        <f>HYPERLINK("https://klasma.github.io/Logging_2513/klagomålsmail/A 28929-2026 FSC-klagomål mail.docx", "A 28929-2026")</f>
        <v/>
      </c>
      <c r="AC41">
        <f>HYPERLINK("https://klasma.github.io/Logging_2513/tillsyn/A 28929-2026 tillsynsbegäran.docx", "A 28929-2026")</f>
        <v/>
      </c>
      <c r="AD41">
        <f>HYPERLINK("https://klasma.github.io/Logging_2513/tillsynsmail/A 28929-2026 tillsynsbegäran mail.docx", "A 28929-2026")</f>
        <v/>
      </c>
    </row>
    <row r="42" ht="15" customHeight="1">
      <c r="A42" t="inlineStr">
        <is>
          <t>A 35594-2026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46262</v>
      </c>
      <c r="E42" s="1" t="n">
        <v>46302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40.3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7</v>
      </c>
      <c r="U42" t="n">
        <v>4</v>
      </c>
      <c r="V42" s="2" t="inlineStr">
        <is>
          <t>Dropptaggsvamp
Lunglav</t>
        </is>
      </c>
      <c r="W42">
        <f>HYPERLINK("https://klasma.github.io/Logging_2513/artfynd/A 35594-2026 artfynd.xlsx", "A 35594-2026")</f>
        <v/>
      </c>
      <c r="X42">
        <f>HYPERLINK("https://klasma.github.io/Logging_2513/kartor/A 35594-2026 karta.png", "A 35594-2026")</f>
        <v/>
      </c>
      <c r="Y42">
        <f>HYPERLINK("https://klasma.github.io/Logging_2513/kartor_geotiff/A 35594-2026 georefererad karta.tif", "A 35594-2026")</f>
        <v/>
      </c>
      <c r="AA42">
        <f>HYPERLINK("https://klasma.github.io/Logging_2513/klagomål/A 35594-2026 FSC-klagomål.docx", "A 35594-2026")</f>
        <v/>
      </c>
      <c r="AB42">
        <f>HYPERLINK("https://klasma.github.io/Logging_2513/klagomålsmail/A 35594-2026 FSC-klagomål mail.docx", "A 35594-2026")</f>
        <v/>
      </c>
      <c r="AC42">
        <f>HYPERLINK("https://klasma.github.io/Logging_2513/tillsyn/A 35594-2026 tillsynsbegäran.docx", "A 35594-2026")</f>
        <v/>
      </c>
      <c r="AD42">
        <f>HYPERLINK("https://klasma.github.io/Logging_2513/tillsynsmail/A 35594-2026 tillsynsbegäran mail.docx", "A 35594-2026")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46302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36803-2023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45154</v>
      </c>
      <c r="E44" s="1" t="n">
        <v>46302</v>
      </c>
      <c r="F44" t="inlineStr">
        <is>
          <t>NORRBOTTENS LÄN</t>
        </is>
      </c>
      <c r="G44" t="inlineStr">
        <is>
          <t>ÖVERKALIX</t>
        </is>
      </c>
      <c r="I44" t="n">
        <v>3.1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6</v>
      </c>
      <c r="U44" t="n">
        <v>6</v>
      </c>
      <c r="V44" s="2" t="inlineStr">
        <is>
          <t>Knärot
Revlummer</t>
        </is>
      </c>
      <c r="W44">
        <f>HYPERLINK("https://klasma.github.io/Logging_2513/artfynd/A 36803-2023 artfynd.xlsx", "A 36803-2023")</f>
        <v/>
      </c>
      <c r="X44">
        <f>HYPERLINK("https://klasma.github.io/Logging_2513/kartor/A 36803-2023 karta.png", "A 36803-2023")</f>
        <v/>
      </c>
      <c r="Y44">
        <f>HYPERLINK("https://klasma.github.io/Logging_2513/kartor_geotiff/A 36803-2023 georefererad karta.tif", "A 36803-2023")</f>
        <v/>
      </c>
      <c r="Z44">
        <f>HYPERLINK("https://klasma.github.io/Logging_2513/knärot/A 36803-2023 karta knärot.png", "A 36803-2023")</f>
        <v/>
      </c>
      <c r="AA44">
        <f>HYPERLINK("https://klasma.github.io/Logging_2513/klagomål/A 36803-2023 FSC-klagomål.docx", "A 36803-2023")</f>
        <v/>
      </c>
      <c r="AB44">
        <f>HYPERLINK("https://klasma.github.io/Logging_2513/klagomålsmail/A 36803-2023 FSC-klagomål mail.docx", "A 36803-2023")</f>
        <v/>
      </c>
      <c r="AC44">
        <f>HYPERLINK("https://klasma.github.io/Logging_2513/tillsyn/A 36803-2023 tillsynsbegäran.docx", "A 36803-2023")</f>
        <v/>
      </c>
      <c r="AD44">
        <f>HYPERLINK("https://klasma.github.io/Logging_2513/tillsynsmail/A 36803-2023 tillsynsbegäran mail.docx", "A 36803-2023")</f>
        <v/>
      </c>
    </row>
    <row r="45" ht="15" customHeight="1">
      <c r="A45" t="inlineStr">
        <is>
          <t>A 36378-2024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46302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21.5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Lunglav
Fläcknycklar</t>
        </is>
      </c>
      <c r="W45">
        <f>HYPERLINK("https://klasma.github.io/Logging_2513/artfynd/A 36378-2024 artfynd.xlsx", "A 36378-2024")</f>
        <v/>
      </c>
      <c r="X45">
        <f>HYPERLINK("https://klasma.github.io/Logging_2513/kartor/A 36378-2024 karta.png", "A 36378-2024")</f>
        <v/>
      </c>
      <c r="Y45">
        <f>HYPERLINK("https://klasma.github.io/Logging_2513/kartor_geotiff/A 36378-2024 georefererad karta.tif", "A 36378-2024")</f>
        <v/>
      </c>
      <c r="AA45">
        <f>HYPERLINK("https://klasma.github.io/Logging_2513/klagomål/A 36378-2024 FSC-klagomål.docx", "A 36378-2024")</f>
        <v/>
      </c>
      <c r="AB45">
        <f>HYPERLINK("https://klasma.github.io/Logging_2513/klagomålsmail/A 36378-2024 FSC-klagomål mail.docx", "A 36378-2024")</f>
        <v/>
      </c>
      <c r="AC45">
        <f>HYPERLINK("https://klasma.github.io/Logging_2513/tillsyn/A 36378-2024 tillsynsbegäran.docx", "A 36378-2024")</f>
        <v/>
      </c>
      <c r="AD45">
        <f>HYPERLINK("https://klasma.github.io/Logging_2513/tillsynsmail/A 36378-2024 tillsynsbegäran mail.docx", "A 36378-2024")</f>
        <v/>
      </c>
    </row>
    <row r="46" ht="15" customHeight="1">
      <c r="A46" t="inlineStr">
        <is>
          <t>A 36381-2024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46302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26.7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Gammelgransskål
Orre</t>
        </is>
      </c>
      <c r="W46">
        <f>HYPERLINK("https://klasma.github.io/Logging_2513/artfynd/A 36381-2024 artfynd.xlsx", "A 36381-2024")</f>
        <v/>
      </c>
      <c r="X46">
        <f>HYPERLINK("https://klasma.github.io/Logging_2513/kartor/A 36381-2024 karta.png", "A 36381-2024")</f>
        <v/>
      </c>
      <c r="Y46">
        <f>HYPERLINK("https://klasma.github.io/Logging_2513/kartor_geotiff/A 36381-2024 georefererad karta.tif", "A 36381-2024")</f>
        <v/>
      </c>
      <c r="AA46">
        <f>HYPERLINK("https://klasma.github.io/Logging_2513/klagomål/A 36381-2024 FSC-klagomål.docx", "A 36381-2024")</f>
        <v/>
      </c>
      <c r="AB46">
        <f>HYPERLINK("https://klasma.github.io/Logging_2513/klagomålsmail/A 36381-2024 FSC-klagomål mail.docx", "A 36381-2024")</f>
        <v/>
      </c>
      <c r="AC46">
        <f>HYPERLINK("https://klasma.github.io/Logging_2513/tillsyn/A 36381-2024 tillsynsbegäran.docx", "A 36381-2024")</f>
        <v/>
      </c>
      <c r="AD46">
        <f>HYPERLINK("https://klasma.github.io/Logging_2513/tillsynsmail/A 36381-2024 tillsynsbegäran mail.docx", "A 36381-2024")</f>
        <v/>
      </c>
      <c r="AE46">
        <f>HYPERLINK("https://klasma.github.io/Logging_2513/fåglar/A 36381-2024 prioriterade fågelarter.docx", "A 36381-2024")</f>
        <v/>
      </c>
    </row>
    <row r="47" ht="15" customHeight="1">
      <c r="A47" t="inlineStr">
        <is>
          <t>A 50691-2024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45602</v>
      </c>
      <c r="E47" s="1" t="n">
        <v>46302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4.2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Gammelgransskål
Vedticka</t>
        </is>
      </c>
      <c r="W47">
        <f>HYPERLINK("https://klasma.github.io/Logging_2513/artfynd/A 50691-2024 artfynd.xlsx", "A 50691-2024")</f>
        <v/>
      </c>
      <c r="X47">
        <f>HYPERLINK("https://klasma.github.io/Logging_2513/kartor/A 50691-2024 karta.png", "A 50691-2024")</f>
        <v/>
      </c>
      <c r="Y47">
        <f>HYPERLINK("https://klasma.github.io/Logging_2513/kartor_geotiff/A 50691-2024 georefererad karta.tif", "A 50691-2024")</f>
        <v/>
      </c>
      <c r="AA47">
        <f>HYPERLINK("https://klasma.github.io/Logging_2513/klagomål/A 50691-2024 FSC-klagomål.docx", "A 50691-2024")</f>
        <v/>
      </c>
      <c r="AB47">
        <f>HYPERLINK("https://klasma.github.io/Logging_2513/klagomålsmail/A 50691-2024 FSC-klagomål mail.docx", "A 50691-2024")</f>
        <v/>
      </c>
      <c r="AC47">
        <f>HYPERLINK("https://klasma.github.io/Logging_2513/tillsyn/A 50691-2024 tillsynsbegäran.docx", "A 50691-2024")</f>
        <v/>
      </c>
      <c r="AD47">
        <f>HYPERLINK("https://klasma.github.io/Logging_2513/tillsynsmail/A 50691-2024 tillsynsbegäran mail.docx", "A 50691-2024")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46302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46302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46302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22977-2022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44717</v>
      </c>
      <c r="E51" s="1" t="n">
        <v>46302</v>
      </c>
      <c r="F51" t="inlineStr">
        <is>
          <t>NORRBOTTENS LÄN</t>
        </is>
      </c>
      <c r="G51" t="inlineStr">
        <is>
          <t>ÖVERKALIX</t>
        </is>
      </c>
      <c r="I51" t="n">
        <v>19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Bivråk</t>
        </is>
      </c>
      <c r="W51">
        <f>HYPERLINK("https://klasma.github.io/Logging_2513/artfynd/A 22977-2022 artfynd.xlsx", "A 22977-2022")</f>
        <v/>
      </c>
      <c r="X51">
        <f>HYPERLINK("https://klasma.github.io/Logging_2513/kartor/A 22977-2022 karta.png", "A 22977-2022")</f>
        <v/>
      </c>
      <c r="Y51">
        <f>HYPERLINK("https://klasma.github.io/Logging_2513/kartor_geotiff/A 22977-2022 georefererad karta.tif", "A 22977-2022")</f>
        <v/>
      </c>
      <c r="AA51">
        <f>HYPERLINK("https://klasma.github.io/Logging_2513/klagomål/A 22977-2022 FSC-klagomål.docx", "A 22977-2022")</f>
        <v/>
      </c>
      <c r="AB51">
        <f>HYPERLINK("https://klasma.github.io/Logging_2513/klagomålsmail/A 22977-2022 FSC-klagomål mail.docx", "A 22977-2022")</f>
        <v/>
      </c>
      <c r="AC51">
        <f>HYPERLINK("https://klasma.github.io/Logging_2513/tillsyn/A 22977-2022 tillsynsbegäran.docx", "A 22977-2022")</f>
        <v/>
      </c>
      <c r="AD51">
        <f>HYPERLINK("https://klasma.github.io/Logging_2513/tillsynsmail/A 22977-2022 tillsynsbegäran mail.docx", "A 22977-2022")</f>
        <v/>
      </c>
      <c r="AE51">
        <f>HYPERLINK("https://klasma.github.io/Logging_2513/fåglar/A 22977-2022 prioriterade fågelarter.docx", "A 22977-2022")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46302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46302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46302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46302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46280-2024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46302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HYPERLINK("https://klasma.github.io/Logging_2513/artfynd/A 46280-2024 artfynd.xlsx", "A 46280-2024")</f>
        <v/>
      </c>
      <c r="X56">
        <f>HYPERLINK("https://klasma.github.io/Logging_2513/kartor/A 46280-2024 karta.png", "A 46280-2024")</f>
        <v/>
      </c>
      <c r="Y56">
        <f>HYPERLINK("https://klasma.github.io/Logging_2513/kartor_geotiff/A 46280-2024 georefererad karta.tif", "A 46280-2024")</f>
        <v/>
      </c>
      <c r="AA56">
        <f>HYPERLINK("https://klasma.github.io/Logging_2513/klagomål/A 46280-2024 FSC-klagomål.docx", "A 46280-2024")</f>
        <v/>
      </c>
      <c r="AB56">
        <f>HYPERLINK("https://klasma.github.io/Logging_2513/klagomålsmail/A 46280-2024 FSC-klagomål mail.docx", "A 46280-2024")</f>
        <v/>
      </c>
      <c r="AC56">
        <f>HYPERLINK("https://klasma.github.io/Logging_2513/tillsyn/A 46280-2024 tillsynsbegäran.docx", "A 46280-2024")</f>
        <v/>
      </c>
      <c r="AD56">
        <f>HYPERLINK("https://klasma.github.io/Logging_2513/tillsynsmail/A 46280-2024 tillsynsbegäran mail.docx", "A 46280-2024")</f>
        <v/>
      </c>
      <c r="AE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46302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 taggsvamp</t>
        </is>
      </c>
      <c r="W57">
        <f>HYPERLINK("https://klasma.github.io/Logging_2513/artfynd/A 46281-2024 artfynd.xlsx", "A 46281-2024")</f>
        <v/>
      </c>
      <c r="X57">
        <f>HYPERLINK("https://klasma.github.io/Logging_2513/kartor/A 46281-2024 karta.png", "A 46281-2024")</f>
        <v/>
      </c>
      <c r="Y57">
        <f>HYPERLINK("https://klasma.github.io/Logging_2513/kartor_geotiff/A 46281-2024 georefererad karta.tif", "A 46281-2024")</f>
        <v/>
      </c>
      <c r="AA57">
        <f>HYPERLINK("https://klasma.github.io/Logging_2513/klagomål/A 46281-2024 FSC-klagomål.docx", "A 46281-2024")</f>
        <v/>
      </c>
      <c r="AB57">
        <f>HYPERLINK("https://klasma.github.io/Logging_2513/klagomålsmail/A 46281-2024 FSC-klagomål mail.docx", "A 46281-2024")</f>
        <v/>
      </c>
      <c r="AC57">
        <f>HYPERLINK("https://klasma.github.io/Logging_2513/tillsyn/A 46281-2024 tillsynsbegäran.docx", "A 46281-2024")</f>
        <v/>
      </c>
      <c r="AD57">
        <f>HYPERLINK("https://klasma.github.io/Logging_2513/tillsynsmail/A 46281-2024 tillsynsbegäran mail.docx", "A 46281-2024")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46302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27087-2026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46187</v>
      </c>
      <c r="E59" s="1" t="n">
        <v>46302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5.1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HYPERLINK("https://klasma.github.io/Logging_2513/artfynd/A 27087-2026 artfynd.xlsx", "A 27087-2026")</f>
        <v/>
      </c>
      <c r="X59">
        <f>HYPERLINK("https://klasma.github.io/Logging_2513/kartor/A 27087-2026 karta.png", "A 27087-2026")</f>
        <v/>
      </c>
      <c r="Y59">
        <f>HYPERLINK("https://klasma.github.io/Logging_2513/kartor_geotiff/A 27087-2026 georefererad karta.tif", "A 27087-2026")</f>
        <v/>
      </c>
      <c r="AA59">
        <f>HYPERLINK("https://klasma.github.io/Logging_2513/klagomål/A 27087-2026 FSC-klagomål.docx", "A 27087-2026")</f>
        <v/>
      </c>
      <c r="AB59">
        <f>HYPERLINK("https://klasma.github.io/Logging_2513/klagomålsmail/A 27087-2026 FSC-klagomål mail.docx", "A 27087-2026")</f>
        <v/>
      </c>
      <c r="AC59">
        <f>HYPERLINK("https://klasma.github.io/Logging_2513/tillsyn/A 27087-2026 tillsynsbegäran.docx", "A 27087-2026")</f>
        <v/>
      </c>
      <c r="AD59">
        <f>HYPERLINK("https://klasma.github.io/Logging_2513/tillsynsmail/A 27087-2026 tillsynsbegäran mail.docx", "A 27087-2026")</f>
        <v/>
      </c>
      <c r="AE59">
        <f>HYPERLINK("https://klasma.github.io/Logging_2513/fåglar/A 27087-2026 prioriterade fågelarter.docx", "A 27087-2026")</f>
        <v/>
      </c>
    </row>
    <row r="60" ht="15" customHeight="1">
      <c r="A60" t="inlineStr">
        <is>
          <t>A 7234-2023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46302</v>
      </c>
      <c r="F60" t="inlineStr">
        <is>
          <t>NORRBOTTENS LÄN</t>
        </is>
      </c>
      <c r="G60" t="inlineStr">
        <is>
          <t>ÖVERKALIX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HYPERLINK("https://klasma.github.io/Logging_2513/artfynd/A 7234-2023 artfynd.xlsx", "A 7234-2023")</f>
        <v/>
      </c>
      <c r="X60">
        <f>HYPERLINK("https://klasma.github.io/Logging_2513/kartor/A 7234-2023 karta.png", "A 7234-2023")</f>
        <v/>
      </c>
      <c r="Y60">
        <f>HYPERLINK("https://klasma.github.io/Logging_2513/kartor_geotiff/A 7234-2023 georefererad karta.tif", "A 7234-2023")</f>
        <v/>
      </c>
      <c r="AA60">
        <f>HYPERLINK("https://klasma.github.io/Logging_2513/klagomål/A 7234-2023 FSC-klagomål.docx", "A 7234-2023")</f>
        <v/>
      </c>
      <c r="AB60">
        <f>HYPERLINK("https://klasma.github.io/Logging_2513/klagomålsmail/A 7234-2023 FSC-klagomål mail.docx", "A 7234-2023")</f>
        <v/>
      </c>
      <c r="AC60">
        <f>HYPERLINK("https://klasma.github.io/Logging_2513/tillsyn/A 7234-2023 tillsynsbegäran.docx", "A 7234-2023")</f>
        <v/>
      </c>
      <c r="AD60">
        <f>HYPERLINK("https://klasma.github.io/Logging_2513/tillsynsmail/A 7234-2023 tillsynsbegäran mail.docx", "A 7234-2023")</f>
        <v/>
      </c>
      <c r="AE60">
        <f>HYPERLINK("https://klasma.github.io/Logging_2513/fåglar/A 7234-2023 prioriterade fågelarter.docx", "A 7234-2023")</f>
        <v/>
      </c>
    </row>
    <row r="61" ht="15" customHeight="1">
      <c r="A61" t="inlineStr">
        <is>
          <t>A 25335-2026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46176</v>
      </c>
      <c r="E61" s="1" t="n">
        <v>46302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46.9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Lunglav</t>
        </is>
      </c>
      <c r="W61">
        <f>HYPERLINK("https://klasma.github.io/Logging_2513/artfynd/A 25335-2026 artfynd.xlsx", "A 25335-2026")</f>
        <v/>
      </c>
      <c r="X61">
        <f>HYPERLINK("https://klasma.github.io/Logging_2513/kartor/A 25335-2026 karta.png", "A 25335-2026")</f>
        <v/>
      </c>
      <c r="Y61">
        <f>HYPERLINK("https://klasma.github.io/Logging_2513/kartor_geotiff/A 25335-2026 georefererad karta.tif", "A 25335-2026")</f>
        <v/>
      </c>
      <c r="AA61">
        <f>HYPERLINK("https://klasma.github.io/Logging_2513/klagomål/A 25335-2026 FSC-klagomål.docx", "A 25335-2026")</f>
        <v/>
      </c>
      <c r="AB61">
        <f>HYPERLINK("https://klasma.github.io/Logging_2513/klagomålsmail/A 25335-2026 FSC-klagomål mail.docx", "A 25335-2026")</f>
        <v/>
      </c>
      <c r="AC61">
        <f>HYPERLINK("https://klasma.github.io/Logging_2513/tillsyn/A 25335-2026 tillsynsbegäran.docx", "A 25335-2026")</f>
        <v/>
      </c>
      <c r="AD61">
        <f>HYPERLINK("https://klasma.github.io/Logging_2513/tillsynsmail/A 25335-2026 tillsynsbegäran mail.docx", "A 25335-2026")</f>
        <v/>
      </c>
    </row>
    <row r="62" ht="15" customHeight="1">
      <c r="A62" t="inlineStr">
        <is>
          <t>A 20949-2026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46302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20949-2026 artfynd.xlsx", "A 20949-2026")</f>
        <v/>
      </c>
      <c r="X62">
        <f>HYPERLINK("https://klasma.github.io/Logging_2513/kartor/A 20949-2026 karta.png", "A 20949-2026")</f>
        <v/>
      </c>
      <c r="Y62">
        <f>HYPERLINK("https://klasma.github.io/Logging_2513/kartor_geotiff/A 20949-2026 georefererad karta.tif", "A 20949-2026")</f>
        <v/>
      </c>
      <c r="AA62">
        <f>HYPERLINK("https://klasma.github.io/Logging_2513/klagomål/A 20949-2026 FSC-klagomål.docx", "A 20949-2026")</f>
        <v/>
      </c>
      <c r="AB62">
        <f>HYPERLINK("https://klasma.github.io/Logging_2513/klagomålsmail/A 20949-2026 FSC-klagomål mail.docx", "A 20949-2026")</f>
        <v/>
      </c>
      <c r="AC62">
        <f>HYPERLINK("https://klasma.github.io/Logging_2513/tillsyn/A 20949-2026 tillsynsbegäran.docx", "A 20949-2026")</f>
        <v/>
      </c>
      <c r="AD62">
        <f>HYPERLINK("https://klasma.github.io/Logging_2513/tillsynsmail/A 20949-2026 tillsynsbegäran mail.docx", "A 20949-2026")</f>
        <v/>
      </c>
    </row>
    <row r="63" ht="15" customHeight="1">
      <c r="A63" t="inlineStr">
        <is>
          <t>A 8407-2025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45709</v>
      </c>
      <c r="E63" s="1" t="n">
        <v>46302</v>
      </c>
      <c r="F63" t="inlineStr">
        <is>
          <t>NORRBOTTENS LÄN</t>
        </is>
      </c>
      <c r="G63" t="inlineStr">
        <is>
          <t>ÖVERKALIX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Tallbit</t>
        </is>
      </c>
      <c r="W63">
        <f>HYPERLINK("https://klasma.github.io/Logging_2513/artfynd/A 8407-2025 artfynd.xlsx", "A 8407-2025")</f>
        <v/>
      </c>
      <c r="X63">
        <f>HYPERLINK("https://klasma.github.io/Logging_2513/kartor/A 8407-2025 karta.png", "A 8407-2025")</f>
        <v/>
      </c>
      <c r="Y63">
        <f>HYPERLINK("https://klasma.github.io/Logging_2513/kartor_geotiff/A 8407-2025 georefererad karta.tif", "A 8407-2025")</f>
        <v/>
      </c>
      <c r="AA63">
        <f>HYPERLINK("https://klasma.github.io/Logging_2513/klagomål/A 8407-2025 FSC-klagomål.docx", "A 8407-2025")</f>
        <v/>
      </c>
      <c r="AB63">
        <f>HYPERLINK("https://klasma.github.io/Logging_2513/klagomålsmail/A 8407-2025 FSC-klagomål mail.docx", "A 8407-2025")</f>
        <v/>
      </c>
      <c r="AC63">
        <f>HYPERLINK("https://klasma.github.io/Logging_2513/tillsyn/A 8407-2025 tillsynsbegäran.docx", "A 8407-2025")</f>
        <v/>
      </c>
      <c r="AD63">
        <f>HYPERLINK("https://klasma.github.io/Logging_2513/tillsynsmail/A 8407-2025 tillsynsbegäran mail.docx", "A 8407-2025")</f>
        <v/>
      </c>
      <c r="AE63">
        <f>HYPERLINK("https://klasma.github.io/Logging_2513/fåglar/A 8407-2025 prioriterade fågelarter.docx", "A 8407-2025")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46302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A 21777-2024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45442</v>
      </c>
      <c r="E65" s="1" t="n">
        <v>46302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30.5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Lunglav</t>
        </is>
      </c>
      <c r="W65">
        <f>HYPERLINK("https://klasma.github.io/Logging_2513/artfynd/A 21777-2024 artfynd.xlsx", "A 21777-2024")</f>
        <v/>
      </c>
      <c r="X65">
        <f>HYPERLINK("https://klasma.github.io/Logging_2513/kartor/A 21777-2024 karta.png", "A 21777-2024")</f>
        <v/>
      </c>
      <c r="Y65">
        <f>HYPERLINK("https://klasma.github.io/Logging_2513/kartor_geotiff/A 21777-2024 georefererad karta.tif", "A 21777-2024")</f>
        <v/>
      </c>
      <c r="AA65">
        <f>HYPERLINK("https://klasma.github.io/Logging_2513/klagomål/A 21777-2024 FSC-klagomål.docx", "A 21777-2024")</f>
        <v/>
      </c>
      <c r="AB65">
        <f>HYPERLINK("https://klasma.github.io/Logging_2513/klagomålsmail/A 21777-2024 FSC-klagomål mail.docx", "A 21777-2024")</f>
        <v/>
      </c>
      <c r="AC65">
        <f>HYPERLINK("https://klasma.github.io/Logging_2513/tillsyn/A 21777-2024 tillsynsbegäran.docx", "A 21777-2024")</f>
        <v/>
      </c>
      <c r="AD65">
        <f>HYPERLINK("https://klasma.github.io/Logging_2513/tillsynsmail/A 21777-2024 tillsynsbegäran mail.docx", "A 21777-2024")</f>
        <v/>
      </c>
    </row>
    <row r="66" ht="15" customHeight="1">
      <c r="A66" t="inlineStr">
        <is>
          <t>A 41569-2026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46301</v>
      </c>
      <c r="E66" s="1" t="n">
        <v>46302</v>
      </c>
      <c r="F66" t="inlineStr">
        <is>
          <t>NORRBOTTENS LÄN</t>
        </is>
      </c>
      <c r="G66" t="inlineStr">
        <is>
          <t>ÖVERKALIX</t>
        </is>
      </c>
      <c r="H66" t="inlineStr">
        <is>
          <t>SCA</t>
        </is>
      </c>
      <c r="I66" t="n">
        <v>2.8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Tallticka</t>
        </is>
      </c>
      <c r="W66">
        <f>HYPERLINK("https://klasma.github.io/Logging_2513/artfynd/A 41569-2026 artfynd.xlsx", "A 41569-2026")</f>
        <v/>
      </c>
      <c r="X66">
        <f>HYPERLINK("https://klasma.github.io/Logging_2513/kartor/A 41569-2026 karta.png", "A 41569-2026")</f>
        <v/>
      </c>
      <c r="Y66">
        <f>HYPERLINK("https://klasma.github.io/Logging_2513/kartor_geotiff/A 41569-2026 georefererad karta.tif", "A 41569-2026")</f>
        <v/>
      </c>
      <c r="AA66">
        <f>HYPERLINK("https://klasma.github.io/Logging_2513/klagomål/A 41569-2026 FSC-klagomål.docx", "A 41569-2026")</f>
        <v/>
      </c>
      <c r="AB66">
        <f>HYPERLINK("https://klasma.github.io/Logging_2513/klagomålsmail/A 41569-2026 FSC-klagomål mail.docx", "A 41569-2026")</f>
        <v/>
      </c>
      <c r="AC66">
        <f>HYPERLINK("https://klasma.github.io/Logging_2513/tillsyn/A 41569-2026 tillsynsbegäran.docx", "A 41569-2026")</f>
        <v/>
      </c>
      <c r="AD66">
        <f>HYPERLINK("https://klasma.github.io/Logging_2513/tillsynsmail/A 41569-2026 tillsynsbegäran mail.docx", "A 41569-2026")</f>
        <v/>
      </c>
    </row>
    <row r="67" ht="15" customHeight="1">
      <c r="A67" t="inlineStr">
        <is>
          <t>S 4190-2024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45579</v>
      </c>
      <c r="E67" s="1" t="n">
        <v>46302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14</v>
      </c>
      <c r="U67" t="n">
        <v>0</v>
      </c>
      <c r="V67" s="2" t="inlineStr">
        <is>
          <t>Lunglav</t>
        </is>
      </c>
      <c r="W67">
        <f>HYPERLINK("https://klasma.github.io/Logging_2513/artfynd/S 4190-2024 artfynd.xlsx", "S 4190-2024")</f>
        <v/>
      </c>
      <c r="X67">
        <f>HYPERLINK("https://klasma.github.io/Logging_2513/kartor/S 4190-2024 karta.png", "S 4190-2024")</f>
        <v/>
      </c>
      <c r="Y67">
        <f>HYPERLINK("https://klasma.github.io/Logging_2513/kartor_geotiff/S 4190-2024 georefererad karta.tif", "S 4190-2024")</f>
        <v/>
      </c>
      <c r="AA67">
        <f>HYPERLINK("https://klasma.github.io/Logging_2513/klagomål/S 4190-2024 FSC-klagomål.docx", "S 4190-2024")</f>
        <v/>
      </c>
      <c r="AB67">
        <f>HYPERLINK("https://klasma.github.io/Logging_2513/klagomålsmail/S 4190-2024 FSC-klagomål mail.docx", "S 4190-2024")</f>
        <v/>
      </c>
      <c r="AC67">
        <f>HYPERLINK("https://klasma.github.io/Logging_2513/tillsyn/S 4190-2024 tillsynsbegäran.docx", "S 4190-2024")</f>
        <v/>
      </c>
      <c r="AD67">
        <f>HYPERLINK("https://klasma.github.io/Logging_2513/tillsynsmail/S 4190-2024 tillsynsbegäran mail.docx", "S 4190-2024")</f>
        <v/>
      </c>
    </row>
    <row r="68" ht="15" customHeight="1">
      <c r="A68" t="inlineStr">
        <is>
          <t>S 1156-2024</t>
        </is>
      </c>
      <c r="B68" t="inlineStr">
        <is>
          <t>samrådsanmälan</t>
        </is>
      </c>
      <c r="C68" t="inlineStr">
        <is>
          <t>Skogsgödsling</t>
        </is>
      </c>
      <c r="D68" s="1" t="n">
        <v>45394</v>
      </c>
      <c r="E68" s="1" t="n">
        <v>46302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491.9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Sävsparv</t>
        </is>
      </c>
      <c r="W68">
        <f>HYPERLINK("https://klasma.github.io/Logging_2513/artfynd/S 1156-2024 artfynd.xlsx", "S 1156-2024")</f>
        <v/>
      </c>
      <c r="X68">
        <f>HYPERLINK("https://klasma.github.io/Logging_2513/kartor/S 1156-2024 karta.png", "S 1156-2024")</f>
        <v/>
      </c>
      <c r="Y68">
        <f>HYPERLINK("https://klasma.github.io/Logging_2513/kartor_geotiff/S 1156-2024 georefererad karta.tif", "S 1156-2024")</f>
        <v/>
      </c>
      <c r="AA68">
        <f>HYPERLINK("https://klasma.github.io/Logging_2513/klagomål/S 1156-2024 FSC-klagomål.docx", "S 1156-2024")</f>
        <v/>
      </c>
      <c r="AB68">
        <f>HYPERLINK("https://klasma.github.io/Logging_2513/klagomålsmail/S 1156-2024 FSC-klagomål mail.docx", "S 1156-2024")</f>
        <v/>
      </c>
      <c r="AC68">
        <f>HYPERLINK("https://klasma.github.io/Logging_2513/tillsyn/S 1156-2024 tillsynsbegäran.docx", "S 1156-2024")</f>
        <v/>
      </c>
      <c r="AD68">
        <f>HYPERLINK("https://klasma.github.io/Logging_2513/tillsynsmail/S 1156-2024 tillsynsbegäran mail.docx", "S 1156-2024")</f>
        <v/>
      </c>
      <c r="AE68">
        <f>HYPERLINK("https://klasma.github.io/Logging_2513/fåglar/S 1156-2024 prioriterade fågelarter.docx", "S 1156-2024")</f>
        <v/>
      </c>
    </row>
    <row r="69" ht="15" customHeight="1">
      <c r="A69" t="inlineStr">
        <is>
          <t>A 3174-2022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46302</v>
      </c>
      <c r="F69" t="inlineStr">
        <is>
          <t>NORRBOTTENS LÄN</t>
        </is>
      </c>
      <c r="G69" t="inlineStr">
        <is>
          <t>ÖVERKALIX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73348-2021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46302</v>
      </c>
      <c r="F70" t="inlineStr">
        <is>
          <t>NORRBOTTENS LÄN</t>
        </is>
      </c>
      <c r="G70" t="inlineStr">
        <is>
          <t>ÖVERKALIX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46302</v>
      </c>
      <c r="F71" t="inlineStr">
        <is>
          <t>NORRBOTTENS LÄN</t>
        </is>
      </c>
      <c r="G71" t="inlineStr">
        <is>
          <t>ÖVERKALIX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73757-2021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46302</v>
      </c>
      <c r="F72" t="inlineStr">
        <is>
          <t>NORRBOTTENS LÄN</t>
        </is>
      </c>
      <c r="G72" t="inlineStr">
        <is>
          <t>ÖVERKALIX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21847-2022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46302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22976-2022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44717</v>
      </c>
      <c r="E74" s="1" t="n">
        <v>46302</v>
      </c>
      <c r="F74" t="inlineStr">
        <is>
          <t>NORRBOTTENS LÄN</t>
        </is>
      </c>
      <c r="G74" t="inlineStr">
        <is>
          <t>ÖVERKALIX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46302</v>
      </c>
      <c r="F75" t="inlineStr">
        <is>
          <t>NORRBOTTENS LÄN</t>
        </is>
      </c>
      <c r="G75" t="inlineStr">
        <is>
          <t>ÖVERKALIX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HYPERLINK("https://klasma.github.io/Logging_2513/knärot/A 29706-2022 karta knärot.png", "A 29706-2022")</f>
        <v/>
      </c>
      <c r="AA75">
        <f>HYPERLINK("https://klasma.github.io/Logging_2513/klagomål/A 29706-2022 FSC-klagomål.docx", "A 29706-2022")</f>
        <v/>
      </c>
      <c r="AB75">
        <f>HYPERLINK("https://klasma.github.io/Logging_2513/klagomålsmail/A 29706-2022 FSC-klagomål mail.docx", "A 29706-2022")</f>
        <v/>
      </c>
      <c r="AC75">
        <f>HYPERLINK("https://klasma.github.io/Logging_2513/tillsyn/A 29706-2022 tillsynsbegäran.docx", "A 29706-2022")</f>
        <v/>
      </c>
      <c r="AD75">
        <f>HYPERLINK("https://klasma.github.io/Logging_2513/tillsynsmail/A 29706-2022 tillsynsbegäran mail.docx", "A 29706-2022")</f>
        <v/>
      </c>
    </row>
    <row r="76" ht="15" customHeight="1">
      <c r="A76" t="inlineStr">
        <is>
          <t>A 6907-2022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46302</v>
      </c>
      <c r="F76" t="inlineStr">
        <is>
          <t>NORRBOTTENS LÄN</t>
        </is>
      </c>
      <c r="G76" t="inlineStr">
        <is>
          <t>ÖVERKALIX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46302</v>
      </c>
      <c r="F77" t="inlineStr">
        <is>
          <t>NORRBOTTENS LÄN</t>
        </is>
      </c>
      <c r="G77" t="inlineStr">
        <is>
          <t>ÖVERKALIX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46302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44623</v>
      </c>
      <c r="E79" s="1" t="n">
        <v>46302</v>
      </c>
      <c r="F79" t="inlineStr">
        <is>
          <t>NORRBOTTENS LÄN</t>
        </is>
      </c>
      <c r="G79" t="inlineStr">
        <is>
          <t>ÖVERKALIX</t>
        </is>
      </c>
      <c r="H79" t="inlineStr">
        <is>
          <t>SCA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46302</v>
      </c>
      <c r="F80" t="inlineStr">
        <is>
          <t>NORRBOTTENS LÄN</t>
        </is>
      </c>
      <c r="G80" t="inlineStr">
        <is>
          <t>ÖVERKALIX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64304-2021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46302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46302</v>
      </c>
      <c r="F82" t="inlineStr">
        <is>
          <t>NORRBOTTENS LÄN</t>
        </is>
      </c>
      <c r="G82" t="inlineStr">
        <is>
          <t>ÖVERKALIX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44607</v>
      </c>
      <c r="E83" s="1" t="n">
        <v>46302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46302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6916-2022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44602</v>
      </c>
      <c r="E85" s="1" t="n">
        <v>46302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46302</v>
      </c>
      <c r="F86" t="inlineStr">
        <is>
          <t>NORRBOTTENS LÄN</t>
        </is>
      </c>
      <c r="G86" t="inlineStr">
        <is>
          <t>ÖVERKALIX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62259-2021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46302</v>
      </c>
      <c r="F87" t="inlineStr">
        <is>
          <t>NORRBOTTENS LÄN</t>
        </is>
      </c>
      <c r="G87" t="inlineStr">
        <is>
          <t>ÖVERKALIX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45231</v>
      </c>
      <c r="E88" s="1" t="n">
        <v>46302</v>
      </c>
      <c r="F88" t="inlineStr">
        <is>
          <t>NORRBOTTENS LÄN</t>
        </is>
      </c>
      <c r="G88" t="inlineStr">
        <is>
          <t>ÖVERKALIX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46302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45622</v>
      </c>
      <c r="E90" s="1" t="n">
        <v>46302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44603</v>
      </c>
      <c r="E91" s="1" t="n">
        <v>46302</v>
      </c>
      <c r="F91" t="inlineStr">
        <is>
          <t>NORRBOTTENS LÄN</t>
        </is>
      </c>
      <c r="G91" t="inlineStr">
        <is>
          <t>ÖVERKALIX</t>
        </is>
      </c>
      <c r="H91" t="inlineStr">
        <is>
          <t>Övriga statliga verk och myndigheter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46302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46302</v>
      </c>
      <c r="F93" t="inlineStr">
        <is>
          <t>NORRBOTTENS LÄN</t>
        </is>
      </c>
      <c r="G93" t="inlineStr">
        <is>
          <t>ÖVERKALIX</t>
        </is>
      </c>
      <c r="I93" t="n">
        <v>9.4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46302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46302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46302</v>
      </c>
      <c r="F96" t="inlineStr">
        <is>
          <t>NORRBOTTENS LÄN</t>
        </is>
      </c>
      <c r="G96" t="inlineStr">
        <is>
          <t>ÖVERKALIX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46302</v>
      </c>
      <c r="F97" t="inlineStr">
        <is>
          <t>NORRBOTTENS LÄN</t>
        </is>
      </c>
      <c r="G97" t="inlineStr">
        <is>
          <t>ÖVERKALIX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45518</v>
      </c>
      <c r="E98" s="1" t="n">
        <v>46302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46302</v>
      </c>
      <c r="F99" t="inlineStr">
        <is>
          <t>NORRBOTTENS LÄN</t>
        </is>
      </c>
      <c r="G99" t="inlineStr">
        <is>
          <t>ÖVERKALIX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46302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45622</v>
      </c>
      <c r="E101" s="1" t="n">
        <v>46302</v>
      </c>
      <c r="F101" t="inlineStr">
        <is>
          <t>NORRBOTTENS LÄN</t>
        </is>
      </c>
      <c r="G101" t="inlineStr">
        <is>
          <t>ÖVERKALIX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46302</v>
      </c>
      <c r="F102" t="inlineStr">
        <is>
          <t>NORRBOTTENS LÄN</t>
        </is>
      </c>
      <c r="G102" t="inlineStr">
        <is>
          <t>ÖVERKALIX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45463</v>
      </c>
      <c r="E103" s="1" t="n">
        <v>46302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44834</v>
      </c>
      <c r="E104" s="1" t="n">
        <v>46302</v>
      </c>
      <c r="F104" t="inlineStr">
        <is>
          <t>NORRBOTTENS LÄN</t>
        </is>
      </c>
      <c r="G104" t="inlineStr">
        <is>
          <t>ÖVERKALIX</t>
        </is>
      </c>
      <c r="I104" t="n">
        <v>13.1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45371</v>
      </c>
      <c r="E105" s="1" t="n">
        <v>46302</v>
      </c>
      <c r="F105" t="inlineStr">
        <is>
          <t>NORRBOTTENS LÄN</t>
        </is>
      </c>
      <c r="G105" t="inlineStr">
        <is>
          <t>ÖVERKALIX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46302</v>
      </c>
      <c r="F106" t="inlineStr">
        <is>
          <t>NORRBOTTENS LÄN</t>
        </is>
      </c>
      <c r="G106" t="inlineStr">
        <is>
          <t>ÖVERKALIX</t>
        </is>
      </c>
      <c r="I106" t="n">
        <v>21.7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46302</v>
      </c>
      <c r="F107" t="inlineStr">
        <is>
          <t>NORRBOTTENS LÄN</t>
        </is>
      </c>
      <c r="G107" t="inlineStr">
        <is>
          <t>ÖVERKALIX</t>
        </is>
      </c>
      <c r="I107" t="n">
        <v>10.1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46029</v>
      </c>
      <c r="E108" s="1" t="n">
        <v>46302</v>
      </c>
      <c r="F108" t="inlineStr">
        <is>
          <t>NORRBOTTENS LÄN</t>
        </is>
      </c>
      <c r="G108" t="inlineStr">
        <is>
          <t>ÖVERKALIX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46029</v>
      </c>
      <c r="E109" s="1" t="n">
        <v>46302</v>
      </c>
      <c r="F109" t="inlineStr">
        <is>
          <t>NORRBOTTENS LÄN</t>
        </is>
      </c>
      <c r="G109" t="inlineStr">
        <is>
          <t>ÖVERKALIX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46302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46302</v>
      </c>
      <c r="F111" t="inlineStr">
        <is>
          <t>NORRBOTTENS LÄN</t>
        </is>
      </c>
      <c r="G111" t="inlineStr">
        <is>
          <t>ÖVERKALIX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46302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45460</v>
      </c>
      <c r="E113" s="1" t="n">
        <v>46302</v>
      </c>
      <c r="F113" t="inlineStr">
        <is>
          <t>NORRBOTTENS LÄN</t>
        </is>
      </c>
      <c r="G113" t="inlineStr">
        <is>
          <t>ÖVERKALIX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45702</v>
      </c>
      <c r="E114" s="1" t="n">
        <v>46302</v>
      </c>
      <c r="F114" t="inlineStr">
        <is>
          <t>NORRBOTTENS LÄN</t>
        </is>
      </c>
      <c r="G114" t="inlineStr">
        <is>
          <t>ÖVERKALIX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46302</v>
      </c>
      <c r="F115" t="inlineStr">
        <is>
          <t>NORRBOTTENS LÄN</t>
        </is>
      </c>
      <c r="G115" t="inlineStr">
        <is>
          <t>ÖVERKALIX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46302</v>
      </c>
      <c r="F116" t="inlineStr">
        <is>
          <t>NORRBOTTENS LÄN</t>
        </is>
      </c>
      <c r="G116" t="inlineStr">
        <is>
          <t>ÖVERKALIX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46302</v>
      </c>
      <c r="F117" t="inlineStr">
        <is>
          <t>NORRBOTTENS LÄN</t>
        </is>
      </c>
      <c r="G117" t="inlineStr">
        <is>
          <t>ÖVERKALIX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46302</v>
      </c>
      <c r="F118" t="inlineStr">
        <is>
          <t>NORRBOTTENS LÄN</t>
        </is>
      </c>
      <c r="G118" t="inlineStr">
        <is>
          <t>ÖVERKALIX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46302</v>
      </c>
      <c r="F119" t="inlineStr">
        <is>
          <t>NORRBOTTENS LÄN</t>
        </is>
      </c>
      <c r="G119" t="inlineStr">
        <is>
          <t>ÖVERKALIX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46302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26449-2025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46302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45712</v>
      </c>
      <c r="E122" s="1" t="n">
        <v>46302</v>
      </c>
      <c r="F122" t="inlineStr">
        <is>
          <t>NORRBOTTENS LÄN</t>
        </is>
      </c>
      <c r="G122" t="inlineStr">
        <is>
          <t>ÖVERKALIX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46302</v>
      </c>
      <c r="F123" t="inlineStr">
        <is>
          <t>NORRBOTTENS LÄN</t>
        </is>
      </c>
      <c r="G123" t="inlineStr">
        <is>
          <t>ÖVERKALIX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44886</v>
      </c>
      <c r="E124" s="1" t="n">
        <v>46302</v>
      </c>
      <c r="F124" t="inlineStr">
        <is>
          <t>NORRBOTTENS LÄN</t>
        </is>
      </c>
      <c r="G124" t="inlineStr">
        <is>
          <t>ÖVERKALIX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45813</v>
      </c>
      <c r="E125" s="1" t="n">
        <v>46302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46302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46302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46302</v>
      </c>
      <c r="F128" t="inlineStr">
        <is>
          <t>NORRBOTTENS LÄN</t>
        </is>
      </c>
      <c r="G128" t="inlineStr">
        <is>
          <t>ÖVERKALIX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46302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46302</v>
      </c>
      <c r="F130" t="inlineStr">
        <is>
          <t>NORRBOTTENS LÄN</t>
        </is>
      </c>
      <c r="G130" t="inlineStr">
        <is>
          <t>ÖVERKALIX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46302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46302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46302</v>
      </c>
      <c r="F133" t="inlineStr">
        <is>
          <t>NORRBOTTENS LÄN</t>
        </is>
      </c>
      <c r="G133" t="inlineStr">
        <is>
          <t>ÖVERKALIX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45429</v>
      </c>
      <c r="E134" s="1" t="n">
        <v>46302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46302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37.4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45588</v>
      </c>
      <c r="E136" s="1" t="n">
        <v>46302</v>
      </c>
      <c r="F136" t="inlineStr">
        <is>
          <t>NORRBOTTENS LÄN</t>
        </is>
      </c>
      <c r="G136" t="inlineStr">
        <is>
          <t>ÖVERKALIX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7488-2026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46302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46302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46302</v>
      </c>
      <c r="F139" t="inlineStr">
        <is>
          <t>NORRBOTTENS LÄN</t>
        </is>
      </c>
      <c r="G139" t="inlineStr">
        <is>
          <t>ÖVERKALIX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46302</v>
      </c>
      <c r="F140" t="inlineStr">
        <is>
          <t>NORRBOTTENS LÄN</t>
        </is>
      </c>
      <c r="G140" t="inlineStr">
        <is>
          <t>ÖVERKALIX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46302</v>
      </c>
      <c r="F141" t="inlineStr">
        <is>
          <t>NORRBOTTENS LÄN</t>
        </is>
      </c>
      <c r="G141" t="inlineStr">
        <is>
          <t>ÖVERKALIX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46302</v>
      </c>
      <c r="F142" t="inlineStr">
        <is>
          <t>NORRBOTTENS LÄN</t>
        </is>
      </c>
      <c r="G142" t="inlineStr">
        <is>
          <t>ÖVERKALIX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30993-2025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46302</v>
      </c>
      <c r="F143" t="inlineStr">
        <is>
          <t>NORRBOTTENS LÄN</t>
        </is>
      </c>
      <c r="G143" t="inlineStr">
        <is>
          <t>ÖVERKALIX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45819</v>
      </c>
      <c r="E144" s="1" t="n">
        <v>46302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46302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10.4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46302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72364-2021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46302</v>
      </c>
      <c r="F147" t="inlineStr">
        <is>
          <t>NORRBOTTENS LÄN</t>
        </is>
      </c>
      <c r="G147" t="inlineStr">
        <is>
          <t>ÖVERKALIX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45821</v>
      </c>
      <c r="E148" s="1" t="n">
        <v>46302</v>
      </c>
      <c r="F148" t="inlineStr">
        <is>
          <t>NORRBOTTENS LÄN</t>
        </is>
      </c>
      <c r="G148" t="inlineStr">
        <is>
          <t>ÖVERKALIX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46302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Sveaskog</t>
        </is>
      </c>
      <c r="I149" t="n">
        <v>17.2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46302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46302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46302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45820</v>
      </c>
      <c r="E153" s="1" t="n">
        <v>46302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9.699999999999999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44754-2025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45917</v>
      </c>
      <c r="E154" s="1" t="n">
        <v>46302</v>
      </c>
      <c r="F154" t="inlineStr">
        <is>
          <t>NORRBOTTENS LÄN</t>
        </is>
      </c>
      <c r="G154" t="inlineStr">
        <is>
          <t>ÖVERKALIX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46302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46302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29463-2025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46302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46302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24.4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46302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45097</v>
      </c>
      <c r="E160" s="1" t="n">
        <v>46302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46302</v>
      </c>
      <c r="F161" t="inlineStr">
        <is>
          <t>NORRBOTTENS LÄN</t>
        </is>
      </c>
      <c r="G161" t="inlineStr">
        <is>
          <t>ÖVERKALIX</t>
        </is>
      </c>
      <c r="I161" t="n">
        <v>10.8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45535-2025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45922</v>
      </c>
      <c r="E162" s="1" t="n">
        <v>46302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46302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11181-2026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46080</v>
      </c>
      <c r="E164" s="1" t="n">
        <v>46302</v>
      </c>
      <c r="F164" t="inlineStr">
        <is>
          <t>NORRBOTTENS LÄN</t>
        </is>
      </c>
      <c r="G164" t="inlineStr">
        <is>
          <t>ÖVERKALIX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46080</v>
      </c>
      <c r="E165" s="1" t="n">
        <v>46302</v>
      </c>
      <c r="F165" t="inlineStr">
        <is>
          <t>NORRBOTTENS LÄN</t>
        </is>
      </c>
      <c r="G165" t="inlineStr">
        <is>
          <t>ÖVERKALIX</t>
        </is>
      </c>
      <c r="I165" t="n">
        <v>9.800000000000001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46302</v>
      </c>
      <c r="F166" t="inlineStr">
        <is>
          <t>NORRBOTTENS LÄN</t>
        </is>
      </c>
      <c r="G166" t="inlineStr">
        <is>
          <t>ÖVERKALIX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28343-2025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45818</v>
      </c>
      <c r="E167" s="1" t="n">
        <v>46302</v>
      </c>
      <c r="F167" t="inlineStr">
        <is>
          <t>NORRBOTTENS LÄN</t>
        </is>
      </c>
      <c r="G167" t="inlineStr">
        <is>
          <t>ÖVERKALIX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46302</v>
      </c>
      <c r="F168" t="inlineStr">
        <is>
          <t>NORRBOTTENS LÄN</t>
        </is>
      </c>
      <c r="G168" t="inlineStr">
        <is>
          <t>ÖVERKALIX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45005</v>
      </c>
      <c r="E169" s="1" t="n">
        <v>46302</v>
      </c>
      <c r="F169" t="inlineStr">
        <is>
          <t>NORRBOTTENS LÄN</t>
        </is>
      </c>
      <c r="G169" t="inlineStr">
        <is>
          <t>ÖVERKALIX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46302</v>
      </c>
      <c r="F170" t="inlineStr">
        <is>
          <t>NORRBOTTENS LÄN</t>
        </is>
      </c>
      <c r="G170" t="inlineStr">
        <is>
          <t>ÖVERKALIX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46302</v>
      </c>
      <c r="F171" t="inlineStr">
        <is>
          <t>NORRBOTTENS LÄN</t>
        </is>
      </c>
      <c r="G171" t="inlineStr">
        <is>
          <t>ÖVERKALIX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46302</v>
      </c>
      <c r="F172" t="inlineStr">
        <is>
          <t>NORRBOTTENS LÄN</t>
        </is>
      </c>
      <c r="G172" t="inlineStr">
        <is>
          <t>ÖVERKALIX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46302</v>
      </c>
      <c r="F173" t="inlineStr">
        <is>
          <t>NORRBOTTENS LÄN</t>
        </is>
      </c>
      <c r="G173" t="inlineStr">
        <is>
          <t>ÖVERKALIX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45372</v>
      </c>
      <c r="E174" s="1" t="n">
        <v>46302</v>
      </c>
      <c r="F174" t="inlineStr">
        <is>
          <t>NORRBOTTENS LÄN</t>
        </is>
      </c>
      <c r="G174" t="inlineStr">
        <is>
          <t>ÖVERKALIX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46302</v>
      </c>
      <c r="F175" t="inlineStr">
        <is>
          <t>NORRBOTTENS LÄN</t>
        </is>
      </c>
      <c r="G175" t="inlineStr">
        <is>
          <t>ÖVERKALIX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46302</v>
      </c>
      <c r="F176" t="inlineStr">
        <is>
          <t>NORRBOTTENS LÄN</t>
        </is>
      </c>
      <c r="G176" t="inlineStr">
        <is>
          <t>ÖVERKALIX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46087</v>
      </c>
      <c r="E177" s="1" t="n">
        <v>46302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46087</v>
      </c>
      <c r="E178" s="1" t="n">
        <v>46302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19984-2025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46302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46302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46302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45463</v>
      </c>
      <c r="E182" s="1" t="n">
        <v>46302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46302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46302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46302</v>
      </c>
      <c r="F185" t="inlineStr">
        <is>
          <t>NORRBOTTENS LÄN</t>
        </is>
      </c>
      <c r="G185" t="inlineStr">
        <is>
          <t>ÖVERKALIX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31744-2025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45834</v>
      </c>
      <c r="E186" s="1" t="n">
        <v>46302</v>
      </c>
      <c r="F186" t="inlineStr">
        <is>
          <t>NORRBOTTENS LÄN</t>
        </is>
      </c>
      <c r="G186" t="inlineStr">
        <is>
          <t>ÖVERKALIX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46302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46302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45837</v>
      </c>
      <c r="E189" s="1" t="n">
        <v>46302</v>
      </c>
      <c r="F189" t="inlineStr">
        <is>
          <t>NORRBOTTENS LÄN</t>
        </is>
      </c>
      <c r="G189" t="inlineStr">
        <is>
          <t>ÖVERKALIX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46302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9.199999999999999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46302</v>
      </c>
      <c r="F191" t="inlineStr">
        <is>
          <t>NORRBOTTENS LÄN</t>
        </is>
      </c>
      <c r="G191" t="inlineStr">
        <is>
          <t>ÖVERKALIX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45837</v>
      </c>
      <c r="E192" s="1" t="n">
        <v>46302</v>
      </c>
      <c r="F192" t="inlineStr">
        <is>
          <t>NORRBOTTENS LÄN</t>
        </is>
      </c>
      <c r="G192" t="inlineStr">
        <is>
          <t>ÖVERKALIX</t>
        </is>
      </c>
      <c r="I192" t="n">
        <v>9.800000000000001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46302</v>
      </c>
      <c r="F193" t="inlineStr">
        <is>
          <t>NORRBOTTENS LÄN</t>
        </is>
      </c>
      <c r="G193" t="inlineStr">
        <is>
          <t>ÖVERKALIX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46302</v>
      </c>
      <c r="F194" t="inlineStr">
        <is>
          <t>NORRBOTTENS LÄN</t>
        </is>
      </c>
      <c r="G194" t="inlineStr">
        <is>
          <t>ÖVERKALIX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45940</v>
      </c>
      <c r="E195" s="1" t="n">
        <v>46302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15011-2026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46302</v>
      </c>
      <c r="F196" t="inlineStr">
        <is>
          <t>NORRBOTTENS LÄN</t>
        </is>
      </c>
      <c r="G196" t="inlineStr">
        <is>
          <t>ÖVERKALIX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45840</v>
      </c>
      <c r="E197" s="1" t="n">
        <v>46302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46302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34128-2025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45845</v>
      </c>
      <c r="E199" s="1" t="n">
        <v>46302</v>
      </c>
      <c r="F199" t="inlineStr">
        <is>
          <t>NORRBOTTENS LÄN</t>
        </is>
      </c>
      <c r="G199" t="inlineStr">
        <is>
          <t>ÖVERKALIX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15358-2026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46302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22.8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46302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46302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46302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45951</v>
      </c>
      <c r="E204" s="1" t="n">
        <v>46302</v>
      </c>
      <c r="F204" t="inlineStr">
        <is>
          <t>NORRBOTTENS LÄN</t>
        </is>
      </c>
      <c r="G204" t="inlineStr">
        <is>
          <t>ÖVERKALIX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51634-2025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45951</v>
      </c>
      <c r="E205" s="1" t="n">
        <v>46302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45949</v>
      </c>
      <c r="E206" s="1" t="n">
        <v>46302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16487-2026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46112</v>
      </c>
      <c r="E207" s="1" t="n">
        <v>46302</v>
      </c>
      <c r="F207" t="inlineStr">
        <is>
          <t>NORRBOTTENS LÄN</t>
        </is>
      </c>
      <c r="G207" t="inlineStr">
        <is>
          <t>ÖVERKALIX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52973-2025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45957</v>
      </c>
      <c r="E208" s="1" t="n">
        <v>46302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9.9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45869</v>
      </c>
      <c r="E209" s="1" t="n">
        <v>46302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46302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52591-2025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45954</v>
      </c>
      <c r="E211" s="1" t="n">
        <v>46302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36486-2025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45869</v>
      </c>
      <c r="E212" s="1" t="n">
        <v>46302</v>
      </c>
      <c r="F212" t="inlineStr">
        <is>
          <t>NORRBOTTENS LÄN</t>
        </is>
      </c>
      <c r="G212" t="inlineStr">
        <is>
          <t>ÖVERKALIX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53091-2025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46302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17516-2026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46120</v>
      </c>
      <c r="E214" s="1" t="n">
        <v>46302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46120</v>
      </c>
      <c r="E215" s="1" t="n">
        <v>46302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46302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45870</v>
      </c>
      <c r="E217" s="1" t="n">
        <v>46302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45870</v>
      </c>
      <c r="E218" s="1" t="n">
        <v>46302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36715-2025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45873</v>
      </c>
      <c r="E219" s="1" t="n">
        <v>46302</v>
      </c>
      <c r="F219" t="inlineStr">
        <is>
          <t>NORRBOTTENS LÄN</t>
        </is>
      </c>
      <c r="G219" t="inlineStr">
        <is>
          <t>ÖVERKALIX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45428</v>
      </c>
      <c r="E220" s="1" t="n">
        <v>46302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55642-2023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45238</v>
      </c>
      <c r="E221" s="1" t="n">
        <v>46302</v>
      </c>
      <c r="F221" t="inlineStr">
        <is>
          <t>NORRBOTTENS LÄN</t>
        </is>
      </c>
      <c r="G221" t="inlineStr">
        <is>
          <t>ÖVERKALIX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46302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46302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46302</v>
      </c>
      <c r="F224" t="inlineStr">
        <is>
          <t>NORRBOTTENS LÄN</t>
        </is>
      </c>
      <c r="G224" t="inlineStr">
        <is>
          <t>ÖVERKALIX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46302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13.4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46302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46302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46302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46302</v>
      </c>
      <c r="F229" t="inlineStr">
        <is>
          <t>NORRBOTTENS LÄN</t>
        </is>
      </c>
      <c r="G229" t="inlineStr">
        <is>
          <t>ÖVERKALIX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46302</v>
      </c>
      <c r="F230" t="inlineStr">
        <is>
          <t>NORRBOTTENS LÄN</t>
        </is>
      </c>
      <c r="G230" t="inlineStr">
        <is>
          <t>ÖVERKALIX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19107-2026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46302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45967</v>
      </c>
      <c r="E232" s="1" t="n">
        <v>46302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19410-2026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46302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46302</v>
      </c>
      <c r="F234" t="inlineStr">
        <is>
          <t>NORRBOTTENS LÄN</t>
        </is>
      </c>
      <c r="G234" t="inlineStr">
        <is>
          <t>ÖVERKALIX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44964</v>
      </c>
      <c r="E235" s="1" t="n">
        <v>46302</v>
      </c>
      <c r="F235" t="inlineStr">
        <is>
          <t>NORRBOTTENS LÄN</t>
        </is>
      </c>
      <c r="G235" t="inlineStr">
        <is>
          <t>ÖVERKALIX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58764-2023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45251</v>
      </c>
      <c r="E236" s="1" t="n">
        <v>46302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46134</v>
      </c>
      <c r="E237" s="1" t="n">
        <v>46302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44659</v>
      </c>
      <c r="E238" s="1" t="n">
        <v>46302</v>
      </c>
      <c r="F238" t="inlineStr">
        <is>
          <t>NORRBOTTENS LÄN</t>
        </is>
      </c>
      <c r="G238" t="inlineStr">
        <is>
          <t>ÖVERKALIX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46302</v>
      </c>
      <c r="F239" t="inlineStr">
        <is>
          <t>NORRBOTTENS LÄN</t>
        </is>
      </c>
      <c r="G239" t="inlineStr">
        <is>
          <t>ÖVERKALIX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46302</v>
      </c>
      <c r="F240" t="inlineStr">
        <is>
          <t>NORRBOTTENS LÄN</t>
        </is>
      </c>
      <c r="G240" t="inlineStr">
        <is>
          <t>ÖVERKALIX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46302</v>
      </c>
      <c r="F241" t="inlineStr">
        <is>
          <t>NORRBOTTENS LÄN</t>
        </is>
      </c>
      <c r="G241" t="inlineStr">
        <is>
          <t>ÖVERKALIX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57744-2025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45981</v>
      </c>
      <c r="E242" s="1" t="n">
        <v>46302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46302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46302</v>
      </c>
      <c r="F244" t="inlineStr">
        <is>
          <t>NORRBOTTENS LÄN</t>
        </is>
      </c>
      <c r="G244" t="inlineStr">
        <is>
          <t>ÖVERKALIX</t>
        </is>
      </c>
      <c r="I244" t="n">
        <v>16.1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46302</v>
      </c>
      <c r="F245" t="inlineStr">
        <is>
          <t>NORRBOTTENS LÄN</t>
        </is>
      </c>
      <c r="G245" t="inlineStr">
        <is>
          <t>ÖVERKALIX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46302</v>
      </c>
      <c r="F246" t="inlineStr">
        <is>
          <t>NORRBOTTENS LÄN</t>
        </is>
      </c>
      <c r="G246" t="inlineStr">
        <is>
          <t>ÖVERKALIX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46302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46302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45988</v>
      </c>
      <c r="E249" s="1" t="n">
        <v>46302</v>
      </c>
      <c r="F249" t="inlineStr">
        <is>
          <t>NORRBOTTENS LÄN</t>
        </is>
      </c>
      <c r="G249" t="inlineStr">
        <is>
          <t>ÖVERKALIX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45992</v>
      </c>
      <c r="E250" s="1" t="n">
        <v>46302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59897-2025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45993</v>
      </c>
      <c r="E251" s="1" t="n">
        <v>46302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60215-2025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46302</v>
      </c>
      <c r="F252" t="inlineStr">
        <is>
          <t>NORRBOTTENS LÄN</t>
        </is>
      </c>
      <c r="G252" t="inlineStr">
        <is>
          <t>ÖVERKALIX</t>
        </is>
      </c>
      <c r="I252" t="n">
        <v>9.5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46302</v>
      </c>
      <c r="F253" t="inlineStr">
        <is>
          <t>NORRBOTTENS LÄN</t>
        </is>
      </c>
      <c r="G253" t="inlineStr">
        <is>
          <t>ÖVERKALIX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46302</v>
      </c>
      <c r="F254" t="inlineStr">
        <is>
          <t>NORRBOTTENS LÄN</t>
        </is>
      </c>
      <c r="G254" t="inlineStr">
        <is>
          <t>ÖVERKALIX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46302</v>
      </c>
      <c r="F255" t="inlineStr">
        <is>
          <t>NORRBOTTENS LÄN</t>
        </is>
      </c>
      <c r="G255" t="inlineStr">
        <is>
          <t>ÖVERKALIX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46302</v>
      </c>
      <c r="F256" t="inlineStr">
        <is>
          <t>NORRBOTTENS LÄN</t>
        </is>
      </c>
      <c r="G256" t="inlineStr">
        <is>
          <t>ÖVERKALIX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46302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60909-2025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46302</v>
      </c>
      <c r="F258" t="inlineStr">
        <is>
          <t>NORRBOTTENS LÄN</t>
        </is>
      </c>
      <c r="G258" t="inlineStr">
        <is>
          <t>ÖVERKALIX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46302</v>
      </c>
      <c r="F259" t="inlineStr">
        <is>
          <t>NORRBOTTENS LÄN</t>
        </is>
      </c>
      <c r="G259" t="inlineStr">
        <is>
          <t>ÖVERKALIX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46302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20505-2026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46302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46002</v>
      </c>
      <c r="E262" s="1" t="n">
        <v>46302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26450-2025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45807</v>
      </c>
      <c r="E263" s="1" t="n">
        <v>46302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8.300000000000001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46302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46302</v>
      </c>
      <c r="F265" t="inlineStr">
        <is>
          <t>NORRBOTTENS LÄN</t>
        </is>
      </c>
      <c r="G265" t="inlineStr">
        <is>
          <t>ÖVERKALIX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46302</v>
      </c>
      <c r="F266" t="inlineStr">
        <is>
          <t>NORRBOTTENS LÄN</t>
        </is>
      </c>
      <c r="G266" t="inlineStr">
        <is>
          <t>ÖVERKALIX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46013</v>
      </c>
      <c r="E267" s="1" t="n">
        <v>46302</v>
      </c>
      <c r="F267" t="inlineStr">
        <is>
          <t>NORRBOTTENS LÄN</t>
        </is>
      </c>
      <c r="G267" t="inlineStr">
        <is>
          <t>ÖVERKALIX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63454-2025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46013</v>
      </c>
      <c r="E268" s="1" t="n">
        <v>46302</v>
      </c>
      <c r="F268" t="inlineStr">
        <is>
          <t>NORRBOTTENS LÄN</t>
        </is>
      </c>
      <c r="G268" t="inlineStr">
        <is>
          <t>ÖVERKALIX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13717-2022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44648</v>
      </c>
      <c r="E269" s="1" t="n">
        <v>46302</v>
      </c>
      <c r="F269" t="inlineStr">
        <is>
          <t>NORRBOTTENS LÄN</t>
        </is>
      </c>
      <c r="G269" t="inlineStr">
        <is>
          <t>ÖVERKALIX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46302</v>
      </c>
      <c r="F270" t="inlineStr">
        <is>
          <t>NORRBOTTENS LÄN</t>
        </is>
      </c>
      <c r="G270" t="inlineStr">
        <is>
          <t>ÖVERKALIX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45818</v>
      </c>
      <c r="E271" s="1" t="n">
        <v>46302</v>
      </c>
      <c r="F271" t="inlineStr">
        <is>
          <t>NORRBOTTENS LÄN</t>
        </is>
      </c>
      <c r="G271" t="inlineStr">
        <is>
          <t>ÖVERKALIX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45440</v>
      </c>
      <c r="E272" s="1" t="n">
        <v>46302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21417-2026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46148</v>
      </c>
      <c r="E273" s="1" t="n">
        <v>46302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Sveaskog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46302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21411-2026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46148</v>
      </c>
      <c r="E275" s="1" t="n">
        <v>46302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21419-2026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46148</v>
      </c>
      <c r="E276" s="1" t="n">
        <v>46302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21423-2026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46148</v>
      </c>
      <c r="E277" s="1" t="n">
        <v>46302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46148</v>
      </c>
      <c r="E278" s="1" t="n">
        <v>46302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7.5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46148</v>
      </c>
      <c r="E279" s="1" t="n">
        <v>46302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21429-2026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46148</v>
      </c>
      <c r="E280" s="1" t="n">
        <v>46302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18.8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21422-2026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46148</v>
      </c>
      <c r="E281" s="1" t="n">
        <v>46302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46302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23.2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46302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11.8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22955-2026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46160</v>
      </c>
      <c r="E284" s="1" t="n">
        <v>46302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46302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46302</v>
      </c>
      <c r="F286" t="inlineStr">
        <is>
          <t>NORRBOTTENS LÄN</t>
        </is>
      </c>
      <c r="G286" t="inlineStr">
        <is>
          <t>ÖVERKALIX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46163</v>
      </c>
      <c r="E287" s="1" t="n">
        <v>46302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46302</v>
      </c>
      <c r="F288" t="inlineStr">
        <is>
          <t>NORRBOTTENS LÄN</t>
        </is>
      </c>
      <c r="G288" t="inlineStr">
        <is>
          <t>ÖVERKALIX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46302</v>
      </c>
      <c r="F289" t="inlineStr">
        <is>
          <t>NORRBOTTENS LÄN</t>
        </is>
      </c>
      <c r="G289" t="inlineStr">
        <is>
          <t>ÖVERKALIX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46302</v>
      </c>
      <c r="F290" t="inlineStr">
        <is>
          <t>NORRBOTTENS LÄN</t>
        </is>
      </c>
      <c r="G290" t="inlineStr">
        <is>
          <t>ÖVERKALIX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46302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46302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23935-2026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46302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28372-2025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45818</v>
      </c>
      <c r="E294" s="1" t="n">
        <v>46302</v>
      </c>
      <c r="F294" t="inlineStr">
        <is>
          <t>NORRBOTTENS LÄN</t>
        </is>
      </c>
      <c r="G294" t="inlineStr">
        <is>
          <t>ÖVERKALIX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23942-2026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46302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51354-2025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46302</v>
      </c>
      <c r="F296" t="inlineStr">
        <is>
          <t>NORRBOTTENS LÄN</t>
        </is>
      </c>
      <c r="G296" t="inlineStr">
        <is>
          <t>ÖVERKALIX</t>
        </is>
      </c>
      <c r="I296" t="n">
        <v>8.199999999999999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46302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46167</v>
      </c>
      <c r="E298" s="1" t="n">
        <v>46302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72809-2021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44546</v>
      </c>
      <c r="E299" s="1" t="n">
        <v>46302</v>
      </c>
      <c r="F299" t="inlineStr">
        <is>
          <t>NORRBOTTENS LÄN</t>
        </is>
      </c>
      <c r="G299" t="inlineStr">
        <is>
          <t>ÖVERKALIX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46302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14.2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46170</v>
      </c>
      <c r="E301" s="1" t="n">
        <v>46302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46302</v>
      </c>
      <c r="F302" t="inlineStr">
        <is>
          <t>NORRBOTTENS LÄN</t>
        </is>
      </c>
      <c r="G302" t="inlineStr">
        <is>
          <t>ÖVERKALIX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46302</v>
      </c>
      <c r="F303" t="inlineStr">
        <is>
          <t>NORRBOTTENS LÄN</t>
        </is>
      </c>
      <c r="G303" t="inlineStr">
        <is>
          <t>ÖVERKALIX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46302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46302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25822-2026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46178</v>
      </c>
      <c r="E306" s="1" t="n">
        <v>46302</v>
      </c>
      <c r="F306" t="inlineStr">
        <is>
          <t>NORRBOTTENS LÄN</t>
        </is>
      </c>
      <c r="G306" t="inlineStr">
        <is>
          <t>ÖVERKALIX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46302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46302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44993</v>
      </c>
      <c r="E309" s="1" t="n">
        <v>46302</v>
      </c>
      <c r="F309" t="inlineStr">
        <is>
          <t>NORRBOTTENS LÄN</t>
        </is>
      </c>
      <c r="G309" t="inlineStr">
        <is>
          <t>ÖVERKALIX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62269-2021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44502</v>
      </c>
      <c r="E310" s="1" t="n">
        <v>46302</v>
      </c>
      <c r="F310" t="inlineStr">
        <is>
          <t>NORRBOTTENS LÄN</t>
        </is>
      </c>
      <c r="G310" t="inlineStr">
        <is>
          <t>ÖVERKALIX</t>
        </is>
      </c>
      <c r="I310" t="n">
        <v>9.199999999999999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46302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46302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22470-2023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45070</v>
      </c>
      <c r="E313" s="1" t="n">
        <v>46302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46302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8.5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5653-2022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44595</v>
      </c>
      <c r="E315" s="1" t="n">
        <v>46302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45315</v>
      </c>
      <c r="E316" s="1" t="n">
        <v>46302</v>
      </c>
      <c r="F316" t="inlineStr">
        <is>
          <t>NORRBOTTENS LÄN</t>
        </is>
      </c>
      <c r="G316" t="inlineStr">
        <is>
          <t>ÖVERKALIX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6641-2022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46302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26554-2023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45092</v>
      </c>
      <c r="E318" s="1" t="n">
        <v>46302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2003-2024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45308</v>
      </c>
      <c r="E319" s="1" t="n">
        <v>46302</v>
      </c>
      <c r="F319" t="inlineStr">
        <is>
          <t>NORRBOTTENS LÄN</t>
        </is>
      </c>
      <c r="G319" t="inlineStr">
        <is>
          <t>ÖVERKALIX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46302</v>
      </c>
      <c r="F320" t="inlineStr">
        <is>
          <t>NORRBOTTENS LÄN</t>
        </is>
      </c>
      <c r="G320" t="inlineStr">
        <is>
          <t>ÖVERKALIX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42407-2022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44830</v>
      </c>
      <c r="E321" s="1" t="n">
        <v>46302</v>
      </c>
      <c r="F321" t="inlineStr">
        <is>
          <t>NORRBOTTENS LÄN</t>
        </is>
      </c>
      <c r="G321" t="inlineStr">
        <is>
          <t>ÖVERKALIX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25697-2024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45463</v>
      </c>
      <c r="E322" s="1" t="n">
        <v>46302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46195</v>
      </c>
      <c r="E323" s="1" t="n">
        <v>46302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73216-2021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44547</v>
      </c>
      <c r="E324" s="1" t="n">
        <v>46302</v>
      </c>
      <c r="F324" t="inlineStr">
        <is>
          <t>NORRBOTTENS LÄN</t>
        </is>
      </c>
      <c r="G324" t="inlineStr">
        <is>
          <t>ÖVERKALIX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28210-2026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46196</v>
      </c>
      <c r="E325" s="1" t="n">
        <v>46302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46302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28641-2026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46198</v>
      </c>
      <c r="E327" s="1" t="n">
        <v>46302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46302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45471</v>
      </c>
      <c r="E329" s="1" t="n">
        <v>46302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46302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32.6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45610</v>
      </c>
      <c r="E331" s="1" t="n">
        <v>46302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28925-2026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46199</v>
      </c>
      <c r="E332" s="1" t="n">
        <v>46302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46302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12591-2024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45379</v>
      </c>
      <c r="E334" s="1" t="n">
        <v>46302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50862-2023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45218</v>
      </c>
      <c r="E335" s="1" t="n">
        <v>46302</v>
      </c>
      <c r="F335" t="inlineStr">
        <is>
          <t>NORRBOTTENS LÄN</t>
        </is>
      </c>
      <c r="G335" t="inlineStr">
        <is>
          <t>ÖVERKALIX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24548-2024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45460</v>
      </c>
      <c r="E336" s="1" t="n">
        <v>46302</v>
      </c>
      <c r="F336" t="inlineStr">
        <is>
          <t>NORRBOTTENS LÄN</t>
        </is>
      </c>
      <c r="G336" t="inlineStr">
        <is>
          <t>ÖVERKALIX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46302</v>
      </c>
      <c r="F337" t="inlineStr">
        <is>
          <t>NORRBOTTENS LÄN</t>
        </is>
      </c>
      <c r="G337" t="inlineStr">
        <is>
          <t>ÖVERKALIX</t>
        </is>
      </c>
      <c r="I337" t="n">
        <v>22.3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30039-2026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46302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29827-2026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46205</v>
      </c>
      <c r="E339" s="1" t="n">
        <v>46302</v>
      </c>
      <c r="F339" t="inlineStr">
        <is>
          <t>NORRBOTTENS LÄN</t>
        </is>
      </c>
      <c r="G339" t="inlineStr">
        <is>
          <t>ÖVERKALIX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60400-2022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44910</v>
      </c>
      <c r="E340" s="1" t="n">
        <v>46302</v>
      </c>
      <c r="F340" t="inlineStr">
        <is>
          <t>NORRBOTTENS LÄN</t>
        </is>
      </c>
      <c r="G340" t="inlineStr">
        <is>
          <t>ÖVERKALIX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29927-2026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46205</v>
      </c>
      <c r="E341" s="1" t="n">
        <v>46302</v>
      </c>
      <c r="F341" t="inlineStr">
        <is>
          <t>NORRBOTTENS LÄN</t>
        </is>
      </c>
      <c r="G341" t="inlineStr">
        <is>
          <t>ÖVERKALIX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29937-2026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46205</v>
      </c>
      <c r="E342" s="1" t="n">
        <v>46302</v>
      </c>
      <c r="F342" t="inlineStr">
        <is>
          <t>NORRBOTTENS LÄN</t>
        </is>
      </c>
      <c r="G342" t="inlineStr">
        <is>
          <t>ÖVERKALIX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30326-2026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46207</v>
      </c>
      <c r="E343" s="1" t="n">
        <v>46302</v>
      </c>
      <c r="F343" t="inlineStr">
        <is>
          <t>NORRBOTTENS LÄN</t>
        </is>
      </c>
      <c r="G343" t="inlineStr">
        <is>
          <t>ÖVERKALIX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30327-2026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46207</v>
      </c>
      <c r="E344" s="1" t="n">
        <v>46302</v>
      </c>
      <c r="F344" t="inlineStr">
        <is>
          <t>NORRBOTTENS LÄN</t>
        </is>
      </c>
      <c r="G344" t="inlineStr">
        <is>
          <t>ÖVERKALIX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30328-2026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46207</v>
      </c>
      <c r="E345" s="1" t="n">
        <v>46302</v>
      </c>
      <c r="F345" t="inlineStr">
        <is>
          <t>NORRBOTTENS LÄN</t>
        </is>
      </c>
      <c r="G345" t="inlineStr">
        <is>
          <t>ÖVERKALIX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46302</v>
      </c>
      <c r="F346" t="inlineStr">
        <is>
          <t>NORRBOTTENS LÄN</t>
        </is>
      </c>
      <c r="G346" t="inlineStr">
        <is>
          <t>ÖVERKALIX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46302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30241-2026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46206</v>
      </c>
      <c r="E348" s="1" t="n">
        <v>46302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46302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58038-2024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45631</v>
      </c>
      <c r="E350" s="1" t="n">
        <v>46302</v>
      </c>
      <c r="F350" t="inlineStr">
        <is>
          <t>NORRBOTTENS LÄN</t>
        </is>
      </c>
      <c r="G350" t="inlineStr">
        <is>
          <t>ÖVERKALIX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1944-2022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44575</v>
      </c>
      <c r="E351" s="1" t="n">
        <v>46302</v>
      </c>
      <c r="F351" t="inlineStr">
        <is>
          <t>NORRBOTTENS LÄN</t>
        </is>
      </c>
      <c r="G351" t="inlineStr">
        <is>
          <t>ÖVERKALIX</t>
        </is>
      </c>
      <c r="I351" t="n">
        <v>10.4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46190</v>
      </c>
      <c r="E352" s="1" t="n">
        <v>46302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44797</v>
      </c>
      <c r="E353" s="1" t="n">
        <v>46302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32477-2024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45513</v>
      </c>
      <c r="E354" s="1" t="n">
        <v>46302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30881-2024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45498</v>
      </c>
      <c r="E355" s="1" t="n">
        <v>46302</v>
      </c>
      <c r="F355" t="inlineStr">
        <is>
          <t>NORRBOTTENS LÄN</t>
        </is>
      </c>
      <c r="G355" t="inlineStr">
        <is>
          <t>ÖVERKALIX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45308</v>
      </c>
      <c r="E356" s="1" t="n">
        <v>46302</v>
      </c>
      <c r="F356" t="inlineStr">
        <is>
          <t>NORRBOTTENS LÄN</t>
        </is>
      </c>
      <c r="G356" t="inlineStr">
        <is>
          <t>ÖVERKALIX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46260</v>
      </c>
      <c r="E357" s="1" t="n">
        <v>46302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46260</v>
      </c>
      <c r="E358" s="1" t="n">
        <v>46302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35235-2026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46260</v>
      </c>
      <c r="E359" s="1" t="n">
        <v>46302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44973</v>
      </c>
      <c r="E360" s="1" t="n">
        <v>46302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46302</v>
      </c>
      <c r="F361" t="inlineStr">
        <is>
          <t>NORRBOTTENS LÄN</t>
        </is>
      </c>
      <c r="G361" t="inlineStr">
        <is>
          <t>ÖVERKALIX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45379</v>
      </c>
      <c r="E362" s="1" t="n">
        <v>46302</v>
      </c>
      <c r="F362" t="inlineStr">
        <is>
          <t>NORRBOTTENS LÄN</t>
        </is>
      </c>
      <c r="G362" t="inlineStr">
        <is>
          <t>ÖVERKALIX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35191-2026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46260</v>
      </c>
      <c r="E363" s="1" t="n">
        <v>46302</v>
      </c>
      <c r="F363" t="inlineStr">
        <is>
          <t>NORRBOTTENS LÄN</t>
        </is>
      </c>
      <c r="G363" t="inlineStr">
        <is>
          <t>ÖVERKALIX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59911-2024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45641</v>
      </c>
      <c r="E364" s="1" t="n">
        <v>46302</v>
      </c>
      <c r="F364" t="inlineStr">
        <is>
          <t>NORRBOTTENS LÄN</t>
        </is>
      </c>
      <c r="G364" t="inlineStr">
        <is>
          <t>ÖVERKALIX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46266</v>
      </c>
      <c r="E365" s="1" t="n">
        <v>46302</v>
      </c>
      <c r="F365" t="inlineStr">
        <is>
          <t>NORRBOTTENS LÄN</t>
        </is>
      </c>
      <c r="G365" t="inlineStr">
        <is>
          <t>ÖVERKALIX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36141-2026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46267</v>
      </c>
      <c r="E366" s="1" t="n">
        <v>46302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45513</v>
      </c>
      <c r="E367" s="1" t="n">
        <v>46302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35950-2026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46266</v>
      </c>
      <c r="E368" s="1" t="n">
        <v>46302</v>
      </c>
      <c r="F368" t="inlineStr">
        <is>
          <t>NORRBOTTENS LÄN</t>
        </is>
      </c>
      <c r="G368" t="inlineStr">
        <is>
          <t>ÖVERKALIX</t>
        </is>
      </c>
      <c r="I368" t="n">
        <v>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36570-2026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46269</v>
      </c>
      <c r="E369" s="1" t="n">
        <v>46302</v>
      </c>
      <c r="F369" t="inlineStr">
        <is>
          <t>NORRBOTTENS LÄN</t>
        </is>
      </c>
      <c r="G369" t="inlineStr">
        <is>
          <t>ÖVERKALIX</t>
        </is>
      </c>
      <c r="I369" t="n">
        <v>8.300000000000001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8422-2025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45709</v>
      </c>
      <c r="E370" s="1" t="n">
        <v>46302</v>
      </c>
      <c r="F370" t="inlineStr">
        <is>
          <t>NORRBOTTENS LÄN</t>
        </is>
      </c>
      <c r="G370" t="inlineStr">
        <is>
          <t>ÖVERKALIX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59832-2024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45639</v>
      </c>
      <c r="E371" s="1" t="n">
        <v>46302</v>
      </c>
      <c r="F371" t="inlineStr">
        <is>
          <t>NORRBOTTENS LÄN</t>
        </is>
      </c>
      <c r="G371" t="inlineStr">
        <is>
          <t>ÖVERKALIX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55857-2024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45622</v>
      </c>
      <c r="E372" s="1" t="n">
        <v>46302</v>
      </c>
      <c r="F372" t="inlineStr">
        <is>
          <t>NORRBOTTENS LÄN</t>
        </is>
      </c>
      <c r="G372" t="inlineStr">
        <is>
          <t>ÖVERKALIX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45181</v>
      </c>
      <c r="E373" s="1" t="n">
        <v>46302</v>
      </c>
      <c r="F373" t="inlineStr">
        <is>
          <t>NORRBOTTENS LÄN</t>
        </is>
      </c>
      <c r="G373" t="inlineStr">
        <is>
          <t>ÖVERKALIX</t>
        </is>
      </c>
      <c r="I373" t="n">
        <v>13.1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46302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46225</v>
      </c>
      <c r="E375" s="1" t="n">
        <v>46302</v>
      </c>
      <c r="F375" t="inlineStr">
        <is>
          <t>NORRBOTTENS LÄN</t>
        </is>
      </c>
      <c r="G375" t="inlineStr">
        <is>
          <t>ÖVERKALIX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57870-2022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44899</v>
      </c>
      <c r="E376" s="1" t="n">
        <v>46302</v>
      </c>
      <c r="F376" t="inlineStr">
        <is>
          <t>NORRBOTTENS LÄN</t>
        </is>
      </c>
      <c r="G376" t="inlineStr">
        <is>
          <t>ÖVERKALIX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45709</v>
      </c>
      <c r="E377" s="1" t="n">
        <v>46302</v>
      </c>
      <c r="F377" t="inlineStr">
        <is>
          <t>NORRBOTTENS LÄN</t>
        </is>
      </c>
      <c r="G377" t="inlineStr">
        <is>
          <t>ÖVERKALIX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37429-2024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45540</v>
      </c>
      <c r="E378" s="1" t="n">
        <v>46302</v>
      </c>
      <c r="F378" t="inlineStr">
        <is>
          <t>NORRBOTTENS LÄN</t>
        </is>
      </c>
      <c r="G378" t="inlineStr">
        <is>
          <t>ÖVERKALIX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64524-2023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45281</v>
      </c>
      <c r="E379" s="1" t="n">
        <v>46302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36797-2023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45154</v>
      </c>
      <c r="E380" s="1" t="n">
        <v>46302</v>
      </c>
      <c r="F380" t="inlineStr">
        <is>
          <t>NORRBOTTENS LÄN</t>
        </is>
      </c>
      <c r="G380" t="inlineStr">
        <is>
          <t>ÖVERKALIX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60463-2024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45643</v>
      </c>
      <c r="E381" s="1" t="n">
        <v>46302</v>
      </c>
      <c r="F381" t="inlineStr">
        <is>
          <t>NORRBOTTENS LÄN</t>
        </is>
      </c>
      <c r="G381" t="inlineStr">
        <is>
          <t>ÖVERKALIX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36683-2026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46272</v>
      </c>
      <c r="E382" s="1" t="n">
        <v>46302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20.5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42119-2024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46302</v>
      </c>
      <c r="F383" t="inlineStr">
        <is>
          <t>NORRBOTTENS LÄN</t>
        </is>
      </c>
      <c r="G383" t="inlineStr">
        <is>
          <t>ÖVERKALIX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19541-2024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45429</v>
      </c>
      <c r="E384" s="1" t="n">
        <v>46302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22.7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55857-2024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46302</v>
      </c>
      <c r="F385" t="inlineStr">
        <is>
          <t>NORRBOTTENS LÄN</t>
        </is>
      </c>
      <c r="G385" t="inlineStr">
        <is>
          <t>ÖVERKALIX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31832-2026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46230</v>
      </c>
      <c r="E386" s="1" t="n">
        <v>46302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25692-2024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45463</v>
      </c>
      <c r="E387" s="1" t="n">
        <v>46302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46302</v>
      </c>
      <c r="F388" t="inlineStr">
        <is>
          <t>NORRBOTTENS LÄN</t>
        </is>
      </c>
      <c r="G388" t="inlineStr">
        <is>
          <t>ÖVERKALIX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72623-2021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44546</v>
      </c>
      <c r="E389" s="1" t="n">
        <v>46302</v>
      </c>
      <c r="F389" t="inlineStr">
        <is>
          <t>NORRBOTTENS LÄN</t>
        </is>
      </c>
      <c r="G389" t="inlineStr">
        <is>
          <t>ÖVERKALIX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37683-2026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46278</v>
      </c>
      <c r="E390" s="1" t="n">
        <v>46302</v>
      </c>
      <c r="F390" t="inlineStr">
        <is>
          <t>NORRBOTTENS LÄN</t>
        </is>
      </c>
      <c r="G390" t="inlineStr">
        <is>
          <t>ÖVERKALIX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45548</v>
      </c>
      <c r="E391" s="1" t="n">
        <v>46302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46281</v>
      </c>
      <c r="E392" s="1" t="n">
        <v>46302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20.1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46281</v>
      </c>
      <c r="E393" s="1" t="n">
        <v>46302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46280</v>
      </c>
      <c r="E394" s="1" t="n">
        <v>46302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32615-2024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45513</v>
      </c>
      <c r="E395" s="1" t="n">
        <v>46302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9.800000000000001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46302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38102-2026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46281</v>
      </c>
      <c r="E397" s="1" t="n">
        <v>46302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14255-2023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45009</v>
      </c>
      <c r="E398" s="1" t="n">
        <v>46302</v>
      </c>
      <c r="F398" t="inlineStr">
        <is>
          <t>NORRBOTTENS LÄN</t>
        </is>
      </c>
      <c r="G398" t="inlineStr">
        <is>
          <t>ÖVERKALIX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46287</v>
      </c>
      <c r="E399" s="1" t="n">
        <v>46302</v>
      </c>
      <c r="F399" t="inlineStr">
        <is>
          <t>NORRBOTTENS LÄN</t>
        </is>
      </c>
      <c r="G399" t="inlineStr">
        <is>
          <t>ÖVERKALIX</t>
        </is>
      </c>
      <c r="I399" t="n">
        <v>12.9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45548</v>
      </c>
      <c r="E400" s="1" t="n">
        <v>46302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51561-2024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45604</v>
      </c>
      <c r="E401" s="1" t="n">
        <v>46302</v>
      </c>
      <c r="F401" t="inlineStr">
        <is>
          <t>NORRBOTTENS LÄN</t>
        </is>
      </c>
      <c r="G401" t="inlineStr">
        <is>
          <t>ÖVERKALIX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46302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46093</v>
      </c>
      <c r="E403" s="1" t="n">
        <v>46302</v>
      </c>
      <c r="F403" t="inlineStr">
        <is>
          <t>NORRBOTTENS LÄN</t>
        </is>
      </c>
      <c r="G403" t="inlineStr">
        <is>
          <t>ÖVERKALIX</t>
        </is>
      </c>
      <c r="I403" t="n">
        <v>12.5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39203-2026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46287</v>
      </c>
      <c r="E404" s="1" t="n">
        <v>46302</v>
      </c>
      <c r="F404" t="inlineStr">
        <is>
          <t>NORRBOTTENS LÄN</t>
        </is>
      </c>
      <c r="G404" t="inlineStr">
        <is>
          <t>ÖVERKALIX</t>
        </is>
      </c>
      <c r="I404" t="n">
        <v>9.5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46302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46244</v>
      </c>
      <c r="E406" s="1" t="n">
        <v>46302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45748-2023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45189</v>
      </c>
      <c r="E407" s="1" t="n">
        <v>46302</v>
      </c>
      <c r="F407" t="inlineStr">
        <is>
          <t>NORRBOTTENS LÄN</t>
        </is>
      </c>
      <c r="G407" t="inlineStr">
        <is>
          <t>ÖVERKALIX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39371-2026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46288</v>
      </c>
      <c r="E408" s="1" t="n">
        <v>46302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39471-2026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46288</v>
      </c>
      <c r="E409" s="1" t="n">
        <v>46302</v>
      </c>
      <c r="F409" t="inlineStr">
        <is>
          <t>NORRBOTTENS LÄN</t>
        </is>
      </c>
      <c r="G409" t="inlineStr">
        <is>
          <t>ÖVERKALIX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33284-2026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46246</v>
      </c>
      <c r="E410" s="1" t="n">
        <v>46302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45518</v>
      </c>
      <c r="E411" s="1" t="n">
        <v>46302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46302</v>
      </c>
      <c r="F412" t="inlineStr">
        <is>
          <t>NORRBOTTENS LÄN</t>
        </is>
      </c>
      <c r="G412" t="inlineStr">
        <is>
          <t>ÖVERKALIX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15365-2025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46302</v>
      </c>
      <c r="F413" t="inlineStr">
        <is>
          <t>NORRBOTTENS LÄN</t>
        </is>
      </c>
      <c r="G413" t="inlineStr">
        <is>
          <t>ÖVERKALIX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6454-2025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45699</v>
      </c>
      <c r="E414" s="1" t="n">
        <v>46302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28.8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7448-2023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44966</v>
      </c>
      <c r="E415" s="1" t="n">
        <v>46302</v>
      </c>
      <c r="F415" t="inlineStr">
        <is>
          <t>NORRBOTTENS LÄN</t>
        </is>
      </c>
      <c r="G415" t="inlineStr">
        <is>
          <t>ÖVERKALIX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40155-2026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46293</v>
      </c>
      <c r="E416" s="1" t="n">
        <v>46302</v>
      </c>
      <c r="F416" t="inlineStr">
        <is>
          <t>NORRBOTTENS LÄN</t>
        </is>
      </c>
      <c r="G416" t="inlineStr">
        <is>
          <t>ÖVERKALIX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49473-2023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45205</v>
      </c>
      <c r="E417" s="1" t="n">
        <v>46302</v>
      </c>
      <c r="F417" t="inlineStr">
        <is>
          <t>NORRBOTTENS LÄN</t>
        </is>
      </c>
      <c r="G417" t="inlineStr">
        <is>
          <t>ÖVERKALIX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46247</v>
      </c>
      <c r="E418" s="1" t="n">
        <v>46302</v>
      </c>
      <c r="F418" t="inlineStr">
        <is>
          <t>NORRBOTTENS LÄN</t>
        </is>
      </c>
      <c r="G418" t="inlineStr">
        <is>
          <t>ÖVERKALIX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39710-2026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46290</v>
      </c>
      <c r="E419" s="1" t="n">
        <v>46302</v>
      </c>
      <c r="F419" t="inlineStr">
        <is>
          <t>NORRBOTTENS LÄN</t>
        </is>
      </c>
      <c r="G419" t="inlineStr">
        <is>
          <t>ÖVERKALIX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39658-2025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45890</v>
      </c>
      <c r="E420" s="1" t="n">
        <v>46302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46302</v>
      </c>
      <c r="F421" t="inlineStr">
        <is>
          <t>NORRBOTTENS LÄN</t>
        </is>
      </c>
      <c r="G421" t="inlineStr">
        <is>
          <t>ÖVERKALIX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45621</v>
      </c>
      <c r="E422" s="1" t="n">
        <v>46302</v>
      </c>
      <c r="F422" t="inlineStr">
        <is>
          <t>NORRBOTTENS LÄN</t>
        </is>
      </c>
      <c r="G422" t="inlineStr">
        <is>
          <t>ÖVERKALIX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45699</v>
      </c>
      <c r="E423" s="1" t="n">
        <v>46302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18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46302</v>
      </c>
      <c r="F424" t="inlineStr">
        <is>
          <t>NORRBOTTENS LÄN</t>
        </is>
      </c>
      <c r="G424" t="inlineStr">
        <is>
          <t>ÖVERKALIX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46302</v>
      </c>
      <c r="F425" t="inlineStr">
        <is>
          <t>NORRBOTTENS LÄN</t>
        </is>
      </c>
      <c r="G425" t="inlineStr">
        <is>
          <t>ÖVERKALIX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46302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46295</v>
      </c>
      <c r="E427" s="1" t="n">
        <v>46302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33927-2026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46252</v>
      </c>
      <c r="E428" s="1" t="n">
        <v>46302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72212-2021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44543</v>
      </c>
      <c r="E429" s="1" t="n">
        <v>46302</v>
      </c>
      <c r="F429" t="inlineStr">
        <is>
          <t>NORRBOTTENS LÄN</t>
        </is>
      </c>
      <c r="G429" t="inlineStr">
        <is>
          <t>ÖVERKALIX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45404</v>
      </c>
      <c r="E430" s="1" t="n">
        <v>46302</v>
      </c>
      <c r="F430" t="inlineStr">
        <is>
          <t>NORRBOTTENS LÄN</t>
        </is>
      </c>
      <c r="G430" t="inlineStr">
        <is>
          <t>ÖVERKALIX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46302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20580-2024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45436</v>
      </c>
      <c r="E432" s="1" t="n">
        <v>46302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29.9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46296</v>
      </c>
      <c r="E433" s="1" t="n">
        <v>46302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27.1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40726-2026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46296</v>
      </c>
      <c r="E434" s="1" t="n">
        <v>46302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45667</v>
      </c>
      <c r="E435" s="1" t="n">
        <v>46302</v>
      </c>
      <c r="F435" t="inlineStr">
        <is>
          <t>NORRBOTTENS LÄN</t>
        </is>
      </c>
      <c r="G435" t="inlineStr">
        <is>
          <t>ÖVERKALIX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46244</v>
      </c>
      <c r="E436" s="1" t="n">
        <v>46302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45401</v>
      </c>
      <c r="E437" s="1" t="n">
        <v>46302</v>
      </c>
      <c r="F437" t="inlineStr">
        <is>
          <t>NORRBOTTENS LÄN</t>
        </is>
      </c>
      <c r="G437" t="inlineStr">
        <is>
          <t>ÖVERKALIX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40980-2026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46297</v>
      </c>
      <c r="E438" s="1" t="n">
        <v>46302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46254</v>
      </c>
      <c r="E439" s="1" t="n">
        <v>46302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33.7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46254</v>
      </c>
      <c r="E440" s="1" t="n">
        <v>46302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34239-2026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46302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39405-2022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44817</v>
      </c>
      <c r="E442" s="1" t="n">
        <v>46302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45539</v>
      </c>
      <c r="E443" s="1" t="n">
        <v>46302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41497-2026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46301</v>
      </c>
      <c r="E444" s="1" t="n">
        <v>46302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41508-2026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46301</v>
      </c>
      <c r="E445" s="1" t="n">
        <v>46302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41530-2026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46301</v>
      </c>
      <c r="E446" s="1" t="n">
        <v>46302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46302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11.5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52075-2023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45223</v>
      </c>
      <c r="E448" s="1" t="n">
        <v>46302</v>
      </c>
      <c r="F448" t="inlineStr">
        <is>
          <t>NORRBOTTENS LÄN</t>
        </is>
      </c>
      <c r="G448" t="inlineStr">
        <is>
          <t>ÖVERKALIX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46302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45693</v>
      </c>
      <c r="E450" s="1" t="n">
        <v>46302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45315</v>
      </c>
      <c r="E451" s="1" t="n">
        <v>46302</v>
      </c>
      <c r="F451" t="inlineStr">
        <is>
          <t>NORRBOTTENS LÄN</t>
        </is>
      </c>
      <c r="G451" t="inlineStr">
        <is>
          <t>ÖVERKALIX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55226-2024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45621</v>
      </c>
      <c r="E452" s="1" t="n">
        <v>46302</v>
      </c>
      <c r="F452" t="inlineStr">
        <is>
          <t>NORRBOTTENS LÄN</t>
        </is>
      </c>
      <c r="G452" t="inlineStr">
        <is>
          <t>ÖVERKALIX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15153-2025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45744</v>
      </c>
      <c r="E453" s="1" t="n">
        <v>46302</v>
      </c>
      <c r="F453" t="inlineStr">
        <is>
          <t>NORRBOTTENS LÄN</t>
        </is>
      </c>
      <c r="G453" t="inlineStr">
        <is>
          <t>ÖVERKALIX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58037-2024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45631</v>
      </c>
      <c r="E454" s="1" t="n">
        <v>46302</v>
      </c>
      <c r="F454" t="inlineStr">
        <is>
          <t>NORRBOTTENS LÄN</t>
        </is>
      </c>
      <c r="G454" t="inlineStr">
        <is>
          <t>ÖVERKALIX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45771</v>
      </c>
      <c r="E455" s="1" t="n">
        <v>46302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62561-2023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45268</v>
      </c>
      <c r="E456" s="1" t="n">
        <v>46302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48577-2023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45208</v>
      </c>
      <c r="E457" s="1" t="n">
        <v>46302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38941-2024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45548</v>
      </c>
      <c r="E458" s="1" t="n">
        <v>46302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40329-2023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45169</v>
      </c>
      <c r="E459" s="1" t="n">
        <v>46302</v>
      </c>
      <c r="F459" t="inlineStr">
        <is>
          <t>NORRBOTTENS LÄN</t>
        </is>
      </c>
      <c r="G459" t="inlineStr">
        <is>
          <t>ÖVERKALIX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36839-2023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45153</v>
      </c>
      <c r="E460" s="1" t="n">
        <v>46302</v>
      </c>
      <c r="F460" t="inlineStr">
        <is>
          <t>NORRBOTTENS LÄN</t>
        </is>
      </c>
      <c r="G460" t="inlineStr">
        <is>
          <t>ÖVERKALIX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45611</v>
      </c>
      <c r="E461" s="1" t="n">
        <v>46302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45107</v>
      </c>
      <c r="E462" s="1" t="n">
        <v>46302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46302</v>
      </c>
      <c r="F463" t="inlineStr">
        <is>
          <t>NORRBOTTENS LÄN</t>
        </is>
      </c>
      <c r="G463" t="inlineStr">
        <is>
          <t>ÖVERKALIX</t>
        </is>
      </c>
      <c r="H463" t="inlineStr">
        <is>
          <t>Övriga statliga verk och myndigheter</t>
        </is>
      </c>
      <c r="I463" t="n">
        <v>38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19529-2024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45429</v>
      </c>
      <c r="E464" s="1" t="n">
        <v>46302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48561-2024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45593</v>
      </c>
      <c r="E465" s="1" t="n">
        <v>46302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5382-2025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45692</v>
      </c>
      <c r="E466" s="1" t="n">
        <v>46302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45693</v>
      </c>
      <c r="E467" s="1" t="n">
        <v>46302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21520-2025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45782</v>
      </c>
      <c r="E468" s="1" t="n">
        <v>46302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45785</v>
      </c>
      <c r="E469" s="1" t="n">
        <v>46302</v>
      </c>
      <c r="F469" t="inlineStr">
        <is>
          <t>NORRBOTTENS LÄN</t>
        </is>
      </c>
      <c r="G469" t="inlineStr">
        <is>
          <t>ÖVERKALIX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46302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45793</v>
      </c>
      <c r="E471" s="1" t="n">
        <v>46302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23870-2025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45793</v>
      </c>
      <c r="E472" s="1" t="n">
        <v>46302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8.5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45796</v>
      </c>
      <c r="E473" s="1" t="n">
        <v>46302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24144-2025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45796</v>
      </c>
      <c r="E474" s="1" t="n">
        <v>46302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45323</v>
      </c>
      <c r="E475" s="1" t="n">
        <v>46302</v>
      </c>
      <c r="F475" t="inlineStr">
        <is>
          <t>NORRBOTTENS LÄN</t>
        </is>
      </c>
      <c r="G475" t="inlineStr">
        <is>
          <t>ÖVERKALIX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3721-2022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44741</v>
      </c>
      <c r="E476" s="1" t="n">
        <v>46302</v>
      </c>
      <c r="F476" t="inlineStr">
        <is>
          <t>NORRBOTTENS LÄN</t>
        </is>
      </c>
      <c r="G476" t="inlineStr">
        <is>
          <t>ÖVERKALIX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2792-2024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45485</v>
      </c>
      <c r="E477" s="1" t="n">
        <v>46302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2700-2024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45482</v>
      </c>
      <c r="E478" s="1" t="n">
        <v>46302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4734-2024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45607</v>
      </c>
      <c r="E479" s="1" t="n">
        <v>46302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1178-2025</t>
        </is>
      </c>
      <c r="B480" t="inlineStr">
        <is>
          <t>samrådsanmälan</t>
        </is>
      </c>
      <c r="C480" t="inlineStr">
        <is>
          <t>Skogsgödsling</t>
        </is>
      </c>
      <c r="D480" s="1" t="n">
        <v>45756</v>
      </c>
      <c r="E480" s="1" t="n">
        <v>46302</v>
      </c>
      <c r="F480" t="inlineStr">
        <is>
          <t>NORRBOTTENS LÄN</t>
        </is>
      </c>
      <c r="G480" t="inlineStr">
        <is>
          <t>ÖVERKALIX</t>
        </is>
      </c>
      <c r="I480" t="n">
        <v>39.9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1667-2025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45800</v>
      </c>
      <c r="E481" s="1" t="n">
        <v>46302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50-2026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46030</v>
      </c>
      <c r="E482" s="1" t="n">
        <v>46302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Sveaskog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2026-10-07T02:05:52Z</dcterms:created>
  <dcterms:modified xmlns:dcterms="http://purl.org/dc/terms/" xmlns:xsi="http://www.w3.org/2001/XMLSchema-instance" xsi:type="dcterms:W3CDTF">2026-10-07T02:05:53Z</dcterms:modified>
</cp:coreProperties>
</file>