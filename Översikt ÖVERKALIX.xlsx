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45754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45754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45754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45754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45754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45754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45754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45754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45754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45754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45754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45754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45754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45754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45754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45754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45754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45754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45754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45754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45754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45754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45754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45754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45754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45754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45754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45754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45754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45754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45754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45754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45754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45754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45754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45754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45754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45754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45754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45754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45754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40265-2023</t>
        </is>
      </c>
      <c r="B43" s="1" t="n">
        <v>45169</v>
      </c>
      <c r="C43" s="1" t="n">
        <v>45754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HYPERLINK("https://klasma.github.io/Logging_2513/artfynd/A 40265-2023 artfynd.xlsx", "A 40265-2023")</f>
        <v/>
      </c>
      <c r="T43">
        <f>HYPERLINK("https://klasma.github.io/Logging_2513/kartor/A 40265-2023 karta.png", "A 40265-2023")</f>
        <v/>
      </c>
      <c r="V43">
        <f>HYPERLINK("https://klasma.github.io/Logging_2513/klagomål/A 40265-2023 FSC-klagomål.docx", "A 40265-2023")</f>
        <v/>
      </c>
      <c r="W43">
        <f>HYPERLINK("https://klasma.github.io/Logging_2513/klagomålsmail/A 40265-2023 FSC-klagomål mail.docx", "A 40265-2023")</f>
        <v/>
      </c>
      <c r="X43">
        <f>HYPERLINK("https://klasma.github.io/Logging_2513/tillsyn/A 40265-2023 tillsynsbegäran.docx", "A 40265-2023")</f>
        <v/>
      </c>
      <c r="Y43">
        <f>HYPERLINK("https://klasma.github.io/Logging_2513/tillsynsmail/A 40265-2023 tillsynsbegäran mail.docx", "A 40265-2023")</f>
        <v/>
      </c>
    </row>
    <row r="44" ht="15" customHeight="1">
      <c r="A44" t="inlineStr">
        <is>
          <t>A 40263-2023</t>
        </is>
      </c>
      <c r="B44" s="1" t="n">
        <v>45169</v>
      </c>
      <c r="C44" s="1" t="n">
        <v>45754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40263-2023 artfynd.xlsx", "A 40263-2023")</f>
        <v/>
      </c>
      <c r="T44">
        <f>HYPERLINK("https://klasma.github.io/Logging_2513/kartor/A 40263-2023 karta.png", "A 40263-2023")</f>
        <v/>
      </c>
      <c r="V44">
        <f>HYPERLINK("https://klasma.github.io/Logging_2513/klagomål/A 40263-2023 FSC-klagomål.docx", "A 40263-2023")</f>
        <v/>
      </c>
      <c r="W44">
        <f>HYPERLINK("https://klasma.github.io/Logging_2513/klagomålsmail/A 40263-2023 FSC-klagomål mail.docx", "A 40263-2023")</f>
        <v/>
      </c>
      <c r="X44">
        <f>HYPERLINK("https://klasma.github.io/Logging_2513/tillsyn/A 40263-2023 tillsynsbegäran.docx", "A 40263-2023")</f>
        <v/>
      </c>
      <c r="Y44">
        <f>HYPERLINK("https://klasma.github.io/Logging_2513/tillsynsmail/A 40263-2023 tillsynsbegäran mail.docx", "A 40263-2023")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45754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60970-2023</t>
        </is>
      </c>
      <c r="B46" s="1" t="n">
        <v>45261</v>
      </c>
      <c r="C46" s="1" t="n">
        <v>45754</v>
      </c>
      <c r="D46" t="inlineStr">
        <is>
          <t>NORRBOTTENS LÄN</t>
        </is>
      </c>
      <c r="E46" t="inlineStr">
        <is>
          <t>ÖVERKALIX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HYPERLINK("https://klasma.github.io/Logging_2513/artfynd/A 60970-2023 artfynd.xlsx", "A 60970-2023")</f>
        <v/>
      </c>
      <c r="T46">
        <f>HYPERLINK("https://klasma.github.io/Logging_2513/kartor/A 60970-2023 karta.png", "A 60970-2023")</f>
        <v/>
      </c>
      <c r="V46">
        <f>HYPERLINK("https://klasma.github.io/Logging_2513/klagomål/A 60970-2023 FSC-klagomål.docx", "A 60970-2023")</f>
        <v/>
      </c>
      <c r="W46">
        <f>HYPERLINK("https://klasma.github.io/Logging_2513/klagomålsmail/A 60970-2023 FSC-klagomål mail.docx", "A 60970-2023")</f>
        <v/>
      </c>
      <c r="X46">
        <f>HYPERLINK("https://klasma.github.io/Logging_2513/tillsyn/A 60970-2023 tillsynsbegäran.docx", "A 60970-2023")</f>
        <v/>
      </c>
      <c r="Y46">
        <f>HYPERLINK("https://klasma.github.io/Logging_2513/tillsynsmail/A 60970-2023 tillsynsbegäran mail.docx", "A 60970-2023")</f>
        <v/>
      </c>
    </row>
    <row r="47" ht="15" customHeight="1">
      <c r="A47" t="inlineStr">
        <is>
          <t>A 22076-2024</t>
        </is>
      </c>
      <c r="B47" s="1" t="n">
        <v>45443</v>
      </c>
      <c r="C47" s="1" t="n">
        <v>45754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22076-2024 artfynd.xlsx", "A 22076-2024")</f>
        <v/>
      </c>
      <c r="T47">
        <f>HYPERLINK("https://klasma.github.io/Logging_2513/kartor/A 22076-2024 karta.png", "A 22076-2024")</f>
        <v/>
      </c>
      <c r="V47">
        <f>HYPERLINK("https://klasma.github.io/Logging_2513/klagomål/A 22076-2024 FSC-klagomål.docx", "A 22076-2024")</f>
        <v/>
      </c>
      <c r="W47">
        <f>HYPERLINK("https://klasma.github.io/Logging_2513/klagomålsmail/A 22076-2024 FSC-klagomål mail.docx", "A 22076-2024")</f>
        <v/>
      </c>
      <c r="X47">
        <f>HYPERLINK("https://klasma.github.io/Logging_2513/tillsyn/A 22076-2024 tillsynsbegäran.docx", "A 22076-2024")</f>
        <v/>
      </c>
      <c r="Y47">
        <f>HYPERLINK("https://klasma.github.io/Logging_2513/tillsynsmail/A 22076-2024 tillsynsbegäran mail.docx", "A 22076-2024")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45754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45754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45754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45754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37905-2024</t>
        </is>
      </c>
      <c r="B52" s="1" t="n">
        <v>45544</v>
      </c>
      <c r="C52" s="1" t="n">
        <v>45754</v>
      </c>
      <c r="D52" t="inlineStr">
        <is>
          <t>NORRBOTTENS LÄN</t>
        </is>
      </c>
      <c r="E52" t="inlineStr">
        <is>
          <t>ÖVERKALIX</t>
        </is>
      </c>
      <c r="G52" t="n">
        <v>25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37905-2024 artfynd.xlsx", "A 37905-2024")</f>
        <v/>
      </c>
      <c r="T52">
        <f>HYPERLINK("https://klasma.github.io/Logging_2513/kartor/A 37905-2024 karta.png", "A 37905-2024")</f>
        <v/>
      </c>
      <c r="V52">
        <f>HYPERLINK("https://klasma.github.io/Logging_2513/klagomål/A 37905-2024 FSC-klagomål.docx", "A 37905-2024")</f>
        <v/>
      </c>
      <c r="W52">
        <f>HYPERLINK("https://klasma.github.io/Logging_2513/klagomålsmail/A 37905-2024 FSC-klagomål mail.docx", "A 37905-2024")</f>
        <v/>
      </c>
      <c r="X52">
        <f>HYPERLINK("https://klasma.github.io/Logging_2513/tillsyn/A 37905-2024 tillsynsbegäran.docx", "A 37905-2024")</f>
        <v/>
      </c>
      <c r="Y52">
        <f>HYPERLINK("https://klasma.github.io/Logging_2513/tillsynsmail/A 37905-2024 tillsynsbegäran mail.docx", "A 37905-2024")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45754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45754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45754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45754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45754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45754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45754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45754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45754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45754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45754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45754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45754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45754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45754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45754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45754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45754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45754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45754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45754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45754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45754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45754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45754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45754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45754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45754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45754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45754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45754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45754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45754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45754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45754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45754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45754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45754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45754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45754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45754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45754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45754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45754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45754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45754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45754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45754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45754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45754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45754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45754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45754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45754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45754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45754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45754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45754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45754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45754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45754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45754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45754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45754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45754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45754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45754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45754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45754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45754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45754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45754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45754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45754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45754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45754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45754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45754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45754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45754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45754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45754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45754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45754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45754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45754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45754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45754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45754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45754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45754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45754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45754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45754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45754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45754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45754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45754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45754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45754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45754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45754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45754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45754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45754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45754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45754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45754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45754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45754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45754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45754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45754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45754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45754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45754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45754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45754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45754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45754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45754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45754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45754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45754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45754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45754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45754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45754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45754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45754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45754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45754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45754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45754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45754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45754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45754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45754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45754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45754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45754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45754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45754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45754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45754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45754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45754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45754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45754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45754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45754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45754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45754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45754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45754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45754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45754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45754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45754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45754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45754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45754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45754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45754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45754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45754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45754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45754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45754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45754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45754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45754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45754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45754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45754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45754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45754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45754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45754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45754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45754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45754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45754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45754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45754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45754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45754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45754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45754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45754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45754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45754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45754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45754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45754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45754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45754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45754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45754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45754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45754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45754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45754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45754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45754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45754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45754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45754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45754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45754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45754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45754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45754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45754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45754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45754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45754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45754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45754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45754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45754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45754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45754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45754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45754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45754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45754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45754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45754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45754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45754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45754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45754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45754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45754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45754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45754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45754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45754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45754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45754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45754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45754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45754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45754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45754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45754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45754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45754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45754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45754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45754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45754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45754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45754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45754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45754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45754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45754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45754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45754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45754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45754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45754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45754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45754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45754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45754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45754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45754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45754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45754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45754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45754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45754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45754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45754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45754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45754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45754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45754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45754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45754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45754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45754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45754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45754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45754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45754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45754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45754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45754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45754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45754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45754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45754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45754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45754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45754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45754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45754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45754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45754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45754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45754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45754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45754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45754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45754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45754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45754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45754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45754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45754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45754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45754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45754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45754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45754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45754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45754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45754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45754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45754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45754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45754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45754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45754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45754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45754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45754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45754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45754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45754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45754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45754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45754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45754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45754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45754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45754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45754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45754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45754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45754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45754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45754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45754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45754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45754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45754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45754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45754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45754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45754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45754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45754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45754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45754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45754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45754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45754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45754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45754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45754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45754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45754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45754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45754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45754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45754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45754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45754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45754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45754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45754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45754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45754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45754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45754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45754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45754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45754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45754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45754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45754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45754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45754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45754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45754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45754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45754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45754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45754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45754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45754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45754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45754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45754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45754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45754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45754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45754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45754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45754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45754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45754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45754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45754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45754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45754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45754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45754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45754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45754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45754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45754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45754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45754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45754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45754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45754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45754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45754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45754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45754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45754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45754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45754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45754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45754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45754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45754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45754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45754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45754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45754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45754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45754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45754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45754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45754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45754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45754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45754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45754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45754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45754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45754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45754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45754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45754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45754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45754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45754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45754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45754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45754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45754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45754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45754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45754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45754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45754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45754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45754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45754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45754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45754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45754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45754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45754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45754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45754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45754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45754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45754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45754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45754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45754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45754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45754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45754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45754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45754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45754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45754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45754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45754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45754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45754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45754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45754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45754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45754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45754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45754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45754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45754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45754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45754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45754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45754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45754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45754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45754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45754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45754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45754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45754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45754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45754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45754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45754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45754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45754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45754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45754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45754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45754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45754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45754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45754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45754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45754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45754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45754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45754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45754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45754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45754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45754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45754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45754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45754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45754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45754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45754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45754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45754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45754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45754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45754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45754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45754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45754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45754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45754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45754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45754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45754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45754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45754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45754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45754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45754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45754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45754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45754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45754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45754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45754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45754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45754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45754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45754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45754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45754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15493-2025</t>
        </is>
      </c>
      <c r="B621" s="1" t="n">
        <v>45747</v>
      </c>
      <c r="C621" s="1" t="n">
        <v>45754</v>
      </c>
      <c r="D621" t="inlineStr">
        <is>
          <t>NORRBOTTENS LÄN</t>
        </is>
      </c>
      <c r="E621" t="inlineStr">
        <is>
          <t>ÖVERKALIX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15365-2025</t>
        </is>
      </c>
      <c r="B622" s="1" t="n">
        <v>45747</v>
      </c>
      <c r="C622" s="1" t="n">
        <v>45754</v>
      </c>
      <c r="D622" t="inlineStr">
        <is>
          <t>NORRBOTTENS LÄN</t>
        </is>
      </c>
      <c r="E622" t="inlineStr">
        <is>
          <t>ÖVERKALIX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15491-2025</t>
        </is>
      </c>
      <c r="B623" s="1" t="n">
        <v>45747</v>
      </c>
      <c r="C623" s="1" t="n">
        <v>45754</v>
      </c>
      <c r="D623" t="inlineStr">
        <is>
          <t>NORRBOTTENS LÄN</t>
        </is>
      </c>
      <c r="E623" t="inlineStr">
        <is>
          <t>ÖVERKALIX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15718-2025</t>
        </is>
      </c>
      <c r="B624" s="1" t="n">
        <v>45748</v>
      </c>
      <c r="C624" s="1" t="n">
        <v>45754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2025-04-07T16:37:04Z</dcterms:created>
  <dcterms:modified xmlns:dcterms="http://purl.org/dc/terms/" xmlns:xsi="http://www.w3.org/2001/XMLSchema-instance" xsi:type="dcterms:W3CDTF">2025-04-07T16:37:04Z</dcterms:modified>
</cp:coreProperties>
</file>