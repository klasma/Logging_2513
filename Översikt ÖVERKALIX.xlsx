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46250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46250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46250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38</v>
      </c>
      <c r="U4" t="n">
        <v>38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46250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46250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25</v>
      </c>
      <c r="U6" t="n">
        <v>25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46250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1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11</v>
      </c>
      <c r="T7" t="n">
        <v>43</v>
      </c>
      <c r="U7" t="n">
        <v>43</v>
      </c>
      <c r="V7" s="2" t="inlineStr">
        <is>
          <t>Garnlav
Dropptaggsvamp
Kolflarnlav
Nordtagging
Orange taggsvamp
Skarp dropptaggsvamp
Tallriska
Talltagel
Vaddporing
Nästlav
Plattlummer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46250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46250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15</v>
      </c>
      <c r="U9" t="n">
        <v>15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46250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46250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46250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46250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46250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46250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46250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46250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46250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46250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46250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46250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46250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46250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46250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46250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46250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30525-2025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45831</v>
      </c>
      <c r="E27" s="1" t="n">
        <v>46250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5.3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Gammelgransskål
Bollvitmossa
Järpe</t>
        </is>
      </c>
      <c r="W27">
        <f>HYPERLINK("https://klasma.github.io/Logging_2513/artfynd/A 30525-2025 artfynd.xlsx", "A 30525-2025")</f>
        <v/>
      </c>
      <c r="X27">
        <f>HYPERLINK("https://klasma.github.io/Logging_2513/kartor/A 30525-2025 karta.png", "A 30525-2025")</f>
        <v/>
      </c>
      <c r="Y27">
        <f>HYPERLINK("https://klasma.github.io/Logging_2513/kartor_geotiff/A 30525-2025 georefererad karta.tif", "A 30525-2025")</f>
        <v/>
      </c>
      <c r="AA27">
        <f>HYPERLINK("https://klasma.github.io/Logging_2513/klagomål/A 30525-2025 FSC-klagomål.docx", "A 30525-2025")</f>
        <v/>
      </c>
      <c r="AB27">
        <f>HYPERLINK("https://klasma.github.io/Logging_2513/klagomålsmail/A 30525-2025 FSC-klagomål mail.docx", "A 30525-2025")</f>
        <v/>
      </c>
      <c r="AC27">
        <f>HYPERLINK("https://klasma.github.io/Logging_2513/tillsyn/A 30525-2025 tillsynsbegäran.docx", "A 30525-2025")</f>
        <v/>
      </c>
      <c r="AD27">
        <f>HYPERLINK("https://klasma.github.io/Logging_2513/tillsynsmail/A 30525-2025 tillsynsbegäran mail.docx", "A 30525-2025")</f>
        <v/>
      </c>
      <c r="AE27">
        <f>HYPERLINK("https://klasma.github.io/Logging_2513/fåglar/A 30525-2025 prioriterade fågelarter.docx", "A 30525-2025")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46250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46250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40116-2025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45894</v>
      </c>
      <c r="E30" s="1" t="n">
        <v>46250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29.7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5</v>
      </c>
      <c r="U30" t="n">
        <v>3</v>
      </c>
      <c r="V30" s="2" t="inlineStr">
        <is>
          <t>Lunglav
Skrovellav</t>
        </is>
      </c>
      <c r="W30">
        <f>HYPERLINK("https://klasma.github.io/Logging_2513/artfynd/A 40116-2025 artfynd.xlsx", "A 40116-2025")</f>
        <v/>
      </c>
      <c r="X30">
        <f>HYPERLINK("https://klasma.github.io/Logging_2513/kartor/A 40116-2025 karta.png", "A 40116-2025")</f>
        <v/>
      </c>
      <c r="Y30">
        <f>HYPERLINK("https://klasma.github.io/Logging_2513/kartor_geotiff/A 40116-2025 georefererad karta.tif", "A 40116-2025")</f>
        <v/>
      </c>
      <c r="AA30">
        <f>HYPERLINK("https://klasma.github.io/Logging_2513/klagomål/A 40116-2025 FSC-klagomål.docx", "A 40116-2025")</f>
        <v/>
      </c>
      <c r="AB30">
        <f>HYPERLINK("https://klasma.github.io/Logging_2513/klagomålsmail/A 40116-2025 FSC-klagomål mail.docx", "A 40116-2025")</f>
        <v/>
      </c>
      <c r="AC30">
        <f>HYPERLINK("https://klasma.github.io/Logging_2513/tillsyn/A 40116-2025 tillsynsbegäran.docx", "A 40116-2025")</f>
        <v/>
      </c>
      <c r="AD30">
        <f>HYPERLINK("https://klasma.github.io/Logging_2513/tillsynsmail/A 40116-2025 tillsynsbegäran mail.docx", "A 40116-2025")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46250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46250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46250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Kungsfågel
Vanlig padda</t>
        </is>
      </c>
      <c r="W33">
        <f>HYPERLINK("https://klasma.github.io/Logging_2513/artfynd/A 42285-2025 artfynd.xlsx", "A 42285-2025")</f>
        <v/>
      </c>
      <c r="X33">
        <f>HYPERLINK("https://klasma.github.io/Logging_2513/kartor/A 42285-2025 karta.png", "A 42285-2025")</f>
        <v/>
      </c>
      <c r="Y33">
        <f>HYPERLINK("https://klasma.github.io/Logging_2513/kartor_geotiff/A 42285-2025 georefererad karta.tif", "A 42285-2025")</f>
        <v/>
      </c>
      <c r="AA33">
        <f>HYPERLINK("https://klasma.github.io/Logging_2513/klagomål/A 42285-2025 FSC-klagomål.docx", "A 42285-2025")</f>
        <v/>
      </c>
      <c r="AB33">
        <f>HYPERLINK("https://klasma.github.io/Logging_2513/klagomålsmail/A 42285-2025 FSC-klagomål mail.docx", "A 42285-2025")</f>
        <v/>
      </c>
      <c r="AC33">
        <f>HYPERLINK("https://klasma.github.io/Logging_2513/tillsyn/A 42285-2025 tillsynsbegäran.docx", "A 42285-2025")</f>
        <v/>
      </c>
      <c r="AD33">
        <f>HYPERLINK("https://klasma.github.io/Logging_2513/tillsynsmail/A 42285-2025 tillsynsbegäran mail.docx", "A 42285-2025")</f>
        <v/>
      </c>
    </row>
    <row r="34" ht="15" customHeight="1">
      <c r="A34" t="inlineStr">
        <is>
          <t>A 14152-2026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46099</v>
      </c>
      <c r="E34" s="1" t="n">
        <v>46250</v>
      </c>
      <c r="F34" t="inlineStr">
        <is>
          <t>NORRBOTTENS LÄN</t>
        </is>
      </c>
      <c r="G34" t="inlineStr">
        <is>
          <t>ÖVERKALIX</t>
        </is>
      </c>
      <c r="I34" t="n">
        <v>4.6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Källpraktmossa
Spädstarr</t>
        </is>
      </c>
      <c r="W34">
        <f>HYPERLINK("https://klasma.github.io/Logging_2513/artfynd/A 14152-2026 artfynd.xlsx", "A 14152-2026")</f>
        <v/>
      </c>
      <c r="X34">
        <f>HYPERLINK("https://klasma.github.io/Logging_2513/kartor/A 14152-2026 karta.png", "A 14152-2026")</f>
        <v/>
      </c>
      <c r="Y34">
        <f>HYPERLINK("https://klasma.github.io/Logging_2513/kartor_geotiff/A 14152-2026 georefererad karta.tif", "A 14152-2026")</f>
        <v/>
      </c>
      <c r="AA34">
        <f>HYPERLINK("https://klasma.github.io/Logging_2513/klagomål/A 14152-2026 FSC-klagomål.docx", "A 14152-2026")</f>
        <v/>
      </c>
      <c r="AB34">
        <f>HYPERLINK("https://klasma.github.io/Logging_2513/klagomålsmail/A 14152-2026 FSC-klagomål mail.docx", "A 14152-2026")</f>
        <v/>
      </c>
      <c r="AC34">
        <f>HYPERLINK("https://klasma.github.io/Logging_2513/tillsyn/A 14152-2026 tillsynsbegäran.docx", "A 14152-2026")</f>
        <v/>
      </c>
      <c r="AD34">
        <f>HYPERLINK("https://klasma.github.io/Logging_2513/tillsynsmail/A 14152-2026 tillsynsbegäran mail.docx", "A 14152-2026")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46250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50691-2024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46250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4.2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Vedticka</t>
        </is>
      </c>
      <c r="W36">
        <f>HYPERLINK("https://klasma.github.io/Logging_2513/artfynd/A 50691-2024 artfynd.xlsx", "A 50691-2024")</f>
        <v/>
      </c>
      <c r="X36">
        <f>HYPERLINK("https://klasma.github.io/Logging_2513/kartor/A 50691-2024 karta.png", "A 50691-2024")</f>
        <v/>
      </c>
      <c r="Y36">
        <f>HYPERLINK("https://klasma.github.io/Logging_2513/kartor_geotiff/A 50691-2024 georefererad karta.tif", "A 50691-2024")</f>
        <v/>
      </c>
      <c r="AA36">
        <f>HYPERLINK("https://klasma.github.io/Logging_2513/klagomål/A 50691-2024 FSC-klagomål.docx", "A 50691-2024")</f>
        <v/>
      </c>
      <c r="AB36">
        <f>HYPERLINK("https://klasma.github.io/Logging_2513/klagomålsmail/A 50691-2024 FSC-klagomål mail.docx", "A 50691-2024")</f>
        <v/>
      </c>
      <c r="AC36">
        <f>HYPERLINK("https://klasma.github.io/Logging_2513/tillsyn/A 50691-2024 tillsynsbegäran.docx", "A 50691-2024")</f>
        <v/>
      </c>
      <c r="AD36">
        <f>HYPERLINK("https://klasma.github.io/Logging_2513/tillsynsmail/A 50691-2024 tillsynsbegäran mail.docx", "A 50691-2024")</f>
        <v/>
      </c>
    </row>
    <row r="37" ht="15" customHeight="1">
      <c r="A37" t="inlineStr">
        <is>
          <t>A 62951-2025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46250</v>
      </c>
      <c r="F37" t="inlineStr">
        <is>
          <t>NORRBOTTENS LÄN</t>
        </is>
      </c>
      <c r="G37" t="inlineStr">
        <is>
          <t>ÖVERKALIX</t>
        </is>
      </c>
      <c r="H37" t="inlineStr">
        <is>
          <t>SCA</t>
        </is>
      </c>
      <c r="I37" t="n">
        <v>4.2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Ullticka</t>
        </is>
      </c>
      <c r="W37">
        <f>HYPERLINK("https://klasma.github.io/Logging_2513/artfynd/A 62951-2025 artfynd.xlsx", "A 62951-2025")</f>
        <v/>
      </c>
      <c r="X37">
        <f>HYPERLINK("https://klasma.github.io/Logging_2513/kartor/A 62951-2025 karta.png", "A 62951-2025")</f>
        <v/>
      </c>
      <c r="Y37">
        <f>HYPERLINK("https://klasma.github.io/Logging_2513/kartor_geotiff/A 62951-2025 georefererad karta.tif", "A 62951-2025")</f>
        <v/>
      </c>
      <c r="AA37">
        <f>HYPERLINK("https://klasma.github.io/Logging_2513/klagomål/A 62951-2025 FSC-klagomål.docx", "A 62951-2025")</f>
        <v/>
      </c>
      <c r="AB37">
        <f>HYPERLINK("https://klasma.github.io/Logging_2513/klagomålsmail/A 62951-2025 FSC-klagomål mail.docx", "A 62951-2025")</f>
        <v/>
      </c>
      <c r="AC37">
        <f>HYPERLINK("https://klasma.github.io/Logging_2513/tillsyn/A 62951-2025 tillsynsbegäran.docx", "A 62951-2025")</f>
        <v/>
      </c>
      <c r="AD37">
        <f>HYPERLINK("https://klasma.github.io/Logging_2513/tillsynsmail/A 62951-2025 tillsynsbegäran mail.docx", "A 62951-2025")</f>
        <v/>
      </c>
    </row>
    <row r="38" ht="15" customHeight="1">
      <c r="A38" t="inlineStr">
        <is>
          <t>A 40706-2023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45170</v>
      </c>
      <c r="E38" s="1" t="n">
        <v>46250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7.1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HYPERLINK("https://klasma.github.io/Logging_2513/artfynd/A 40706-2023 artfynd.xlsx", "A 40706-2023")</f>
        <v/>
      </c>
      <c r="X38">
        <f>HYPERLINK("https://klasma.github.io/Logging_2513/kartor/A 40706-2023 karta.png", "A 40706-2023")</f>
        <v/>
      </c>
      <c r="Y38">
        <f>HYPERLINK("https://klasma.github.io/Logging_2513/kartor_geotiff/A 40706-2023 georefererad karta.tif", "A 40706-2023")</f>
        <v/>
      </c>
      <c r="Z38">
        <f>HYPERLINK("https://klasma.github.io/Logging_2513/knärot/A 40706-2023 karta knärot.png", "A 40706-2023")</f>
        <v/>
      </c>
      <c r="AA38">
        <f>HYPERLINK("https://klasma.github.io/Logging_2513/klagomål/A 40706-2023 FSC-klagomål.docx", "A 40706-2023")</f>
        <v/>
      </c>
      <c r="AB38">
        <f>HYPERLINK("https://klasma.github.io/Logging_2513/klagomålsmail/A 40706-2023 FSC-klagomål mail.docx", "A 40706-2023")</f>
        <v/>
      </c>
      <c r="AC38">
        <f>HYPERLINK("https://klasma.github.io/Logging_2513/tillsyn/A 40706-2023 tillsynsbegäran.docx", "A 40706-2023")</f>
        <v/>
      </c>
      <c r="AD38">
        <f>HYPERLINK("https://klasma.github.io/Logging_2513/tillsynsmail/A 40706-2023 tillsynsbegäran mail.docx", "A 40706-2023")</f>
        <v/>
      </c>
    </row>
    <row r="39" ht="15" customHeight="1">
      <c r="A39" t="inlineStr">
        <is>
          <t>A 47680-2024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46250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Blå taggsvamp
Skarp dropptaggsvamp</t>
        </is>
      </c>
      <c r="W39">
        <f>HYPERLINK("https://klasma.github.io/Logging_2513/artfynd/A 47680-2024 artfynd.xlsx", "A 47680-2024")</f>
        <v/>
      </c>
      <c r="X39">
        <f>HYPERLINK("https://klasma.github.io/Logging_2513/kartor/A 47680-2024 karta.png", "A 47680-2024")</f>
        <v/>
      </c>
      <c r="Y39">
        <f>HYPERLINK("https://klasma.github.io/Logging_2513/kartor_geotiff/A 47680-2024 georefererad karta.tif", "A 47680-2024")</f>
        <v/>
      </c>
      <c r="AA39">
        <f>HYPERLINK("https://klasma.github.io/Logging_2513/klagomål/A 47680-2024 FSC-klagomål.docx", "A 47680-2024")</f>
        <v/>
      </c>
      <c r="AB39">
        <f>HYPERLINK("https://klasma.github.io/Logging_2513/klagomålsmail/A 47680-2024 FSC-klagomål mail.docx", "A 47680-2024")</f>
        <v/>
      </c>
      <c r="AC39">
        <f>HYPERLINK("https://klasma.github.io/Logging_2513/tillsyn/A 47680-2024 tillsynsbegäran.docx", "A 47680-2024")</f>
        <v/>
      </c>
      <c r="AD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44496</v>
      </c>
      <c r="E40" s="1" t="n">
        <v>46250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13.5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Stor aspticka
Vedticka</t>
        </is>
      </c>
      <c r="W40">
        <f>HYPERLINK("https://klasma.github.io/Logging_2513/artfynd/A 60509-2021 artfynd.xlsx", "A 60509-2021")</f>
        <v/>
      </c>
      <c r="X40">
        <f>HYPERLINK("https://klasma.github.io/Logging_2513/kartor/A 60509-2021 karta.png", "A 60509-2021")</f>
        <v/>
      </c>
      <c r="Y40">
        <f>HYPERLINK("https://klasma.github.io/Logging_2513/kartor_geotiff/A 60509-2021 georefererad karta.tif", "A 60509-2021")</f>
        <v/>
      </c>
      <c r="AA40">
        <f>HYPERLINK("https://klasma.github.io/Logging_2513/klagomål/A 60509-2021 FSC-klagomål.docx", "A 60509-2021")</f>
        <v/>
      </c>
      <c r="AB40">
        <f>HYPERLINK("https://klasma.github.io/Logging_2513/klagomålsmail/A 60509-2021 FSC-klagomål mail.docx", "A 60509-2021")</f>
        <v/>
      </c>
      <c r="AC40">
        <f>HYPERLINK("https://klasma.github.io/Logging_2513/tillsyn/A 60509-2021 tillsynsbegäran.docx", "A 60509-2021")</f>
        <v/>
      </c>
      <c r="AD40">
        <f>HYPERLINK("https://klasma.github.io/Logging_2513/tillsynsmail/A 60509-2021 tillsynsbegäran mail.docx", "A 60509-2021")</f>
        <v/>
      </c>
    </row>
    <row r="41" ht="15" customHeight="1">
      <c r="A41" t="inlineStr">
        <is>
          <t>A 26452-2025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45807</v>
      </c>
      <c r="E41" s="1" t="n">
        <v>46250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1.2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Gammelgransskål
Stor aspticka</t>
        </is>
      </c>
      <c r="W41">
        <f>HYPERLINK("https://klasma.github.io/Logging_2513/artfynd/A 26452-2025 artfynd.xlsx", "A 26452-2025")</f>
        <v/>
      </c>
      <c r="X41">
        <f>HYPERLINK("https://klasma.github.io/Logging_2513/kartor/A 26452-2025 karta.png", "A 26452-2025")</f>
        <v/>
      </c>
      <c r="Y41">
        <f>HYPERLINK("https://klasma.github.io/Logging_2513/kartor_geotiff/A 26452-2025 georefererad karta.tif", "A 26452-2025")</f>
        <v/>
      </c>
      <c r="AA41">
        <f>HYPERLINK("https://klasma.github.io/Logging_2513/klagomål/A 26452-2025 FSC-klagomål.docx", "A 26452-2025")</f>
        <v/>
      </c>
      <c r="AB41">
        <f>HYPERLINK("https://klasma.github.io/Logging_2513/klagomålsmail/A 26452-2025 FSC-klagomål mail.docx", "A 26452-2025")</f>
        <v/>
      </c>
      <c r="AC41">
        <f>HYPERLINK("https://klasma.github.io/Logging_2513/tillsyn/A 26452-2025 tillsynsbegäran.docx", "A 26452-2025")</f>
        <v/>
      </c>
      <c r="AD41">
        <f>HYPERLINK("https://klasma.github.io/Logging_2513/tillsynsmail/A 26452-2025 tillsynsbegäran mail.docx", "A 26452-2025")</f>
        <v/>
      </c>
    </row>
    <row r="42" ht="15" customHeight="1">
      <c r="A42" t="inlineStr">
        <is>
          <t>A 36803-2023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45154</v>
      </c>
      <c r="E42" s="1" t="n">
        <v>46250</v>
      </c>
      <c r="F42" t="inlineStr">
        <is>
          <t>NORRBOTTENS LÄN</t>
        </is>
      </c>
      <c r="G42" t="inlineStr">
        <is>
          <t>ÖVERKALIX</t>
        </is>
      </c>
      <c r="I42" t="n">
        <v>3.1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6</v>
      </c>
      <c r="U42" t="n">
        <v>6</v>
      </c>
      <c r="V42" s="2" t="inlineStr">
        <is>
          <t>Knärot
Revlummer</t>
        </is>
      </c>
      <c r="W42">
        <f>HYPERLINK("https://klasma.github.io/Logging_2513/artfynd/A 36803-2023 artfynd.xlsx", "A 36803-2023")</f>
        <v/>
      </c>
      <c r="X42">
        <f>HYPERLINK("https://klasma.github.io/Logging_2513/kartor/A 36803-2023 karta.png", "A 36803-2023")</f>
        <v/>
      </c>
      <c r="Y42">
        <f>HYPERLINK("https://klasma.github.io/Logging_2513/kartor_geotiff/A 36803-2023 georefererad karta.tif", "A 36803-2023")</f>
        <v/>
      </c>
      <c r="Z42">
        <f>HYPERLINK("https://klasma.github.io/Logging_2513/knärot/A 36803-2023 karta knärot.png", "A 36803-2023")</f>
        <v/>
      </c>
      <c r="AA42">
        <f>HYPERLINK("https://klasma.github.io/Logging_2513/klagomål/A 36803-2023 FSC-klagomål.docx", "A 36803-2023")</f>
        <v/>
      </c>
      <c r="AB42">
        <f>HYPERLINK("https://klasma.github.io/Logging_2513/klagomålsmail/A 36803-2023 FSC-klagomål mail.docx", "A 36803-2023")</f>
        <v/>
      </c>
      <c r="AC42">
        <f>HYPERLINK("https://klasma.github.io/Logging_2513/tillsyn/A 36803-2023 tillsynsbegäran.docx", "A 36803-2023")</f>
        <v/>
      </c>
      <c r="AD42">
        <f>HYPERLINK("https://klasma.github.io/Logging_2513/tillsynsmail/A 36803-2023 tillsynsbegäran mail.docx", "A 36803-2023")</f>
        <v/>
      </c>
    </row>
    <row r="43" ht="15" customHeight="1">
      <c r="A43" t="inlineStr">
        <is>
          <t>A 31704-2026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46226</v>
      </c>
      <c r="E43" s="1" t="n">
        <v>46250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Blå taggsvamp
Skarp dropptaggsvamp</t>
        </is>
      </c>
      <c r="W43">
        <f>HYPERLINK("https://klasma.github.io/Logging_2513/artfynd/A 31704-2026 artfynd.xlsx", "A 31704-2026")</f>
        <v/>
      </c>
      <c r="X43">
        <f>HYPERLINK("https://klasma.github.io/Logging_2513/kartor/A 31704-2026 karta.png", "A 31704-2026")</f>
        <v/>
      </c>
      <c r="Y43">
        <f>HYPERLINK("https://klasma.github.io/Logging_2513/kartor_geotiff/A 31704-2026 georefererad karta.tif", "A 31704-2026")</f>
        <v/>
      </c>
      <c r="AA43">
        <f>HYPERLINK("https://klasma.github.io/Logging_2513/klagomål/A 31704-2026 FSC-klagomål.docx", "A 31704-2026")</f>
        <v/>
      </c>
      <c r="AB43">
        <f>HYPERLINK("https://klasma.github.io/Logging_2513/klagomålsmail/A 31704-2026 FSC-klagomål mail.docx", "A 31704-2026")</f>
        <v/>
      </c>
      <c r="AC43">
        <f>HYPERLINK("https://klasma.github.io/Logging_2513/tillsyn/A 31704-2026 tillsynsbegäran.docx", "A 31704-2026")</f>
        <v/>
      </c>
      <c r="AD43">
        <f>HYPERLINK("https://klasma.github.io/Logging_2513/tillsynsmail/A 31704-2026 tillsynsbegäran mail.docx", "A 31704-2026")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46250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34921-2025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46250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16.4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Gammelgransskål
Lunglav</t>
        </is>
      </c>
      <c r="W45">
        <f>HYPERLINK("https://klasma.github.io/Logging_2513/artfynd/A 34921-2025 artfynd.xlsx", "A 34921-2025")</f>
        <v/>
      </c>
      <c r="X45">
        <f>HYPERLINK("https://klasma.github.io/Logging_2513/kartor/A 34921-2025 karta.png", "A 34921-2025")</f>
        <v/>
      </c>
      <c r="Y45">
        <f>HYPERLINK("https://klasma.github.io/Logging_2513/kartor_geotiff/A 34921-2025 georefererad karta.tif", "A 34921-2025")</f>
        <v/>
      </c>
      <c r="AA45">
        <f>HYPERLINK("https://klasma.github.io/Logging_2513/klagomål/A 34921-2025 FSC-klagomål.docx", "A 34921-2025")</f>
        <v/>
      </c>
      <c r="AB45">
        <f>HYPERLINK("https://klasma.github.io/Logging_2513/klagomålsmail/A 34921-2025 FSC-klagomål mail.docx", "A 34921-2025")</f>
        <v/>
      </c>
      <c r="AC45">
        <f>HYPERLINK("https://klasma.github.io/Logging_2513/tillsyn/A 34921-2025 tillsynsbegäran.docx", "A 34921-2025")</f>
        <v/>
      </c>
      <c r="AD45">
        <f>HYPERLINK("https://klasma.github.io/Logging_2513/tillsynsmail/A 34921-2025 tillsynsbegäran mail.docx", "A 34921-2025")</f>
        <v/>
      </c>
    </row>
    <row r="46" ht="15" customHeight="1">
      <c r="A46" t="inlineStr">
        <is>
          <t>A 28929-2026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46250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3.9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5</v>
      </c>
      <c r="U46" t="n">
        <v>5</v>
      </c>
      <c r="V46" s="2" t="inlineStr">
        <is>
          <t>Knärot
Fläcknycklar</t>
        </is>
      </c>
      <c r="W46">
        <f>HYPERLINK("https://klasma.github.io/Logging_2513/artfynd/A 28929-2026 artfynd.xlsx", "A 28929-2026")</f>
        <v/>
      </c>
      <c r="X46">
        <f>HYPERLINK("https://klasma.github.io/Logging_2513/kartor/A 28929-2026 karta.png", "A 28929-2026")</f>
        <v/>
      </c>
      <c r="Y46">
        <f>HYPERLINK("https://klasma.github.io/Logging_2513/kartor_geotiff/A 28929-2026 georefererad karta.tif", "A 28929-2026")</f>
        <v/>
      </c>
      <c r="Z46">
        <f>HYPERLINK("https://klasma.github.io/Logging_2513/knärot/A 28929-2026 karta knärot.png", "A 28929-2026")</f>
        <v/>
      </c>
      <c r="AA46">
        <f>HYPERLINK("https://klasma.github.io/Logging_2513/klagomål/A 28929-2026 FSC-klagomål.docx", "A 28929-2026")</f>
        <v/>
      </c>
      <c r="AB46">
        <f>HYPERLINK("https://klasma.github.io/Logging_2513/klagomålsmail/A 28929-2026 FSC-klagomål mail.docx", "A 28929-2026")</f>
        <v/>
      </c>
      <c r="AC46">
        <f>HYPERLINK("https://klasma.github.io/Logging_2513/tillsyn/A 28929-2026 tillsynsbegäran.docx", "A 28929-2026")</f>
        <v/>
      </c>
      <c r="AD46">
        <f>HYPERLINK("https://klasma.github.io/Logging_2513/tillsynsmail/A 28929-2026 tillsynsbegäran mail.docx", "A 28929-2026")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46250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46250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21777-2024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45442</v>
      </c>
      <c r="E49" s="1" t="n">
        <v>46250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30.5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HYPERLINK("https://klasma.github.io/Logging_2513/artfynd/A 21777-2024 artfynd.xlsx", "A 21777-2024")</f>
        <v/>
      </c>
      <c r="X49">
        <f>HYPERLINK("https://klasma.github.io/Logging_2513/kartor/A 21777-2024 karta.png", "A 21777-2024")</f>
        <v/>
      </c>
      <c r="Y49">
        <f>HYPERLINK("https://klasma.github.io/Logging_2513/kartor_geotiff/A 21777-2024 georefererad karta.tif", "A 21777-2024")</f>
        <v/>
      </c>
      <c r="AA49">
        <f>HYPERLINK("https://klasma.github.io/Logging_2513/klagomål/A 21777-2024 FSC-klagomål.docx", "A 21777-2024")</f>
        <v/>
      </c>
      <c r="AB49">
        <f>HYPERLINK("https://klasma.github.io/Logging_2513/klagomålsmail/A 21777-2024 FSC-klagomål mail.docx", "A 21777-2024")</f>
        <v/>
      </c>
      <c r="AC49">
        <f>HYPERLINK("https://klasma.github.io/Logging_2513/tillsyn/A 21777-2024 tillsynsbegäran.docx", "A 21777-2024")</f>
        <v/>
      </c>
      <c r="AD49">
        <f>HYPERLINK("https://klasma.github.io/Logging_2513/tillsynsmail/A 21777-2024 tillsynsbegäran mail.docx", "A 21777-2024")</f>
        <v/>
      </c>
    </row>
    <row r="50" ht="15" customHeight="1">
      <c r="A50" t="inlineStr">
        <is>
          <t>A 8407-2025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45709</v>
      </c>
      <c r="E50" s="1" t="n">
        <v>46250</v>
      </c>
      <c r="F50" t="inlineStr">
        <is>
          <t>NORRBOTTENS LÄN</t>
        </is>
      </c>
      <c r="G50" t="inlineStr">
        <is>
          <t>ÖVERKALIX</t>
        </is>
      </c>
      <c r="I50" t="n">
        <v>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Tallbit</t>
        </is>
      </c>
      <c r="W50">
        <f>HYPERLINK("https://klasma.github.io/Logging_2513/artfynd/A 8407-2025 artfynd.xlsx", "A 8407-2025")</f>
        <v/>
      </c>
      <c r="X50">
        <f>HYPERLINK("https://klasma.github.io/Logging_2513/kartor/A 8407-2025 karta.png", "A 8407-2025")</f>
        <v/>
      </c>
      <c r="Y50">
        <f>HYPERLINK("https://klasma.github.io/Logging_2513/kartor_geotiff/A 8407-2025 georefererad karta.tif", "A 8407-2025")</f>
        <v/>
      </c>
      <c r="AA50">
        <f>HYPERLINK("https://klasma.github.io/Logging_2513/klagomål/A 8407-2025 FSC-klagomål.docx", "A 8407-2025")</f>
        <v/>
      </c>
      <c r="AB50">
        <f>HYPERLINK("https://klasma.github.io/Logging_2513/klagomålsmail/A 8407-2025 FSC-klagomål mail.docx", "A 8407-2025")</f>
        <v/>
      </c>
      <c r="AC50">
        <f>HYPERLINK("https://klasma.github.io/Logging_2513/tillsyn/A 8407-2025 tillsynsbegäran.docx", "A 8407-2025")</f>
        <v/>
      </c>
      <c r="AD50">
        <f>HYPERLINK("https://klasma.github.io/Logging_2513/tillsynsmail/A 8407-2025 tillsynsbegäran mail.docx", "A 8407-2025")</f>
        <v/>
      </c>
      <c r="AE50">
        <f>HYPERLINK("https://klasma.github.io/Logging_2513/fåglar/A 8407-2025 prioriterade fågelarter.docx", "A 8407-2025")</f>
        <v/>
      </c>
    </row>
    <row r="51" ht="15" customHeight="1">
      <c r="A51" t="inlineStr">
        <is>
          <t>A 7234-2023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44970</v>
      </c>
      <c r="E51" s="1" t="n">
        <v>46250</v>
      </c>
      <c r="F51" t="inlineStr">
        <is>
          <t>NORRBOTTENS LÄN</t>
        </is>
      </c>
      <c r="G51" t="inlineStr">
        <is>
          <t>ÖVERKALIX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HYPERLINK("https://klasma.github.io/Logging_2513/artfynd/A 7234-2023 artfynd.xlsx", "A 7234-2023")</f>
        <v/>
      </c>
      <c r="X51">
        <f>HYPERLINK("https://klasma.github.io/Logging_2513/kartor/A 7234-2023 karta.png", "A 7234-2023")</f>
        <v/>
      </c>
      <c r="Y51">
        <f>HYPERLINK("https://klasma.github.io/Logging_2513/kartor_geotiff/A 7234-2023 georefererad karta.tif", "A 7234-2023")</f>
        <v/>
      </c>
      <c r="AA51">
        <f>HYPERLINK("https://klasma.github.io/Logging_2513/klagomål/A 7234-2023 FSC-klagomål.docx", "A 7234-2023")</f>
        <v/>
      </c>
      <c r="AB51">
        <f>HYPERLINK("https://klasma.github.io/Logging_2513/klagomålsmail/A 7234-2023 FSC-klagomål mail.docx", "A 7234-2023")</f>
        <v/>
      </c>
      <c r="AC51">
        <f>HYPERLINK("https://klasma.github.io/Logging_2513/tillsyn/A 7234-2023 tillsynsbegäran.docx", "A 7234-2023")</f>
        <v/>
      </c>
      <c r="AD51">
        <f>HYPERLINK("https://klasma.github.io/Logging_2513/tillsynsmail/A 7234-2023 tillsynsbegäran mail.docx", "A 7234-2023")</f>
        <v/>
      </c>
      <c r="AE51">
        <f>HYPERLINK("https://klasma.github.io/Logging_2513/fåglar/A 7234-2023 prioriterade fågelarter.docx", "A 7234-2023")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46250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46280-2024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46250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HYPERLINK("https://klasma.github.io/Logging_2513/artfynd/A 46280-2024 artfynd.xlsx", "A 46280-2024")</f>
        <v/>
      </c>
      <c r="X53">
        <f>HYPERLINK("https://klasma.github.io/Logging_2513/kartor/A 46280-2024 karta.png", "A 46280-2024")</f>
        <v/>
      </c>
      <c r="Y53">
        <f>HYPERLINK("https://klasma.github.io/Logging_2513/kartor_geotiff/A 46280-2024 georefererad karta.tif", "A 46280-2024")</f>
        <v/>
      </c>
      <c r="AA53">
        <f>HYPERLINK("https://klasma.github.io/Logging_2513/klagomål/A 46280-2024 FSC-klagomål.docx", "A 46280-2024")</f>
        <v/>
      </c>
      <c r="AB53">
        <f>HYPERLINK("https://klasma.github.io/Logging_2513/klagomålsmail/A 46280-2024 FSC-klagomål mail.docx", "A 46280-2024")</f>
        <v/>
      </c>
      <c r="AC53">
        <f>HYPERLINK("https://klasma.github.io/Logging_2513/tillsyn/A 46280-2024 tillsynsbegäran.docx", "A 46280-2024")</f>
        <v/>
      </c>
      <c r="AD53">
        <f>HYPERLINK("https://klasma.github.io/Logging_2513/tillsynsmail/A 46280-2024 tillsynsbegäran mail.docx", "A 46280-2024")</f>
        <v/>
      </c>
      <c r="AE53">
        <f>HYPERLINK("https://klasma.github.io/Logging_2513/fåglar/A 46280-2024 prioriterade fågelarter.docx", "A 46280-2024")</f>
        <v/>
      </c>
    </row>
    <row r="54" ht="15" customHeight="1">
      <c r="A54" t="inlineStr">
        <is>
          <t>A 46281-2024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46250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46281-2024 artfynd.xlsx", "A 46281-2024")</f>
        <v/>
      </c>
      <c r="X54">
        <f>HYPERLINK("https://klasma.github.io/Logging_2513/kartor/A 46281-2024 karta.png", "A 46281-2024")</f>
        <v/>
      </c>
      <c r="Y54">
        <f>HYPERLINK("https://klasma.github.io/Logging_2513/kartor_geotiff/A 46281-2024 georefererad karta.tif", "A 46281-2024")</f>
        <v/>
      </c>
      <c r="AA54">
        <f>HYPERLINK("https://klasma.github.io/Logging_2513/klagomål/A 46281-2024 FSC-klagomål.docx", "A 46281-2024")</f>
        <v/>
      </c>
      <c r="AB54">
        <f>HYPERLINK("https://klasma.github.io/Logging_2513/klagomålsmail/A 46281-2024 FSC-klagomål mail.docx", "A 46281-2024")</f>
        <v/>
      </c>
      <c r="AC54">
        <f>HYPERLINK("https://klasma.github.io/Logging_2513/tillsyn/A 46281-2024 tillsynsbegäran.docx", "A 46281-2024")</f>
        <v/>
      </c>
      <c r="AD54">
        <f>HYPERLINK("https://klasma.github.io/Logging_2513/tillsynsmail/A 46281-2024 tillsynsbegäran mail.docx", "A 46281-2024")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46250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37532-2022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46250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 taggsvamp</t>
        </is>
      </c>
      <c r="W56">
        <f>HYPERLINK("https://klasma.github.io/Logging_2513/artfynd/A 37532-2022 artfynd.xlsx", "A 37532-2022")</f>
        <v/>
      </c>
      <c r="X56">
        <f>HYPERLINK("https://klasma.github.io/Logging_2513/kartor/A 37532-2022 karta.png", "A 37532-2022")</f>
        <v/>
      </c>
      <c r="Y56">
        <f>HYPERLINK("https://klasma.github.io/Logging_2513/kartor_geotiff/A 37532-2022 georefererad karta.tif", "A 37532-2022")</f>
        <v/>
      </c>
      <c r="AA56">
        <f>HYPERLINK("https://klasma.github.io/Logging_2513/klagomål/A 37532-2022 FSC-klagomål.docx", "A 37532-2022")</f>
        <v/>
      </c>
      <c r="AB56">
        <f>HYPERLINK("https://klasma.github.io/Logging_2513/klagomålsmail/A 37532-2022 FSC-klagomål mail.docx", "A 37532-2022")</f>
        <v/>
      </c>
      <c r="AC56">
        <f>HYPERLINK("https://klasma.github.io/Logging_2513/tillsyn/A 37532-2022 tillsynsbegäran.docx", "A 37532-2022")</f>
        <v/>
      </c>
      <c r="AD56">
        <f>HYPERLINK("https://klasma.github.io/Logging_2513/tillsynsmail/A 37532-2022 tillsynsbegäran mail.docx", "A 37532-2022")</f>
        <v/>
      </c>
    </row>
    <row r="57" ht="15" customHeight="1">
      <c r="A57" t="inlineStr">
        <is>
          <t>A 20949-2026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46142</v>
      </c>
      <c r="E57" s="1" t="n">
        <v>46250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20949-2026 artfynd.xlsx", "A 20949-2026")</f>
        <v/>
      </c>
      <c r="X57">
        <f>HYPERLINK("https://klasma.github.io/Logging_2513/kartor/A 20949-2026 karta.png", "A 20949-2026")</f>
        <v/>
      </c>
      <c r="Y57">
        <f>HYPERLINK("https://klasma.github.io/Logging_2513/kartor_geotiff/A 20949-2026 georefererad karta.tif", "A 20949-2026")</f>
        <v/>
      </c>
      <c r="AA57">
        <f>HYPERLINK("https://klasma.github.io/Logging_2513/klagomål/A 20949-2026 FSC-klagomål.docx", "A 20949-2026")</f>
        <v/>
      </c>
      <c r="AB57">
        <f>HYPERLINK("https://klasma.github.io/Logging_2513/klagomålsmail/A 20949-2026 FSC-klagomål mail.docx", "A 20949-2026")</f>
        <v/>
      </c>
      <c r="AC57">
        <f>HYPERLINK("https://klasma.github.io/Logging_2513/tillsyn/A 20949-2026 tillsynsbegäran.docx", "A 20949-2026")</f>
        <v/>
      </c>
      <c r="AD57">
        <f>HYPERLINK("https://klasma.github.io/Logging_2513/tillsynsmail/A 20949-2026 tillsynsbegäran mail.docx", "A 20949-2026")</f>
        <v/>
      </c>
    </row>
    <row r="58" ht="15" customHeight="1">
      <c r="A58" t="inlineStr">
        <is>
          <t>A 25335-2026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46250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46.9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Lunglav</t>
        </is>
      </c>
      <c r="W58">
        <f>HYPERLINK("https://klasma.github.io/Logging_2513/artfynd/A 25335-2026 artfynd.xlsx", "A 25335-2026")</f>
        <v/>
      </c>
      <c r="X58">
        <f>HYPERLINK("https://klasma.github.io/Logging_2513/kartor/A 25335-2026 karta.png", "A 25335-2026")</f>
        <v/>
      </c>
      <c r="Y58">
        <f>HYPERLINK("https://klasma.github.io/Logging_2513/kartor_geotiff/A 25335-2026 georefererad karta.tif", "A 25335-2026")</f>
        <v/>
      </c>
      <c r="AA58">
        <f>HYPERLINK("https://klasma.github.io/Logging_2513/klagomål/A 25335-2026 FSC-klagomål.docx", "A 25335-2026")</f>
        <v/>
      </c>
      <c r="AB58">
        <f>HYPERLINK("https://klasma.github.io/Logging_2513/klagomålsmail/A 25335-2026 FSC-klagomål mail.docx", "A 25335-2026")</f>
        <v/>
      </c>
      <c r="AC58">
        <f>HYPERLINK("https://klasma.github.io/Logging_2513/tillsyn/A 25335-2026 tillsynsbegäran.docx", "A 25335-2026")</f>
        <v/>
      </c>
      <c r="AD58">
        <f>HYPERLINK("https://klasma.github.io/Logging_2513/tillsynsmail/A 25335-2026 tillsynsbegäran mail.docx", "A 25335-2026")</f>
        <v/>
      </c>
    </row>
    <row r="59" ht="15" customHeight="1">
      <c r="A59" t="inlineStr">
        <is>
          <t>A 26305-2025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46250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5.2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Luddlav</t>
        </is>
      </c>
      <c r="W59">
        <f>HYPERLINK("https://klasma.github.io/Logging_2513/artfynd/A 26305-2025 artfynd.xlsx", "A 26305-2025")</f>
        <v/>
      </c>
      <c r="X59">
        <f>HYPERLINK("https://klasma.github.io/Logging_2513/kartor/A 26305-2025 karta.png", "A 26305-2025")</f>
        <v/>
      </c>
      <c r="Y59">
        <f>HYPERLINK("https://klasma.github.io/Logging_2513/kartor_geotiff/A 26305-2025 georefererad karta.tif", "A 26305-2025")</f>
        <v/>
      </c>
      <c r="AA59">
        <f>HYPERLINK("https://klasma.github.io/Logging_2513/klagomål/A 26305-2025 FSC-klagomål.docx", "A 26305-2025")</f>
        <v/>
      </c>
      <c r="AB59">
        <f>HYPERLINK("https://klasma.github.io/Logging_2513/klagomålsmail/A 26305-2025 FSC-klagomål mail.docx", "A 26305-2025")</f>
        <v/>
      </c>
      <c r="AC59">
        <f>HYPERLINK("https://klasma.github.io/Logging_2513/tillsyn/A 26305-2025 tillsynsbegäran.docx", "A 26305-2025")</f>
        <v/>
      </c>
      <c r="AD59">
        <f>HYPERLINK("https://klasma.github.io/Logging_2513/tillsynsmail/A 26305-2025 tillsynsbegäran mail.docx", "A 26305-2025")</f>
        <v/>
      </c>
    </row>
    <row r="60" ht="15" customHeight="1">
      <c r="A60" t="inlineStr">
        <is>
          <t>A 27452-2025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46250</v>
      </c>
      <c r="F60" t="inlineStr">
        <is>
          <t>NORRBOTTENS LÄN</t>
        </is>
      </c>
      <c r="G60" t="inlineStr">
        <is>
          <t>ÖVERKALIX</t>
        </is>
      </c>
      <c r="H60" t="inlineStr">
        <is>
          <t>SCA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27452-2025 artfynd.xlsx", "A 27452-2025")</f>
        <v/>
      </c>
      <c r="X60">
        <f>HYPERLINK("https://klasma.github.io/Logging_2513/kartor/A 27452-2025 karta.png", "A 27452-2025")</f>
        <v/>
      </c>
      <c r="Y60">
        <f>HYPERLINK("https://klasma.github.io/Logging_2513/kartor_geotiff/A 27452-2025 georefererad karta.tif", "A 27452-2025")</f>
        <v/>
      </c>
      <c r="AA60">
        <f>HYPERLINK("https://klasma.github.io/Logging_2513/klagomål/A 27452-2025 FSC-klagomål.docx", "A 27452-2025")</f>
        <v/>
      </c>
      <c r="AB60">
        <f>HYPERLINK("https://klasma.github.io/Logging_2513/klagomålsmail/A 27452-2025 FSC-klagomål mail.docx", "A 27452-2025")</f>
        <v/>
      </c>
      <c r="AC60">
        <f>HYPERLINK("https://klasma.github.io/Logging_2513/tillsyn/A 27452-2025 tillsynsbegäran.docx", "A 27452-2025")</f>
        <v/>
      </c>
      <c r="AD60">
        <f>HYPERLINK("https://klasma.github.io/Logging_2513/tillsynsmail/A 27452-2025 tillsynsbegäran mail.docx", "A 27452-2025")</f>
        <v/>
      </c>
      <c r="AE60">
        <f>HYPERLINK("https://klasma.github.io/Logging_2513/fåglar/A 27452-2025 prioriterade fågelarter.docx", "A 27452-2025")</f>
        <v/>
      </c>
    </row>
    <row r="61" ht="15" customHeight="1">
      <c r="A61" t="inlineStr">
        <is>
          <t>A 31920-2026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46250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HYPERLINK("https://klasma.github.io/Logging_2513/artfynd/A 31920-2026 artfynd.xlsx", "A 31920-2026")</f>
        <v/>
      </c>
      <c r="X61">
        <f>HYPERLINK("https://klasma.github.io/Logging_2513/kartor/A 31920-2026 karta.png", "A 31920-2026")</f>
        <v/>
      </c>
      <c r="Y61">
        <f>HYPERLINK("https://klasma.github.io/Logging_2513/kartor_geotiff/A 31920-2026 georefererad karta.tif", "A 31920-2026")</f>
        <v/>
      </c>
      <c r="AA61">
        <f>HYPERLINK("https://klasma.github.io/Logging_2513/klagomål/A 31920-2026 FSC-klagomål.docx", "A 31920-2026")</f>
        <v/>
      </c>
      <c r="AB61">
        <f>HYPERLINK("https://klasma.github.io/Logging_2513/klagomålsmail/A 31920-2026 FSC-klagomål mail.docx", "A 31920-2026")</f>
        <v/>
      </c>
      <c r="AC61">
        <f>HYPERLINK("https://klasma.github.io/Logging_2513/tillsyn/A 31920-2026 tillsynsbegäran.docx", "A 31920-2026")</f>
        <v/>
      </c>
      <c r="AD61">
        <f>HYPERLINK("https://klasma.github.io/Logging_2513/tillsynsmail/A 31920-2026 tillsynsbegäran mail.docx", "A 31920-2026")</f>
        <v/>
      </c>
    </row>
    <row r="62" ht="15" customHeight="1">
      <c r="A62" t="inlineStr">
        <is>
          <t>A 35602-2025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45859</v>
      </c>
      <c r="E62" s="1" t="n">
        <v>46250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35602-2025 artfynd.xlsx", "A 35602-2025")</f>
        <v/>
      </c>
      <c r="X62">
        <f>HYPERLINK("https://klasma.github.io/Logging_2513/kartor/A 35602-2025 karta.png", "A 35602-2025")</f>
        <v/>
      </c>
      <c r="Y62">
        <f>HYPERLINK("https://klasma.github.io/Logging_2513/kartor_geotiff/A 35602-2025 georefererad karta.tif", "A 35602-2025")</f>
        <v/>
      </c>
      <c r="AA62">
        <f>HYPERLINK("https://klasma.github.io/Logging_2513/klagomål/A 35602-2025 FSC-klagomål.docx", "A 35602-2025")</f>
        <v/>
      </c>
      <c r="AB62">
        <f>HYPERLINK("https://klasma.github.io/Logging_2513/klagomålsmail/A 35602-2025 FSC-klagomål mail.docx", "A 35602-2025")</f>
        <v/>
      </c>
      <c r="AC62">
        <f>HYPERLINK("https://klasma.github.io/Logging_2513/tillsyn/A 35602-2025 tillsynsbegäran.docx", "A 35602-2025")</f>
        <v/>
      </c>
      <c r="AD62">
        <f>HYPERLINK("https://klasma.github.io/Logging_2513/tillsynsmail/A 35602-2025 tillsynsbegäran mail.docx", "A 35602-2025")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46250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46250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46250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46250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73757-2021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46250</v>
      </c>
      <c r="F67" t="inlineStr">
        <is>
          <t>NORRBOTTENS LÄN</t>
        </is>
      </c>
      <c r="G67" t="inlineStr">
        <is>
          <t>ÖVERKALIX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44438</v>
      </c>
      <c r="E68" s="1" t="n">
        <v>46250</v>
      </c>
      <c r="F68" t="inlineStr">
        <is>
          <t>NORRBOTTENS LÄN</t>
        </is>
      </c>
      <c r="G68" t="inlineStr">
        <is>
          <t>ÖVERKALIX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46250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46250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46250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46250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46250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44424</v>
      </c>
      <c r="E74" s="1" t="n">
        <v>46250</v>
      </c>
      <c r="F74" t="inlineStr">
        <is>
          <t>NORRBOTTENS LÄN</t>
        </is>
      </c>
      <c r="G74" t="inlineStr">
        <is>
          <t>ÖVERKALIX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46250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47629-2021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44448</v>
      </c>
      <c r="E76" s="1" t="n">
        <v>46250</v>
      </c>
      <c r="F76" t="inlineStr">
        <is>
          <t>NORRBOTTENS LÄN</t>
        </is>
      </c>
      <c r="G76" t="inlineStr">
        <is>
          <t>ÖVERKALIX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44862</v>
      </c>
      <c r="E77" s="1" t="n">
        <v>46250</v>
      </c>
      <c r="F77" t="inlineStr">
        <is>
          <t>NORRBOTTENS LÄN</t>
        </is>
      </c>
      <c r="G77" t="inlineStr">
        <is>
          <t>ÖVERKALIX</t>
        </is>
      </c>
      <c r="I77" t="n">
        <v>9.699999999999999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44435</v>
      </c>
      <c r="E78" s="1" t="n">
        <v>46250</v>
      </c>
      <c r="F78" t="inlineStr">
        <is>
          <t>NORRBOTTENS LÄN</t>
        </is>
      </c>
      <c r="G78" t="inlineStr">
        <is>
          <t>ÖVERKALIX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46250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46790-2021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44445</v>
      </c>
      <c r="E80" s="1" t="n">
        <v>46250</v>
      </c>
      <c r="F80" t="inlineStr">
        <is>
          <t>NORRBOTTENS LÄN</t>
        </is>
      </c>
      <c r="G80" t="inlineStr">
        <is>
          <t>ÖVERKALIX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46250</v>
      </c>
      <c r="F81" t="inlineStr">
        <is>
          <t>NORRBOTTENS LÄN</t>
        </is>
      </c>
      <c r="G81" t="inlineStr">
        <is>
          <t>ÖVERKALIX</t>
        </is>
      </c>
      <c r="I81" t="n">
        <v>12.6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44424</v>
      </c>
      <c r="E82" s="1" t="n">
        <v>46250</v>
      </c>
      <c r="F82" t="inlineStr">
        <is>
          <t>NORRBOTTENS LÄN</t>
        </is>
      </c>
      <c r="G82" t="inlineStr">
        <is>
          <t>ÖVERKALIX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44432</v>
      </c>
      <c r="E83" s="1" t="n">
        <v>46250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54220-2021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46250</v>
      </c>
      <c r="F84" t="inlineStr">
        <is>
          <t>NORRBOTTENS LÄN</t>
        </is>
      </c>
      <c r="G84" t="inlineStr">
        <is>
          <t>ÖVERKALIX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46250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46250</v>
      </c>
      <c r="F86" t="inlineStr">
        <is>
          <t>NORRBOTTENS LÄN</t>
        </is>
      </c>
      <c r="G86" t="inlineStr">
        <is>
          <t>ÖVERKALIX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44433</v>
      </c>
      <c r="E87" s="1" t="n">
        <v>46250</v>
      </c>
      <c r="F87" t="inlineStr">
        <is>
          <t>NORRBOTTENS LÄN</t>
        </is>
      </c>
      <c r="G87" t="inlineStr">
        <is>
          <t>ÖVERKALIX</t>
        </is>
      </c>
      <c r="H87" t="inlineStr">
        <is>
          <t>Sveaskog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46250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44530</v>
      </c>
      <c r="E89" s="1" t="n">
        <v>46250</v>
      </c>
      <c r="F89" t="inlineStr">
        <is>
          <t>NORRBOTTENS LÄN</t>
        </is>
      </c>
      <c r="G89" t="inlineStr">
        <is>
          <t>ÖVERKALIX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55642-2023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45238</v>
      </c>
      <c r="E90" s="1" t="n">
        <v>46250</v>
      </c>
      <c r="F90" t="inlineStr">
        <is>
          <t>NORRBOTTENS LÄN</t>
        </is>
      </c>
      <c r="G90" t="inlineStr">
        <is>
          <t>ÖVERKALIX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46250</v>
      </c>
      <c r="F91" t="inlineStr">
        <is>
          <t>NORRBOTTENS LÄN</t>
        </is>
      </c>
      <c r="G91" t="inlineStr">
        <is>
          <t>ÖVERKALIX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46250</v>
      </c>
      <c r="F92" t="inlineStr">
        <is>
          <t>NORRBOTTENS LÄN</t>
        </is>
      </c>
      <c r="G92" t="inlineStr">
        <is>
          <t>ÖVERKALIX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46250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46250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7677-2022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44607</v>
      </c>
      <c r="E95" s="1" t="n">
        <v>46250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25506-2024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45463</v>
      </c>
      <c r="E96" s="1" t="n">
        <v>46250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11535-2024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45372</v>
      </c>
      <c r="E97" s="1" t="n">
        <v>46250</v>
      </c>
      <c r="F97" t="inlineStr">
        <is>
          <t>NORRBOTTENS LÄN</t>
        </is>
      </c>
      <c r="G97" t="inlineStr">
        <is>
          <t>ÖVERKALIX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45693</v>
      </c>
      <c r="E98" s="1" t="n">
        <v>46250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46250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6916-2022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44602</v>
      </c>
      <c r="E100" s="1" t="n">
        <v>46250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45181</v>
      </c>
      <c r="E101" s="1" t="n">
        <v>46250</v>
      </c>
      <c r="F101" t="inlineStr">
        <is>
          <t>NORRBOTTENS LÄN</t>
        </is>
      </c>
      <c r="G101" t="inlineStr">
        <is>
          <t>ÖVERKALIX</t>
        </is>
      </c>
      <c r="I101" t="n">
        <v>13.1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46250</v>
      </c>
      <c r="F102" t="inlineStr">
        <is>
          <t>NORRBOTTENS LÄN</t>
        </is>
      </c>
      <c r="G102" t="inlineStr">
        <is>
          <t>ÖVERKALIX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46250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46250</v>
      </c>
      <c r="F104" t="inlineStr">
        <is>
          <t>NORRBOTTENS LÄN</t>
        </is>
      </c>
      <c r="G104" t="inlineStr">
        <is>
          <t>ÖVERKALIX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46250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46250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46250</v>
      </c>
      <c r="F107" t="inlineStr">
        <is>
          <t>NORRBOTTENS LÄN</t>
        </is>
      </c>
      <c r="G107" t="inlineStr">
        <is>
          <t>ÖVERKALIX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46250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45882</v>
      </c>
      <c r="E109" s="1" t="n">
        <v>46250</v>
      </c>
      <c r="F109" t="inlineStr">
        <is>
          <t>NORRBOTTENS LÄN</t>
        </is>
      </c>
      <c r="G109" t="inlineStr">
        <is>
          <t>ÖVERKALIX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45075</v>
      </c>
      <c r="E110" s="1" t="n">
        <v>46250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SCA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72809-2021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44546</v>
      </c>
      <c r="E111" s="1" t="n">
        <v>46250</v>
      </c>
      <c r="F111" t="inlineStr">
        <is>
          <t>NORRBOTTENS LÄN</t>
        </is>
      </c>
      <c r="G111" t="inlineStr">
        <is>
          <t>ÖVERKALIX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46250</v>
      </c>
      <c r="F112" t="inlineStr">
        <is>
          <t>NORRBOTTENS LÄN</t>
        </is>
      </c>
      <c r="G112" t="inlineStr">
        <is>
          <t>ÖVERKALIX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46250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13.4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45882</v>
      </c>
      <c r="E114" s="1" t="n">
        <v>46250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46250</v>
      </c>
      <c r="F115" t="inlineStr">
        <is>
          <t>NORRBOTTENS LÄN</t>
        </is>
      </c>
      <c r="G115" t="inlineStr">
        <is>
          <t>ÖVERKALIX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64524-2023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45281</v>
      </c>
      <c r="E116" s="1" t="n">
        <v>46250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62259-2021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46250</v>
      </c>
      <c r="F117" t="inlineStr">
        <is>
          <t>NORRBOTTENS LÄN</t>
        </is>
      </c>
      <c r="G117" t="inlineStr">
        <is>
          <t>ÖVERKALIX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45086</v>
      </c>
      <c r="E118" s="1" t="n">
        <v>46250</v>
      </c>
      <c r="F118" t="inlineStr">
        <is>
          <t>NORRBOTTENS LÄN</t>
        </is>
      </c>
      <c r="G118" t="inlineStr">
        <is>
          <t>ÖVERKALIX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72623-2021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46250</v>
      </c>
      <c r="F119" t="inlineStr">
        <is>
          <t>NORRBOTTENS LÄN</t>
        </is>
      </c>
      <c r="G119" t="inlineStr">
        <is>
          <t>ÖVERKALIX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45463</v>
      </c>
      <c r="E120" s="1" t="n">
        <v>46250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46250</v>
      </c>
      <c r="F121" t="inlineStr">
        <is>
          <t>NORRBOTTENS LÄN</t>
        </is>
      </c>
      <c r="G121" t="inlineStr">
        <is>
          <t>ÖVERKALIX</t>
        </is>
      </c>
      <c r="I121" t="n">
        <v>21.7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46250</v>
      </c>
      <c r="F122" t="inlineStr">
        <is>
          <t>NORRBOTTENS LÄN</t>
        </is>
      </c>
      <c r="G122" t="inlineStr">
        <is>
          <t>ÖVERKALIX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46250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46250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13.4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46250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46250</v>
      </c>
      <c r="F126" t="inlineStr">
        <is>
          <t>NORRBOTTENS LÄN</t>
        </is>
      </c>
      <c r="G126" t="inlineStr">
        <is>
          <t>ÖVERKALIX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46250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19259-2024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45428</v>
      </c>
      <c r="E128" s="1" t="n">
        <v>46250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45807</v>
      </c>
      <c r="E129" s="1" t="n">
        <v>46250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37.4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46250</v>
      </c>
      <c r="F130" t="inlineStr">
        <is>
          <t>NORRBOTTENS LÄN</t>
        </is>
      </c>
      <c r="G130" t="inlineStr">
        <is>
          <t>ÖVERKALIX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46250</v>
      </c>
      <c r="F131" t="inlineStr">
        <is>
          <t>NORRBOTTENS LÄN</t>
        </is>
      </c>
      <c r="G131" t="inlineStr">
        <is>
          <t>ÖVERKALIX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46250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46250</v>
      </c>
      <c r="F133" t="inlineStr">
        <is>
          <t>NORRBOTTENS LÄN</t>
        </is>
      </c>
      <c r="G133" t="inlineStr">
        <is>
          <t>ÖVERKALIX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46250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46250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44754-2025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45917</v>
      </c>
      <c r="E136" s="1" t="n">
        <v>46250</v>
      </c>
      <c r="F136" t="inlineStr">
        <is>
          <t>NORRBOTTENS LÄN</t>
        </is>
      </c>
      <c r="G136" t="inlineStr">
        <is>
          <t>ÖVERKALIX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44899</v>
      </c>
      <c r="E137" s="1" t="n">
        <v>46250</v>
      </c>
      <c r="F137" t="inlineStr">
        <is>
          <t>NORRBOTTENS LÄN</t>
        </is>
      </c>
      <c r="G137" t="inlineStr">
        <is>
          <t>ÖVERKALIX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45535-2025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45922</v>
      </c>
      <c r="E138" s="1" t="n">
        <v>46250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46250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29.9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46080</v>
      </c>
      <c r="E140" s="1" t="n">
        <v>46250</v>
      </c>
      <c r="F140" t="inlineStr">
        <is>
          <t>NORRBOTTENS LÄN</t>
        </is>
      </c>
      <c r="G140" t="inlineStr">
        <is>
          <t>ÖVERKALIX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45460</v>
      </c>
      <c r="E141" s="1" t="n">
        <v>46250</v>
      </c>
      <c r="F141" t="inlineStr">
        <is>
          <t>NORRBOTTENS LÄN</t>
        </is>
      </c>
      <c r="G141" t="inlineStr">
        <is>
          <t>ÖVERKALIX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46250</v>
      </c>
      <c r="F142" t="inlineStr">
        <is>
          <t>NORRBOTTENS LÄN</t>
        </is>
      </c>
      <c r="G142" t="inlineStr">
        <is>
          <t>ÖVERKALIX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46084</v>
      </c>
      <c r="E143" s="1" t="n">
        <v>46250</v>
      </c>
      <c r="F143" t="inlineStr">
        <is>
          <t>NORRBOTTENS LÄN</t>
        </is>
      </c>
      <c r="G143" t="inlineStr">
        <is>
          <t>ÖVERKALIX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46084</v>
      </c>
      <c r="E144" s="1" t="n">
        <v>46250</v>
      </c>
      <c r="F144" t="inlineStr">
        <is>
          <t>NORRBOTTENS LÄN</t>
        </is>
      </c>
      <c r="G144" t="inlineStr">
        <is>
          <t>ÖVERKALIX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46250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46250</v>
      </c>
      <c r="F146" t="inlineStr">
        <is>
          <t>NORRBOTTENS LÄN</t>
        </is>
      </c>
      <c r="G146" t="inlineStr">
        <is>
          <t>ÖVERKALIX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46250</v>
      </c>
      <c r="F147" t="inlineStr">
        <is>
          <t>NORRBOTTENS LÄN</t>
        </is>
      </c>
      <c r="G147" t="inlineStr">
        <is>
          <t>ÖVERKALIX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46250</v>
      </c>
      <c r="F148" t="inlineStr">
        <is>
          <t>NORRBOTTENS LÄN</t>
        </is>
      </c>
      <c r="G148" t="inlineStr">
        <is>
          <t>ÖVERKALIX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12277-2026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46087</v>
      </c>
      <c r="E149" s="1" t="n">
        <v>46250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46087</v>
      </c>
      <c r="E150" s="1" t="n">
        <v>46250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46250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44435</v>
      </c>
      <c r="E152" s="1" t="n">
        <v>46250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45518</v>
      </c>
      <c r="E153" s="1" t="n">
        <v>46250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45518</v>
      </c>
      <c r="E154" s="1" t="n">
        <v>46250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26554-2023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45092</v>
      </c>
      <c r="E155" s="1" t="n">
        <v>46250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46250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13058-2026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46093</v>
      </c>
      <c r="E157" s="1" t="n">
        <v>46250</v>
      </c>
      <c r="F157" t="inlineStr">
        <is>
          <t>NORRBOTTENS LÄN</t>
        </is>
      </c>
      <c r="G157" t="inlineStr">
        <is>
          <t>ÖVERKALIX</t>
        </is>
      </c>
      <c r="I157" t="n">
        <v>12.5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46250</v>
      </c>
      <c r="F158" t="inlineStr">
        <is>
          <t>NORRBOTTENS LÄN</t>
        </is>
      </c>
      <c r="G158" t="inlineStr">
        <is>
          <t>ÖVERKALIX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45693</v>
      </c>
      <c r="E159" s="1" t="n">
        <v>46250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46250</v>
      </c>
      <c r="F160" t="inlineStr">
        <is>
          <t>NORRBOTTENS LÄN</t>
        </is>
      </c>
      <c r="G160" t="inlineStr">
        <is>
          <t>ÖVERKALIX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46250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46250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9.800000000000001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46250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46250</v>
      </c>
      <c r="F164" t="inlineStr">
        <is>
          <t>NORRBOTTENS LÄN</t>
        </is>
      </c>
      <c r="G164" t="inlineStr">
        <is>
          <t>ÖVERKALIX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46250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46250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45949</v>
      </c>
      <c r="E167" s="1" t="n">
        <v>46250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51634-2025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45951</v>
      </c>
      <c r="E168" s="1" t="n">
        <v>46250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46250</v>
      </c>
      <c r="F169" t="inlineStr">
        <is>
          <t>NORRBOTTENS LÄN</t>
        </is>
      </c>
      <c r="G169" t="inlineStr">
        <is>
          <t>ÖVERKALIX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72212-2021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44543</v>
      </c>
      <c r="E170" s="1" t="n">
        <v>46250</v>
      </c>
      <c r="F170" t="inlineStr">
        <is>
          <t>NORRBOTTENS LÄN</t>
        </is>
      </c>
      <c r="G170" t="inlineStr">
        <is>
          <t>ÖVERKALIX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52591-2025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45954</v>
      </c>
      <c r="E171" s="1" t="n">
        <v>46250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46250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15011-2026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46250</v>
      </c>
      <c r="F173" t="inlineStr">
        <is>
          <t>NORRBOTTENS LÄN</t>
        </is>
      </c>
      <c r="G173" t="inlineStr">
        <is>
          <t>ÖVERKALIX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46250</v>
      </c>
      <c r="F174" t="inlineStr">
        <is>
          <t>NORRBOTTENS LÄN</t>
        </is>
      </c>
      <c r="G174" t="inlineStr">
        <is>
          <t>ÖVERKALIX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45471</v>
      </c>
      <c r="E175" s="1" t="n">
        <v>46250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27057-2024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45471</v>
      </c>
      <c r="E176" s="1" t="n">
        <v>46250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32.6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45957</v>
      </c>
      <c r="E177" s="1" t="n">
        <v>46250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9.9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46105</v>
      </c>
      <c r="E178" s="1" t="n">
        <v>46250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46250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54118-2025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46250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46250</v>
      </c>
      <c r="F181" t="inlineStr">
        <is>
          <t>NORRBOTTENS LÄN</t>
        </is>
      </c>
      <c r="G181" t="inlineStr">
        <is>
          <t>ÖVERKALIX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46250</v>
      </c>
      <c r="F182" t="inlineStr">
        <is>
          <t>NORRBOTTENS LÄN</t>
        </is>
      </c>
      <c r="G182" t="inlineStr">
        <is>
          <t>ÖVERKALIX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46250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46250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46113</v>
      </c>
      <c r="E185" s="1" t="n">
        <v>46250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46250</v>
      </c>
      <c r="F186" t="inlineStr">
        <is>
          <t>NORRBOTTENS LÄN</t>
        </is>
      </c>
      <c r="G186" t="inlineStr">
        <is>
          <t>ÖVERKALIX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46250</v>
      </c>
      <c r="F187" t="inlineStr">
        <is>
          <t>NORRBOTTENS LÄN</t>
        </is>
      </c>
      <c r="G187" t="inlineStr">
        <is>
          <t>ÖVERKALIX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46250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45401</v>
      </c>
      <c r="E189" s="1" t="n">
        <v>46250</v>
      </c>
      <c r="F189" t="inlineStr">
        <is>
          <t>NORRBOTTENS LÄN</t>
        </is>
      </c>
      <c r="G189" t="inlineStr">
        <is>
          <t>ÖVERKALIX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46250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46121</v>
      </c>
      <c r="E191" s="1" t="n">
        <v>46250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57744-2025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45981</v>
      </c>
      <c r="E192" s="1" t="n">
        <v>46250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46250</v>
      </c>
      <c r="F193" t="inlineStr">
        <is>
          <t>NORRBOTTENS LÄN</t>
        </is>
      </c>
      <c r="G193" t="inlineStr">
        <is>
          <t>ÖVERKALIX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46250</v>
      </c>
      <c r="F194" t="inlineStr">
        <is>
          <t>NORRBOTTENS LÄN</t>
        </is>
      </c>
      <c r="G194" t="inlineStr">
        <is>
          <t>ÖVERKALIX</t>
        </is>
      </c>
      <c r="I194" t="n">
        <v>9.1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46120</v>
      </c>
      <c r="E195" s="1" t="n">
        <v>46250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46250</v>
      </c>
      <c r="F196" t="inlineStr">
        <is>
          <t>NORRBOTTENS LÄN</t>
        </is>
      </c>
      <c r="G196" t="inlineStr">
        <is>
          <t>ÖVERKALIX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46250</v>
      </c>
      <c r="F197" t="inlineStr">
        <is>
          <t>NORRBOTTENS LÄN</t>
        </is>
      </c>
      <c r="G197" t="inlineStr">
        <is>
          <t>ÖVERKALIX</t>
        </is>
      </c>
      <c r="I197" t="n">
        <v>16.1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46120</v>
      </c>
      <c r="E198" s="1" t="n">
        <v>46250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46250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45268</v>
      </c>
      <c r="E200" s="1" t="n">
        <v>46250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46250</v>
      </c>
      <c r="F201" t="inlineStr">
        <is>
          <t>NORRBOTTENS LÄN</t>
        </is>
      </c>
      <c r="G201" t="inlineStr">
        <is>
          <t>ÖVERKALIX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46250</v>
      </c>
      <c r="F202" t="inlineStr">
        <is>
          <t>NORRBOTTENS LÄN</t>
        </is>
      </c>
      <c r="G202" t="inlineStr">
        <is>
          <t>ÖVERKALIX</t>
        </is>
      </c>
      <c r="H202" t="inlineStr">
        <is>
          <t>Övriga statliga verk och myndigheter</t>
        </is>
      </c>
      <c r="I202" t="n">
        <v>38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46250</v>
      </c>
      <c r="F203" t="inlineStr">
        <is>
          <t>NORRBOTTENS LÄN</t>
        </is>
      </c>
      <c r="G203" t="inlineStr">
        <is>
          <t>ÖVERKALIX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46250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46250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52984-2024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45611</v>
      </c>
      <c r="E206" s="1" t="n">
        <v>46250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25.9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45622</v>
      </c>
      <c r="E207" s="1" t="n">
        <v>46250</v>
      </c>
      <c r="F207" t="inlineStr">
        <is>
          <t>NORRBOTTENS LÄN</t>
        </is>
      </c>
      <c r="G207" t="inlineStr">
        <is>
          <t>ÖVERKALIX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46250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46250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44820</v>
      </c>
      <c r="E210" s="1" t="n">
        <v>46250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44823</v>
      </c>
      <c r="E211" s="1" t="n">
        <v>46250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46250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46250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46250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46250</v>
      </c>
      <c r="F215" t="inlineStr">
        <is>
          <t>NORRBOTTENS LÄN</t>
        </is>
      </c>
      <c r="G215" t="inlineStr">
        <is>
          <t>ÖVERKALIX</t>
        </is>
      </c>
      <c r="I215" t="n">
        <v>9.5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45996</v>
      </c>
      <c r="E216" s="1" t="n">
        <v>46250</v>
      </c>
      <c r="F216" t="inlineStr">
        <is>
          <t>NORRBOTTENS LÄN</t>
        </is>
      </c>
      <c r="G216" t="inlineStr">
        <is>
          <t>ÖVERKALIX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46250</v>
      </c>
      <c r="F217" t="inlineStr">
        <is>
          <t>NORRBOTTENS LÄN</t>
        </is>
      </c>
      <c r="G217" t="inlineStr">
        <is>
          <t>ÖVERKALIX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46250</v>
      </c>
      <c r="F218" t="inlineStr">
        <is>
          <t>NORRBOTTENS LÄN</t>
        </is>
      </c>
      <c r="G218" t="inlineStr">
        <is>
          <t>ÖVERKALIX</t>
        </is>
      </c>
      <c r="I218" t="n">
        <v>7.8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60890-2025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46250</v>
      </c>
      <c r="F219" t="inlineStr">
        <is>
          <t>NORRBOTTENS LÄN</t>
        </is>
      </c>
      <c r="G219" t="inlineStr">
        <is>
          <t>ÖVERKALIX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46250</v>
      </c>
      <c r="F220" t="inlineStr">
        <is>
          <t>NORRBOTTENS LÄN</t>
        </is>
      </c>
      <c r="G220" t="inlineStr">
        <is>
          <t>ÖVERKALIX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60463-2024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46250</v>
      </c>
      <c r="F221" t="inlineStr">
        <is>
          <t>NORRBOTTENS LÄN</t>
        </is>
      </c>
      <c r="G221" t="inlineStr">
        <is>
          <t>ÖVERKALIX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45308</v>
      </c>
      <c r="E222" s="1" t="n">
        <v>46250</v>
      </c>
      <c r="F222" t="inlineStr">
        <is>
          <t>NORRBOTTENS LÄN</t>
        </is>
      </c>
      <c r="G222" t="inlineStr">
        <is>
          <t>ÖVERKALIX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45631</v>
      </c>
      <c r="E223" s="1" t="n">
        <v>46250</v>
      </c>
      <c r="F223" t="inlineStr">
        <is>
          <t>NORRBOTTENS LÄN</t>
        </is>
      </c>
      <c r="G223" t="inlineStr">
        <is>
          <t>ÖVERKALIX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46250</v>
      </c>
      <c r="F224" t="inlineStr">
        <is>
          <t>NORRBOTTENS LÄN</t>
        </is>
      </c>
      <c r="G224" t="inlineStr">
        <is>
          <t>ÖVERKALIX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46250</v>
      </c>
      <c r="F225" t="inlineStr">
        <is>
          <t>NORRBOTTENS LÄN</t>
        </is>
      </c>
      <c r="G225" t="inlineStr">
        <is>
          <t>ÖVERKALIX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46250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45308</v>
      </c>
      <c r="E227" s="1" t="n">
        <v>46250</v>
      </c>
      <c r="F227" t="inlineStr">
        <is>
          <t>NORRBOTTENS LÄN</t>
        </is>
      </c>
      <c r="G227" t="inlineStr">
        <is>
          <t>ÖVERKALIX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46250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46250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44993</v>
      </c>
      <c r="E230" s="1" t="n">
        <v>46250</v>
      </c>
      <c r="F230" t="inlineStr">
        <is>
          <t>NORRBOTTENS LÄN</t>
        </is>
      </c>
      <c r="G230" t="inlineStr">
        <is>
          <t>ÖVERKALIX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19410-2026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46250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45575</v>
      </c>
      <c r="E232" s="1" t="n">
        <v>46250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46250</v>
      </c>
      <c r="F233" t="inlineStr">
        <is>
          <t>NORRBOTTENS LÄN</t>
        </is>
      </c>
      <c r="G233" t="inlineStr">
        <is>
          <t>ÖVERKALIX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46250</v>
      </c>
      <c r="F234" t="inlineStr">
        <is>
          <t>NORRBOTTENS LÄN</t>
        </is>
      </c>
      <c r="G234" t="inlineStr">
        <is>
          <t>ÖVERKALIX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46250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45807</v>
      </c>
      <c r="E236" s="1" t="n">
        <v>46250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45611</v>
      </c>
      <c r="E237" s="1" t="n">
        <v>46250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46250</v>
      </c>
      <c r="F238" t="inlineStr">
        <is>
          <t>NORRBOTTENS LÄN</t>
        </is>
      </c>
      <c r="G238" t="inlineStr">
        <is>
          <t>ÖVERKALIX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46250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43314-2022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44834</v>
      </c>
      <c r="E240" s="1" t="n">
        <v>46250</v>
      </c>
      <c r="F240" t="inlineStr">
        <is>
          <t>NORRBOTTENS LÄN</t>
        </is>
      </c>
      <c r="G240" t="inlineStr">
        <is>
          <t>ÖVERKALIX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46250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Sveaskog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46250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46250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46250</v>
      </c>
      <c r="F244" t="inlineStr">
        <is>
          <t>NORRBOTTENS LÄN</t>
        </is>
      </c>
      <c r="G244" t="inlineStr">
        <is>
          <t>ÖVERKALIX</t>
        </is>
      </c>
      <c r="I244" t="n">
        <v>9.800000000000001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30881-2024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45498</v>
      </c>
      <c r="E245" s="1" t="n">
        <v>46250</v>
      </c>
      <c r="F245" t="inlineStr">
        <is>
          <t>NORRBOTTENS LÄN</t>
        </is>
      </c>
      <c r="G245" t="inlineStr">
        <is>
          <t>ÖVERKALIX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46250</v>
      </c>
      <c r="F246" t="inlineStr">
        <is>
          <t>NORRBOTTENS LÄN</t>
        </is>
      </c>
      <c r="G246" t="inlineStr">
        <is>
          <t>ÖVERKALIX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46250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44930</v>
      </c>
      <c r="E248" s="1" t="n">
        <v>46250</v>
      </c>
      <c r="F248" t="inlineStr">
        <is>
          <t>NORRBOTTENS LÄN</t>
        </is>
      </c>
      <c r="G248" t="inlineStr">
        <is>
          <t>ÖVERKALIX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46250</v>
      </c>
      <c r="F249" t="inlineStr">
        <is>
          <t>NORRBOTTENS LÄN</t>
        </is>
      </c>
      <c r="G249" t="inlineStr">
        <is>
          <t>ÖVERKALIX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45699</v>
      </c>
      <c r="E250" s="1" t="n">
        <v>46250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28.8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46250</v>
      </c>
      <c r="F251" t="inlineStr">
        <is>
          <t>NORRBOTTENS LÄN</t>
        </is>
      </c>
      <c r="G251" t="inlineStr">
        <is>
          <t>ÖVERKALIX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46250</v>
      </c>
      <c r="F252" t="inlineStr">
        <is>
          <t>NORRBOTTENS LÄN</t>
        </is>
      </c>
      <c r="G252" t="inlineStr">
        <is>
          <t>ÖVERKALIX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46250</v>
      </c>
      <c r="F253" t="inlineStr">
        <is>
          <t>NORRBOTTENS LÄN</t>
        </is>
      </c>
      <c r="G253" t="inlineStr">
        <is>
          <t>ÖVERKALIX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46250</v>
      </c>
      <c r="F254" t="inlineStr">
        <is>
          <t>NORRBOTTENS LÄN</t>
        </is>
      </c>
      <c r="G254" t="inlineStr">
        <is>
          <t>ÖVERKALIX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62269-2021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44502</v>
      </c>
      <c r="E255" s="1" t="n">
        <v>46250</v>
      </c>
      <c r="F255" t="inlineStr">
        <is>
          <t>NORRBOTTENS LÄN</t>
        </is>
      </c>
      <c r="G255" t="inlineStr">
        <is>
          <t>ÖVERKALIX</t>
        </is>
      </c>
      <c r="I255" t="n">
        <v>9.199999999999999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45005</v>
      </c>
      <c r="E256" s="1" t="n">
        <v>46250</v>
      </c>
      <c r="F256" t="inlineStr">
        <is>
          <t>NORRBOTTENS LÄN</t>
        </is>
      </c>
      <c r="G256" t="inlineStr">
        <is>
          <t>ÖVERKALIX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36839-2023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45153</v>
      </c>
      <c r="E257" s="1" t="n">
        <v>46250</v>
      </c>
      <c r="F257" t="inlineStr">
        <is>
          <t>NORRBOTTENS LÄN</t>
        </is>
      </c>
      <c r="G257" t="inlineStr">
        <is>
          <t>ÖVERKALIX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45639</v>
      </c>
      <c r="E258" s="1" t="n">
        <v>46250</v>
      </c>
      <c r="F258" t="inlineStr">
        <is>
          <t>NORRBOTTENS LÄN</t>
        </is>
      </c>
      <c r="G258" t="inlineStr">
        <is>
          <t>ÖVERKALIX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46250</v>
      </c>
      <c r="F259" t="inlineStr">
        <is>
          <t>NORRBOTTENS LÄN</t>
        </is>
      </c>
      <c r="G259" t="inlineStr">
        <is>
          <t>ÖVERKALIX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46250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Sveaskog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45643</v>
      </c>
      <c r="E261" s="1" t="n">
        <v>46250</v>
      </c>
      <c r="F261" t="inlineStr">
        <is>
          <t>NORRBOTTENS LÄN</t>
        </is>
      </c>
      <c r="G261" t="inlineStr">
        <is>
          <t>ÖVERKALIX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45747</v>
      </c>
      <c r="E262" s="1" t="n">
        <v>46250</v>
      </c>
      <c r="F262" t="inlineStr">
        <is>
          <t>NORRBOTTENS LÄN</t>
        </is>
      </c>
      <c r="G262" t="inlineStr">
        <is>
          <t>ÖVERKALIX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48577-2023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45208</v>
      </c>
      <c r="E263" s="1" t="n">
        <v>46250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46250</v>
      </c>
      <c r="F264" t="inlineStr">
        <is>
          <t>NORRBOTTENS LÄN</t>
        </is>
      </c>
      <c r="G264" t="inlineStr">
        <is>
          <t>ÖVERKALIX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46250</v>
      </c>
      <c r="F265" t="inlineStr">
        <is>
          <t>NORRBOTTENS LÄN</t>
        </is>
      </c>
      <c r="G265" t="inlineStr">
        <is>
          <t>ÖVERKALIX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45712</v>
      </c>
      <c r="E266" s="1" t="n">
        <v>46250</v>
      </c>
      <c r="F266" t="inlineStr">
        <is>
          <t>NORRBOTTENS LÄN</t>
        </is>
      </c>
      <c r="G266" t="inlineStr">
        <is>
          <t>ÖVERKALIX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6641-2022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44601</v>
      </c>
      <c r="E267" s="1" t="n">
        <v>46250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46250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20.3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46250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44973</v>
      </c>
      <c r="E270" s="1" t="n">
        <v>46250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45671</v>
      </c>
      <c r="E271" s="1" t="n">
        <v>46250</v>
      </c>
      <c r="F271" t="inlineStr">
        <is>
          <t>NORRBOTTENS LÄN</t>
        </is>
      </c>
      <c r="G271" t="inlineStr">
        <is>
          <t>ÖVERKALIX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36797-2023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46250</v>
      </c>
      <c r="F272" t="inlineStr">
        <is>
          <t>NORRBOTTENS LÄN</t>
        </is>
      </c>
      <c r="G272" t="inlineStr">
        <is>
          <t>ÖVERKALIX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46250</v>
      </c>
      <c r="F273" t="inlineStr">
        <is>
          <t>NORRBOTTENS LÄN</t>
        </is>
      </c>
      <c r="G273" t="inlineStr">
        <is>
          <t>ÖVERKALIX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43673-2021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44433</v>
      </c>
      <c r="E274" s="1" t="n">
        <v>46250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46250</v>
      </c>
      <c r="F275" t="inlineStr">
        <is>
          <t>NORRBOTTENS LÄN</t>
        </is>
      </c>
      <c r="G275" t="inlineStr">
        <is>
          <t>ÖVERKALIX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45692</v>
      </c>
      <c r="E276" s="1" t="n">
        <v>46250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46250</v>
      </c>
      <c r="F277" t="inlineStr">
        <is>
          <t>NORRBOTTENS LÄN</t>
        </is>
      </c>
      <c r="G277" t="inlineStr">
        <is>
          <t>ÖVERKALIX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45513</v>
      </c>
      <c r="E278" s="1" t="n">
        <v>46250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46250</v>
      </c>
      <c r="F279" t="inlineStr">
        <is>
          <t>NORRBOTTENS LÄN</t>
        </is>
      </c>
      <c r="G279" t="inlineStr">
        <is>
          <t>ÖVERKALIX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45641</v>
      </c>
      <c r="E280" s="1" t="n">
        <v>46250</v>
      </c>
      <c r="F280" t="inlineStr">
        <is>
          <t>NORRBOTTENS LÄN</t>
        </is>
      </c>
      <c r="G280" t="inlineStr">
        <is>
          <t>ÖVERKALIX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45160</v>
      </c>
      <c r="E281" s="1" t="n">
        <v>46250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46250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46059</v>
      </c>
      <c r="E283" s="1" t="n">
        <v>46250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15301-2022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44659</v>
      </c>
      <c r="E284" s="1" t="n">
        <v>46250</v>
      </c>
      <c r="F284" t="inlineStr">
        <is>
          <t>NORRBOTTENS LÄN</t>
        </is>
      </c>
      <c r="G284" t="inlineStr">
        <is>
          <t>ÖVERKALIX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45818</v>
      </c>
      <c r="E285" s="1" t="n">
        <v>46250</v>
      </c>
      <c r="F285" t="inlineStr">
        <is>
          <t>NORRBOTTENS LÄN</t>
        </is>
      </c>
      <c r="G285" t="inlineStr">
        <is>
          <t>ÖVERKALIX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45621</v>
      </c>
      <c r="E286" s="1" t="n">
        <v>46250</v>
      </c>
      <c r="F286" t="inlineStr">
        <is>
          <t>NORRBOTTENS LÄN</t>
        </is>
      </c>
      <c r="G286" t="inlineStr">
        <is>
          <t>ÖVERKALIX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44648</v>
      </c>
      <c r="E287" s="1" t="n">
        <v>46250</v>
      </c>
      <c r="F287" t="inlineStr">
        <is>
          <t>NORRBOTTENS LÄN</t>
        </is>
      </c>
      <c r="G287" t="inlineStr">
        <is>
          <t>ÖVERKALIX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48561-2024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45593</v>
      </c>
      <c r="E288" s="1" t="n">
        <v>46250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8.199999999999999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46250</v>
      </c>
      <c r="F289" t="inlineStr">
        <is>
          <t>NORRBOTTENS LÄN</t>
        </is>
      </c>
      <c r="G289" t="inlineStr">
        <is>
          <t>ÖVERKALIX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20171-2026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46250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46250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54143-2021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44469</v>
      </c>
      <c r="E292" s="1" t="n">
        <v>46250</v>
      </c>
      <c r="F292" t="inlineStr">
        <is>
          <t>NORRBOTTENS LÄN</t>
        </is>
      </c>
      <c r="G292" t="inlineStr">
        <is>
          <t>ÖVERKALIX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44890</v>
      </c>
      <c r="E293" s="1" t="n">
        <v>46250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13.8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46250</v>
      </c>
      <c r="F294" t="inlineStr">
        <is>
          <t>NORRBOTTENS LÄN</t>
        </is>
      </c>
      <c r="G294" t="inlineStr">
        <is>
          <t>ÖVERKALIX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46250</v>
      </c>
      <c r="F295" t="inlineStr">
        <is>
          <t>NORRBOTTENS LÄN</t>
        </is>
      </c>
      <c r="G295" t="inlineStr">
        <is>
          <t>ÖVERKALIX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45315</v>
      </c>
      <c r="E296" s="1" t="n">
        <v>46250</v>
      </c>
      <c r="F296" t="inlineStr">
        <is>
          <t>NORRBOTTENS LÄN</t>
        </is>
      </c>
      <c r="G296" t="inlineStr">
        <is>
          <t>ÖVERKALIX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46250</v>
      </c>
      <c r="F297" t="inlineStr">
        <is>
          <t>NORRBOTTENS LÄN</t>
        </is>
      </c>
      <c r="G297" t="inlineStr">
        <is>
          <t>ÖVERKALIX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46076</v>
      </c>
      <c r="E298" s="1" t="n">
        <v>46250</v>
      </c>
      <c r="F298" t="inlineStr">
        <is>
          <t>NORRBOTTENS LÄN</t>
        </is>
      </c>
      <c r="G298" t="inlineStr">
        <is>
          <t>ÖVERKALIX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46250</v>
      </c>
      <c r="F299" t="inlineStr">
        <is>
          <t>NORRBOTTENS LÄN</t>
        </is>
      </c>
      <c r="G299" t="inlineStr">
        <is>
          <t>ÖVERKALIX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28343-2025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45818</v>
      </c>
      <c r="E300" s="1" t="n">
        <v>46250</v>
      </c>
      <c r="F300" t="inlineStr">
        <is>
          <t>NORRBOTTENS LÄN</t>
        </is>
      </c>
      <c r="G300" t="inlineStr">
        <is>
          <t>ÖVERKALIX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46250</v>
      </c>
      <c r="F301" t="inlineStr">
        <is>
          <t>NORRBOTTENS LÄN</t>
        </is>
      </c>
      <c r="G301" t="inlineStr">
        <is>
          <t>ÖVERKALIX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45315</v>
      </c>
      <c r="E302" s="1" t="n">
        <v>46250</v>
      </c>
      <c r="F302" t="inlineStr">
        <is>
          <t>NORRBOTTENS LÄN</t>
        </is>
      </c>
      <c r="G302" t="inlineStr">
        <is>
          <t>ÖVERKALIX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46250</v>
      </c>
      <c r="F303" t="inlineStr">
        <is>
          <t>NORRBOTTENS LÄN</t>
        </is>
      </c>
      <c r="G303" t="inlineStr">
        <is>
          <t>ÖVERKALIX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45321</v>
      </c>
      <c r="E304" s="1" t="n">
        <v>46250</v>
      </c>
      <c r="F304" t="inlineStr">
        <is>
          <t>NORRBOTTENS LÄN</t>
        </is>
      </c>
      <c r="G304" t="inlineStr">
        <is>
          <t>ÖVERKALIX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21419-2026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46250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21423-2026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46148</v>
      </c>
      <c r="E306" s="1" t="n">
        <v>46250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46250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7.5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21425-2026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46148</v>
      </c>
      <c r="E308" s="1" t="n">
        <v>46250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46250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46250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46148</v>
      </c>
      <c r="E311" s="1" t="n">
        <v>46250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46250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46148</v>
      </c>
      <c r="E313" s="1" t="n">
        <v>46250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18.8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46250</v>
      </c>
      <c r="F314" t="inlineStr">
        <is>
          <t>NORRBOTTENS LÄN</t>
        </is>
      </c>
      <c r="G314" t="inlineStr">
        <is>
          <t>ÖVERKALIX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46250</v>
      </c>
      <c r="F315" t="inlineStr">
        <is>
          <t>NORRBOTTENS LÄN</t>
        </is>
      </c>
      <c r="G315" t="inlineStr">
        <is>
          <t>ÖVERKALIX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46250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45667</v>
      </c>
      <c r="E317" s="1" t="n">
        <v>46250</v>
      </c>
      <c r="F317" t="inlineStr">
        <is>
          <t>NORRBOTTENS LÄN</t>
        </is>
      </c>
      <c r="G317" t="inlineStr">
        <is>
          <t>ÖVERKALIX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46250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23.2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46250</v>
      </c>
      <c r="F319" t="inlineStr">
        <is>
          <t>NORRBOTTENS LÄN</t>
        </is>
      </c>
      <c r="G319" t="inlineStr">
        <is>
          <t>ÖVERKALIX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45463</v>
      </c>
      <c r="E320" s="1" t="n">
        <v>46250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46250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11.8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46250</v>
      </c>
      <c r="F322" t="inlineStr">
        <is>
          <t>NORRBOTTENS LÄN</t>
        </is>
      </c>
      <c r="G322" t="inlineStr">
        <is>
          <t>ÖVERKALIX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45554</v>
      </c>
      <c r="E323" s="1" t="n">
        <v>46250</v>
      </c>
      <c r="F323" t="inlineStr">
        <is>
          <t>NORRBOTTENS LÄN</t>
        </is>
      </c>
      <c r="G323" t="inlineStr">
        <is>
          <t>ÖVERKALIX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46160</v>
      </c>
      <c r="E324" s="1" t="n">
        <v>46250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73216-2021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44547</v>
      </c>
      <c r="E325" s="1" t="n">
        <v>46250</v>
      </c>
      <c r="F325" t="inlineStr">
        <is>
          <t>NORRBOTTENS LÄN</t>
        </is>
      </c>
      <c r="G325" t="inlineStr">
        <is>
          <t>ÖVERKALIX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46250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46250</v>
      </c>
      <c r="F327" t="inlineStr">
        <is>
          <t>NORRBOTTENS LÄN</t>
        </is>
      </c>
      <c r="G327" t="inlineStr">
        <is>
          <t>ÖVERKALIX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45767-2023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46250</v>
      </c>
      <c r="F328" t="inlineStr">
        <is>
          <t>NORRBOTTENS LÄN</t>
        </is>
      </c>
      <c r="G328" t="inlineStr">
        <is>
          <t>ÖVERKALIX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45548</v>
      </c>
      <c r="E329" s="1" t="n">
        <v>46250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46250</v>
      </c>
      <c r="F330" t="inlineStr">
        <is>
          <t>NORRBOTTENS LÄN</t>
        </is>
      </c>
      <c r="G330" t="inlineStr">
        <is>
          <t>ÖVERKALIX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23360-2026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46162</v>
      </c>
      <c r="E331" s="1" t="n">
        <v>46250</v>
      </c>
      <c r="F331" t="inlineStr">
        <is>
          <t>NORRBOTTENS LÄN</t>
        </is>
      </c>
      <c r="G331" t="inlineStr">
        <is>
          <t>ÖVERKALIX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23362-2026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46250</v>
      </c>
      <c r="F332" t="inlineStr">
        <is>
          <t>NORRBOTTENS LÄN</t>
        </is>
      </c>
      <c r="G332" t="inlineStr">
        <is>
          <t>ÖVERKALIX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33761-2024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46250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46250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17.6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12591-2024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45379</v>
      </c>
      <c r="E335" s="1" t="n">
        <v>46250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46250</v>
      </c>
      <c r="F336" t="inlineStr">
        <is>
          <t>NORRBOTTENS LÄN</t>
        </is>
      </c>
      <c r="G336" t="inlineStr">
        <is>
          <t>ÖVERKALIX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21520-2025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45782</v>
      </c>
      <c r="E337" s="1" t="n">
        <v>46250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46250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46250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45950</v>
      </c>
      <c r="E340" s="1" t="n">
        <v>46250</v>
      </c>
      <c r="F340" t="inlineStr">
        <is>
          <t>NORRBOTTENS LÄN</t>
        </is>
      </c>
      <c r="G340" t="inlineStr">
        <is>
          <t>ÖVERKALIX</t>
        </is>
      </c>
      <c r="I340" t="n">
        <v>8.199999999999999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46250</v>
      </c>
      <c r="F341" t="inlineStr">
        <is>
          <t>NORRBOTTENS LÄN</t>
        </is>
      </c>
      <c r="G341" t="inlineStr">
        <is>
          <t>ÖVERKALIX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28372-2025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45818</v>
      </c>
      <c r="E342" s="1" t="n">
        <v>46250</v>
      </c>
      <c r="F342" t="inlineStr">
        <is>
          <t>NORRBOTTENS LÄN</t>
        </is>
      </c>
      <c r="G342" t="inlineStr">
        <is>
          <t>ÖVERKALIX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46168</v>
      </c>
      <c r="E343" s="1" t="n">
        <v>46250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46250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24129-2026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46168</v>
      </c>
      <c r="E345" s="1" t="n">
        <v>46250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14.2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30328-2026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46207</v>
      </c>
      <c r="E346" s="1" t="n">
        <v>46250</v>
      </c>
      <c r="F346" t="inlineStr">
        <is>
          <t>NORRBOTTENS LÄN</t>
        </is>
      </c>
      <c r="G346" t="inlineStr">
        <is>
          <t>ÖVERKALIX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46250</v>
      </c>
      <c r="F347" t="inlineStr">
        <is>
          <t>NORRBOTTENS LÄN</t>
        </is>
      </c>
      <c r="G347" t="inlineStr">
        <is>
          <t>ÖVERKALIX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46250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46250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30326-2026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46207</v>
      </c>
      <c r="E350" s="1" t="n">
        <v>46250</v>
      </c>
      <c r="F350" t="inlineStr">
        <is>
          <t>NORRBOTTENS LÄN</t>
        </is>
      </c>
      <c r="G350" t="inlineStr">
        <is>
          <t>ÖVERKALIX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46250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30327-2026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46207</v>
      </c>
      <c r="E352" s="1" t="n">
        <v>46250</v>
      </c>
      <c r="F352" t="inlineStr">
        <is>
          <t>NORRBOTTENS LÄN</t>
        </is>
      </c>
      <c r="G352" t="inlineStr">
        <is>
          <t>ÖVERKALIX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45404</v>
      </c>
      <c r="E353" s="1" t="n">
        <v>46250</v>
      </c>
      <c r="F353" t="inlineStr">
        <is>
          <t>NORRBOTTENS LÄN</t>
        </is>
      </c>
      <c r="G353" t="inlineStr">
        <is>
          <t>ÖVERKALIX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45785</v>
      </c>
      <c r="E354" s="1" t="n">
        <v>46250</v>
      </c>
      <c r="F354" t="inlineStr">
        <is>
          <t>NORRBOTTENS LÄN</t>
        </is>
      </c>
      <c r="G354" t="inlineStr">
        <is>
          <t>ÖVERKALIX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30329-2026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46207</v>
      </c>
      <c r="E355" s="1" t="n">
        <v>46250</v>
      </c>
      <c r="F355" t="inlineStr">
        <is>
          <t>NORRBOTTENS LÄN</t>
        </is>
      </c>
      <c r="G355" t="inlineStr">
        <is>
          <t>ÖVERKALIX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46250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23935-2026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46250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24548-2024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45460</v>
      </c>
      <c r="E358" s="1" t="n">
        <v>46250</v>
      </c>
      <c r="F358" t="inlineStr">
        <is>
          <t>NORRBOTTENS LÄN</t>
        </is>
      </c>
      <c r="G358" t="inlineStr">
        <is>
          <t>ÖVERKALIX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45429</v>
      </c>
      <c r="E359" s="1" t="n">
        <v>46250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45009</v>
      </c>
      <c r="E360" s="1" t="n">
        <v>46250</v>
      </c>
      <c r="F360" t="inlineStr">
        <is>
          <t>NORRBOTTENS LÄN</t>
        </is>
      </c>
      <c r="G360" t="inlineStr">
        <is>
          <t>ÖVERKALIX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46250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45133</v>
      </c>
      <c r="E362" s="1" t="n">
        <v>46250</v>
      </c>
      <c r="F362" t="inlineStr">
        <is>
          <t>NORRBOTTENS LÄN</t>
        </is>
      </c>
      <c r="G362" t="inlineStr">
        <is>
          <t>ÖVERKALIX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45793</v>
      </c>
      <c r="E363" s="1" t="n">
        <v>46250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8.5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19984-2025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45771</v>
      </c>
      <c r="E364" s="1" t="n">
        <v>46250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10.5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46250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45944</v>
      </c>
      <c r="E366" s="1" t="n">
        <v>46250</v>
      </c>
      <c r="F366" t="inlineStr">
        <is>
          <t>NORRBOTTENS LÄN</t>
        </is>
      </c>
      <c r="G366" t="inlineStr">
        <is>
          <t>ÖVERKALIX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45796</v>
      </c>
      <c r="E367" s="1" t="n">
        <v>46250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47734-2024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45588</v>
      </c>
      <c r="E368" s="1" t="n">
        <v>46250</v>
      </c>
      <c r="F368" t="inlineStr">
        <is>
          <t>NORRBOTTENS LÄN</t>
        </is>
      </c>
      <c r="G368" t="inlineStr">
        <is>
          <t>ÖVERKALIX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23867-2025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45793</v>
      </c>
      <c r="E369" s="1" t="n">
        <v>46250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45793</v>
      </c>
      <c r="E370" s="1" t="n">
        <v>46250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46250</v>
      </c>
      <c r="F371" t="inlineStr">
        <is>
          <t>NORRBOTTENS LÄN</t>
        </is>
      </c>
      <c r="G371" t="inlineStr">
        <is>
          <t>ÖVERKALIX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37429-2024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45540</v>
      </c>
      <c r="E372" s="1" t="n">
        <v>46250</v>
      </c>
      <c r="F372" t="inlineStr">
        <is>
          <t>NORRBOTTENS LÄN</t>
        </is>
      </c>
      <c r="G372" t="inlineStr">
        <is>
          <t>ÖVERKALIX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22470-2023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45070</v>
      </c>
      <c r="E373" s="1" t="n">
        <v>46250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34911-2023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45141</v>
      </c>
      <c r="E374" s="1" t="n">
        <v>46250</v>
      </c>
      <c r="F374" t="inlineStr">
        <is>
          <t>NORRBOTTENS LÄN</t>
        </is>
      </c>
      <c r="G374" t="inlineStr">
        <is>
          <t>ÖVERKALIX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72364-2021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44543</v>
      </c>
      <c r="E375" s="1" t="n">
        <v>46250</v>
      </c>
      <c r="F375" t="inlineStr">
        <is>
          <t>NORRBOTTENS LÄN</t>
        </is>
      </c>
      <c r="G375" t="inlineStr">
        <is>
          <t>ÖVERKALIX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5653-2022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44595</v>
      </c>
      <c r="E376" s="1" t="n">
        <v>46250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46250</v>
      </c>
      <c r="F377" t="inlineStr">
        <is>
          <t>NORRBOTTENS LÄN</t>
        </is>
      </c>
      <c r="G377" t="inlineStr">
        <is>
          <t>ÖVERKALIX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46177</v>
      </c>
      <c r="E378" s="1" t="n">
        <v>46250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45323</v>
      </c>
      <c r="E379" s="1" t="n">
        <v>46250</v>
      </c>
      <c r="F379" t="inlineStr">
        <is>
          <t>NORRBOTTENS LÄN</t>
        </is>
      </c>
      <c r="G379" t="inlineStr">
        <is>
          <t>ÖVERKALIX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46250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45803</v>
      </c>
      <c r="E381" s="1" t="n">
        <v>46250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32477-2024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45513</v>
      </c>
      <c r="E382" s="1" t="n">
        <v>46250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55857-2024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45622</v>
      </c>
      <c r="E383" s="1" t="n">
        <v>46250</v>
      </c>
      <c r="F383" t="inlineStr">
        <is>
          <t>NORRBOTTENS LÄN</t>
        </is>
      </c>
      <c r="G383" t="inlineStr">
        <is>
          <t>ÖVERKALIX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44603</v>
      </c>
      <c r="E384" s="1" t="n">
        <v>46250</v>
      </c>
      <c r="F384" t="inlineStr">
        <is>
          <t>NORRBOTTENS LÄN</t>
        </is>
      </c>
      <c r="G384" t="inlineStr">
        <is>
          <t>ÖVERKALIX</t>
        </is>
      </c>
      <c r="H384" t="inlineStr">
        <is>
          <t>Övriga statliga verk och myndigheter</t>
        </is>
      </c>
      <c r="I384" t="n">
        <v>10.3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46250</v>
      </c>
      <c r="F385" t="inlineStr">
        <is>
          <t>NORRBOTTENS LÄN</t>
        </is>
      </c>
      <c r="G385" t="inlineStr">
        <is>
          <t>ÖVERKALIX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26666-2025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45810</v>
      </c>
      <c r="E386" s="1" t="n">
        <v>46250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17.5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25965-2026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46250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Sveaskog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46250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26945-2025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45811</v>
      </c>
      <c r="E389" s="1" t="n">
        <v>46250</v>
      </c>
      <c r="F389" t="inlineStr">
        <is>
          <t>NORRBOTTENS LÄN</t>
        </is>
      </c>
      <c r="G389" t="inlineStr">
        <is>
          <t>ÖVERKALIX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46250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45321</v>
      </c>
      <c r="E391" s="1" t="n">
        <v>46250</v>
      </c>
      <c r="F391" t="inlineStr">
        <is>
          <t>NORRBOTTENS LÄN</t>
        </is>
      </c>
      <c r="G391" t="inlineStr">
        <is>
          <t>ÖVERKALIX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45811</v>
      </c>
      <c r="E392" s="1" t="n">
        <v>46250</v>
      </c>
      <c r="F392" t="inlineStr">
        <is>
          <t>NORRBOTTENS LÄN</t>
        </is>
      </c>
      <c r="G392" t="inlineStr">
        <is>
          <t>ÖVERKALIX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45813</v>
      </c>
      <c r="E393" s="1" t="n">
        <v>46250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8.699999999999999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45813</v>
      </c>
      <c r="E394" s="1" t="n">
        <v>46250</v>
      </c>
      <c r="F394" t="inlineStr">
        <is>
          <t>NORRBOTTENS LÄN</t>
        </is>
      </c>
      <c r="G394" t="inlineStr">
        <is>
          <t>ÖVERKALIX</t>
        </is>
      </c>
      <c r="I394" t="n">
        <v>11.9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27451-2025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45813</v>
      </c>
      <c r="E395" s="1" t="n">
        <v>46250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45813</v>
      </c>
      <c r="E396" s="1" t="n">
        <v>46250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45813</v>
      </c>
      <c r="E397" s="1" t="n">
        <v>46250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45813</v>
      </c>
      <c r="E398" s="1" t="n">
        <v>46250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45813</v>
      </c>
      <c r="E399" s="1" t="n">
        <v>46250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46250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46250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46225</v>
      </c>
      <c r="E402" s="1" t="n">
        <v>46250</v>
      </c>
      <c r="F402" t="inlineStr">
        <is>
          <t>NORRBOTTENS LÄN</t>
        </is>
      </c>
      <c r="G402" t="inlineStr">
        <is>
          <t>ÖVERKALIX</t>
        </is>
      </c>
      <c r="I402" t="n">
        <v>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45677</v>
      </c>
      <c r="E403" s="1" t="n">
        <v>46250</v>
      </c>
      <c r="F403" t="inlineStr">
        <is>
          <t>NORRBOTTENS LÄN</t>
        </is>
      </c>
      <c r="G403" t="inlineStr">
        <is>
          <t>ÖVERKALIX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45820</v>
      </c>
      <c r="E404" s="1" t="n">
        <v>46250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9.699999999999999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45819</v>
      </c>
      <c r="E405" s="1" t="n">
        <v>46250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28912-2025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45820</v>
      </c>
      <c r="E406" s="1" t="n">
        <v>46250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45820</v>
      </c>
      <c r="E407" s="1" t="n">
        <v>46250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46230</v>
      </c>
      <c r="E408" s="1" t="n">
        <v>46250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46187</v>
      </c>
      <c r="E409" s="1" t="n">
        <v>46250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45819</v>
      </c>
      <c r="E410" s="1" t="n">
        <v>46250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28935-2025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45820</v>
      </c>
      <c r="E411" s="1" t="n">
        <v>46250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45189</v>
      </c>
      <c r="E412" s="1" t="n">
        <v>46250</v>
      </c>
      <c r="F412" t="inlineStr">
        <is>
          <t>NORRBOTTENS LÄN</t>
        </is>
      </c>
      <c r="G412" t="inlineStr">
        <is>
          <t>ÖVERKALIX</t>
        </is>
      </c>
      <c r="I412" t="n">
        <v>8.6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29150-2025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45821</v>
      </c>
      <c r="E413" s="1" t="n">
        <v>46250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45824</v>
      </c>
      <c r="E414" s="1" t="n">
        <v>46250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45821</v>
      </c>
      <c r="E415" s="1" t="n">
        <v>46250</v>
      </c>
      <c r="F415" t="inlineStr">
        <is>
          <t>NORRBOTTENS LÄN</t>
        </is>
      </c>
      <c r="G415" t="inlineStr">
        <is>
          <t>ÖVERKALIX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29213-2025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45824</v>
      </c>
      <c r="E416" s="1" t="n">
        <v>46250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45097</v>
      </c>
      <c r="E417" s="1" t="n">
        <v>46250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45824</v>
      </c>
      <c r="E418" s="1" t="n">
        <v>46250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24.4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45824</v>
      </c>
      <c r="E419" s="1" t="n">
        <v>46250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45826</v>
      </c>
      <c r="E420" s="1" t="n">
        <v>46250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45826</v>
      </c>
      <c r="E421" s="1" t="n">
        <v>46250</v>
      </c>
      <c r="F421" t="inlineStr">
        <is>
          <t>NORRBOTTENS LÄN</t>
        </is>
      </c>
      <c r="G421" t="inlineStr">
        <is>
          <t>ÖVERKALIX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29532-2025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45825</v>
      </c>
      <c r="E422" s="1" t="n">
        <v>46250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46250</v>
      </c>
      <c r="F423" t="inlineStr">
        <is>
          <t>NORRBOTTENS LÄN</t>
        </is>
      </c>
      <c r="G423" t="inlineStr">
        <is>
          <t>ÖVERKALIX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45748-2023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45189</v>
      </c>
      <c r="E424" s="1" t="n">
        <v>46250</v>
      </c>
      <c r="F424" t="inlineStr">
        <is>
          <t>NORRBOTTENS LÄN</t>
        </is>
      </c>
      <c r="G424" t="inlineStr">
        <is>
          <t>ÖVERKALIX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46250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31744-2025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45834</v>
      </c>
      <c r="E426" s="1" t="n">
        <v>46250</v>
      </c>
      <c r="F426" t="inlineStr">
        <is>
          <t>NORRBOTTENS LÄN</t>
        </is>
      </c>
      <c r="G426" t="inlineStr">
        <is>
          <t>ÖVERKALIX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32636-2025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46250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46250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55838-2024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46250</v>
      </c>
      <c r="F429" t="inlineStr">
        <is>
          <t>NORRBOTTENS LÄN</t>
        </is>
      </c>
      <c r="G429" t="inlineStr">
        <is>
          <t>ÖVERKALIX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55857-2024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45622</v>
      </c>
      <c r="E430" s="1" t="n">
        <v>46250</v>
      </c>
      <c r="F430" t="inlineStr">
        <is>
          <t>NORRBOTTENS LÄN</t>
        </is>
      </c>
      <c r="G430" t="inlineStr">
        <is>
          <t>ÖVERKALIX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9458-2025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46250</v>
      </c>
      <c r="F431" t="inlineStr">
        <is>
          <t>NORRBOTTENS LÄN</t>
        </is>
      </c>
      <c r="G431" t="inlineStr">
        <is>
          <t>ÖVERKALIX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32371-2025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45837</v>
      </c>
      <c r="E432" s="1" t="n">
        <v>46250</v>
      </c>
      <c r="F432" t="inlineStr">
        <is>
          <t>NORRBOTTENS LÄN</t>
        </is>
      </c>
      <c r="G432" t="inlineStr">
        <is>
          <t>ÖVERKALIX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46250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32535-2025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45838</v>
      </c>
      <c r="E434" s="1" t="n">
        <v>46250</v>
      </c>
      <c r="F434" t="inlineStr">
        <is>
          <t>NORRBOTTENS LÄN</t>
        </is>
      </c>
      <c r="G434" t="inlineStr">
        <is>
          <t>ÖVERKALIX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31961-2025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45835</v>
      </c>
      <c r="E435" s="1" t="n">
        <v>46250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45621</v>
      </c>
      <c r="E436" s="1" t="n">
        <v>46250</v>
      </c>
      <c r="F436" t="inlineStr">
        <is>
          <t>NORRBOTTENS LÄN</t>
        </is>
      </c>
      <c r="G436" t="inlineStr">
        <is>
          <t>ÖVERKALIX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45837</v>
      </c>
      <c r="E437" s="1" t="n">
        <v>46250</v>
      </c>
      <c r="F437" t="inlineStr">
        <is>
          <t>NORRBOTTENS LÄN</t>
        </is>
      </c>
      <c r="G437" t="inlineStr">
        <is>
          <t>ÖVERKALIX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32377-2025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45837</v>
      </c>
      <c r="E438" s="1" t="n">
        <v>46250</v>
      </c>
      <c r="F438" t="inlineStr">
        <is>
          <t>NORRBOTTENS LÄN</t>
        </is>
      </c>
      <c r="G438" t="inlineStr">
        <is>
          <t>ÖVERKALIX</t>
        </is>
      </c>
      <c r="I438" t="n">
        <v>8.5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41830-2024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45561</v>
      </c>
      <c r="E439" s="1" t="n">
        <v>46250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46250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9.199999999999999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45709</v>
      </c>
      <c r="E441" s="1" t="n">
        <v>46250</v>
      </c>
      <c r="F441" t="inlineStr">
        <is>
          <t>NORRBOTTENS LÄN</t>
        </is>
      </c>
      <c r="G441" t="inlineStr">
        <is>
          <t>ÖVERKALIX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46250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32382-2026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46238</v>
      </c>
      <c r="E443" s="1" t="n">
        <v>46250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33224-2025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46250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46250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45693</v>
      </c>
      <c r="E446" s="1" t="n">
        <v>46250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34128-2025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45845</v>
      </c>
      <c r="E447" s="1" t="n">
        <v>46250</v>
      </c>
      <c r="F447" t="inlineStr">
        <is>
          <t>NORRBOTTENS LÄN</t>
        </is>
      </c>
      <c r="G447" t="inlineStr">
        <is>
          <t>ÖVERKALIX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28210-2026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46196</v>
      </c>
      <c r="E448" s="1" t="n">
        <v>46250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41706-2021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44424</v>
      </c>
      <c r="E449" s="1" t="n">
        <v>46250</v>
      </c>
      <c r="F449" t="inlineStr">
        <is>
          <t>NORRBOTTENS LÄN</t>
        </is>
      </c>
      <c r="G449" t="inlineStr">
        <is>
          <t>ÖVERKALIX</t>
        </is>
      </c>
      <c r="I449" t="n">
        <v>10.2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46250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46250</v>
      </c>
      <c r="F451" t="inlineStr">
        <is>
          <t>NORRBOTTENS LÄN</t>
        </is>
      </c>
      <c r="G451" t="inlineStr">
        <is>
          <t>ÖVERKALIX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36620-2025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45870</v>
      </c>
      <c r="E452" s="1" t="n">
        <v>46250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45870</v>
      </c>
      <c r="E453" s="1" t="n">
        <v>46250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36501-2025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45869</v>
      </c>
      <c r="E454" s="1" t="n">
        <v>46250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45873</v>
      </c>
      <c r="E455" s="1" t="n">
        <v>46250</v>
      </c>
      <c r="F455" t="inlineStr">
        <is>
          <t>NORRBOTTENS LÄN</t>
        </is>
      </c>
      <c r="G455" t="inlineStr">
        <is>
          <t>ÖVERKALIX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46250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46250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46250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46244</v>
      </c>
      <c r="E459" s="1" t="n">
        <v>46250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33284-2026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46246</v>
      </c>
      <c r="E460" s="1" t="n">
        <v>46250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46250</v>
      </c>
      <c r="F461" t="inlineStr">
        <is>
          <t>NORRBOTTENS LÄN</t>
        </is>
      </c>
      <c r="G461" t="inlineStr">
        <is>
          <t>ÖVERKALIX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46250</v>
      </c>
      <c r="F462" t="inlineStr">
        <is>
          <t>NORRBOTTENS LÄN</t>
        </is>
      </c>
      <c r="G462" t="inlineStr">
        <is>
          <t>ÖVERKALIX</t>
        </is>
      </c>
      <c r="I462" t="n">
        <v>22.3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29927-2026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46205</v>
      </c>
      <c r="E463" s="1" t="n">
        <v>46250</v>
      </c>
      <c r="F463" t="inlineStr">
        <is>
          <t>NORRBOTTENS LÄN</t>
        </is>
      </c>
      <c r="G463" t="inlineStr">
        <is>
          <t>ÖVERKALIX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46206</v>
      </c>
      <c r="E464" s="1" t="n">
        <v>46250</v>
      </c>
      <c r="F464" t="inlineStr">
        <is>
          <t>NORRBOTTENS LÄN</t>
        </is>
      </c>
      <c r="G464" t="inlineStr">
        <is>
          <t>ÖVERKALIX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29937-2026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46205</v>
      </c>
      <c r="E465" s="1" t="n">
        <v>46250</v>
      </c>
      <c r="F465" t="inlineStr">
        <is>
          <t>NORRBOTTENS LÄN</t>
        </is>
      </c>
      <c r="G465" t="inlineStr">
        <is>
          <t>ÖVERKALIX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30241-2026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46206</v>
      </c>
      <c r="E466" s="1" t="n">
        <v>46250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33408-2026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46247</v>
      </c>
      <c r="E467" s="1" t="n">
        <v>46250</v>
      </c>
      <c r="F467" t="inlineStr">
        <is>
          <t>NORRBOTTENS LÄN</t>
        </is>
      </c>
      <c r="G467" t="inlineStr">
        <is>
          <t>ÖVERKALIX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46250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46250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3721-2022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44741</v>
      </c>
      <c r="E470" s="1" t="n">
        <v>46250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2792-2024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45485</v>
      </c>
      <c r="E471" s="1" t="n">
        <v>46250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2700-2024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45482</v>
      </c>
      <c r="E472" s="1" t="n">
        <v>46250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4734-2024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45607</v>
      </c>
      <c r="E473" s="1" t="n">
        <v>46250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1178-2025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45756</v>
      </c>
      <c r="E474" s="1" t="n">
        <v>46250</v>
      </c>
      <c r="F474" t="inlineStr">
        <is>
          <t>NORRBOTTENS LÄN</t>
        </is>
      </c>
      <c r="G474" t="inlineStr">
        <is>
          <t>ÖVERKALIX</t>
        </is>
      </c>
      <c r="I474" t="n">
        <v>39.9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1667-2025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45800</v>
      </c>
      <c r="E475" s="1" t="n">
        <v>46250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50-2026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46030</v>
      </c>
      <c r="E476" s="1" t="n">
        <v>46250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2026-08-16T01:48:06Z</dcterms:created>
  <dcterms:modified xmlns:dcterms="http://purl.org/dc/terms/" xmlns:xsi="http://www.w3.org/2001/XMLSchema-instance" xsi:type="dcterms:W3CDTF">2026-08-16T01:48:07Z</dcterms:modified>
</cp:coreProperties>
</file>