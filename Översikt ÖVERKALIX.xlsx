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46226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46226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46226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46226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46226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46226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46226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38989-2023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46226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2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9</v>
      </c>
      <c r="U9" t="n">
        <v>9</v>
      </c>
      <c r="V9" s="2" t="inlineStr">
        <is>
          <t>Goliatmusseron
Blå taggsvamp
Dropptaggsvamp
Motaggsvamp
Orange taggsvamp</t>
        </is>
      </c>
      <c r="W9">
        <f>HYPERLINK("https://klasma.github.io/Logging_2513/artfynd/A 38989-2023 artfynd.xlsx", "A 38989-2023")</f>
        <v/>
      </c>
      <c r="X9">
        <f>HYPERLINK("https://klasma.github.io/Logging_2513/kartor/A 38989-2023 karta.png", "A 38989-2023")</f>
        <v/>
      </c>
      <c r="Y9">
        <f>HYPERLINK("https://klasma.github.io/Logging_2513/kartor_geotiff/A 38989-2023 georefererad karta.tif", "A 38989-2023")</f>
        <v/>
      </c>
      <c r="AA9">
        <f>HYPERLINK("https://klasma.github.io/Logging_2513/klagomål/A 38989-2023 FSC-klagomål.docx", "A 38989-2023")</f>
        <v/>
      </c>
      <c r="AB9">
        <f>HYPERLINK("https://klasma.github.io/Logging_2513/klagomålsmail/A 38989-2023 FSC-klagomål mail.docx", "A 38989-2023")</f>
        <v/>
      </c>
      <c r="AC9">
        <f>HYPERLINK("https://klasma.github.io/Logging_2513/tillsyn/A 38989-2023 tillsynsbegäran.docx", "A 38989-2023")</f>
        <v/>
      </c>
      <c r="AD9">
        <f>HYPERLINK("https://klasma.github.io/Logging_2513/tillsynsmail/A 38989-2023 tillsynsbegäran mail.docx", "A 38989-2023")</f>
        <v/>
      </c>
    </row>
    <row r="10" ht="15" customHeight="1">
      <c r="A10" t="inlineStr">
        <is>
          <t>A 49422-2023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45211</v>
      </c>
      <c r="E10" s="1" t="n">
        <v>46226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5.6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Tallgråticka
Blå taggsvamp
Dropptaggsvamp
Orange taggsvamp
Svartvit taggsvamp</t>
        </is>
      </c>
      <c r="W10">
        <f>HYPERLINK("https://klasma.github.io/Logging_2513/artfynd/A 49422-2023 artfynd.xlsx", "A 49422-2023")</f>
        <v/>
      </c>
      <c r="X10">
        <f>HYPERLINK("https://klasma.github.io/Logging_2513/kartor/A 49422-2023 karta.png", "A 49422-2023")</f>
        <v/>
      </c>
      <c r="Y10">
        <f>HYPERLINK("https://klasma.github.io/Logging_2513/kartor_geotiff/A 49422-2023 georefererad karta.tif", "A 49422-2023")</f>
        <v/>
      </c>
      <c r="AA10">
        <f>HYPERLINK("https://klasma.github.io/Logging_2513/klagomål/A 49422-2023 FSC-klagomål.docx", "A 49422-2023")</f>
        <v/>
      </c>
      <c r="AB10">
        <f>HYPERLINK("https://klasma.github.io/Logging_2513/klagomålsmail/A 49422-2023 FSC-klagomål mail.docx", "A 49422-2023")</f>
        <v/>
      </c>
      <c r="AC10">
        <f>HYPERLINK("https://klasma.github.io/Logging_2513/tillsyn/A 49422-2023 tillsynsbegäran.docx", "A 49422-2023")</f>
        <v/>
      </c>
      <c r="AD10">
        <f>HYPERLINK("https://klasma.github.io/Logging_2513/tillsynsmail/A 49422-2023 tillsynsbegäran mail.docx", "A 49422-2023")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46226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Blå taggsvamp
Orange taggsvamp
Skarp dropptaggsvamp
Tallfingersvamp
Vaxspindling</t>
        </is>
      </c>
      <c r="W11">
        <f>HYPERLINK("https://klasma.github.io/Logging_2513/artfynd/A 31751-2025 artfynd.xlsx", "A 31751-2025")</f>
        <v/>
      </c>
      <c r="X11">
        <f>HYPERLINK("https://klasma.github.io/Logging_2513/kartor/A 31751-2025 karta.png", "A 31751-2025")</f>
        <v/>
      </c>
      <c r="Y11">
        <f>HYPERLINK("https://klasma.github.io/Logging_2513/kartor_geotiff/A 31751-2025 georefererad karta.tif", "A 31751-2025")</f>
        <v/>
      </c>
      <c r="AA11">
        <f>HYPERLINK("https://klasma.github.io/Logging_2513/klagomål/A 31751-2025 FSC-klagomål.docx", "A 31751-2025")</f>
        <v/>
      </c>
      <c r="AB11">
        <f>HYPERLINK("https://klasma.github.io/Logging_2513/klagomålsmail/A 31751-2025 FSC-klagomål mail.docx", "A 31751-2025")</f>
        <v/>
      </c>
      <c r="AC11">
        <f>HYPERLINK("https://klasma.github.io/Logging_2513/tillsyn/A 31751-2025 tillsynsbegäran.docx", "A 31751-2025")</f>
        <v/>
      </c>
      <c r="AD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46226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Garnlav
Stuplav
Spillkråka
Tjäder</t>
        </is>
      </c>
      <c r="W12">
        <f>HYPERLINK("https://klasma.github.io/Logging_2513/artfynd/A 1827-2025 artfynd.xlsx", "A 1827-2025")</f>
        <v/>
      </c>
      <c r="X12">
        <f>HYPERLINK("https://klasma.github.io/Logging_2513/kartor/A 1827-2025 karta.png", "A 1827-2025")</f>
        <v/>
      </c>
      <c r="Y12">
        <f>HYPERLINK("https://klasma.github.io/Logging_2513/kartor_geotiff/A 1827-2025 georefererad karta.tif", "A 1827-2025")</f>
        <v/>
      </c>
      <c r="AA12">
        <f>HYPERLINK("https://klasma.github.io/Logging_2513/klagomål/A 1827-2025 FSC-klagomål.docx", "A 1827-2025")</f>
        <v/>
      </c>
      <c r="AB12">
        <f>HYPERLINK("https://klasma.github.io/Logging_2513/klagomålsmail/A 1827-2025 FSC-klagomål mail.docx", "A 1827-2025")</f>
        <v/>
      </c>
      <c r="AC12">
        <f>HYPERLINK("https://klasma.github.io/Logging_2513/tillsyn/A 1827-2025 tillsynsbegäran.docx", "A 1827-2025")</f>
        <v/>
      </c>
      <c r="AD12">
        <f>HYPERLINK("https://klasma.github.io/Logging_2513/tillsynsmail/A 1827-2025 tillsynsbegäran mail.docx", "A 1827-2025")</f>
        <v/>
      </c>
      <c r="AE12">
        <f>HYPERLINK("https://klasma.github.io/Logging_2513/fåglar/A 1827-2025 prioriterade fågelarter.docx", "A 1827-2025")</f>
        <v/>
      </c>
    </row>
    <row r="13" ht="15" customHeight="1">
      <c r="A13" t="inlineStr">
        <is>
          <t>A 23383-2026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46226</v>
      </c>
      <c r="F13" t="inlineStr">
        <is>
          <t>NORRBOTTENS LÄN</t>
        </is>
      </c>
      <c r="G13" t="inlineStr">
        <is>
          <t>ÖVERKALIX</t>
        </is>
      </c>
      <c r="I13" t="n">
        <v>2.6</v>
      </c>
      <c r="J13" t="n">
        <v>2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4</v>
      </c>
      <c r="T13" t="n">
        <v>13</v>
      </c>
      <c r="U13" t="n">
        <v>13</v>
      </c>
      <c r="V13" s="2" t="inlineStr">
        <is>
          <t>Garnlav
Knärot
Myskmåra
Tretåig hackspett</t>
        </is>
      </c>
      <c r="W13">
        <f>HYPERLINK("https://klasma.github.io/Logging_2513/artfynd/A 23383-2026 artfynd.xlsx", "A 23383-2026")</f>
        <v/>
      </c>
      <c r="X13">
        <f>HYPERLINK("https://klasma.github.io/Logging_2513/kartor/A 23383-2026 karta.png", "A 23383-2026")</f>
        <v/>
      </c>
      <c r="Y13">
        <f>HYPERLINK("https://klasma.github.io/Logging_2513/kartor_geotiff/A 23383-2026 georefererad karta.tif", "A 23383-2026")</f>
        <v/>
      </c>
      <c r="Z13">
        <f>HYPERLINK("https://klasma.github.io/Logging_2513/knärot/A 23383-2026 karta knärot.png", "A 23383-2026")</f>
        <v/>
      </c>
      <c r="AA13">
        <f>HYPERLINK("https://klasma.github.io/Logging_2513/klagomål/A 23383-2026 FSC-klagomål.docx", "A 23383-2026")</f>
        <v/>
      </c>
      <c r="AB13">
        <f>HYPERLINK("https://klasma.github.io/Logging_2513/klagomålsmail/A 23383-2026 FSC-klagomål mail.docx", "A 23383-2026")</f>
        <v/>
      </c>
      <c r="AC13">
        <f>HYPERLINK("https://klasma.github.io/Logging_2513/tillsyn/A 23383-2026 tillsynsbegäran.docx", "A 23383-2026")</f>
        <v/>
      </c>
      <c r="AD13">
        <f>HYPERLINK("https://klasma.github.io/Logging_2513/tillsynsmail/A 23383-2026 tillsynsbegäran mail.docx", "A 23383-2026")</f>
        <v/>
      </c>
      <c r="AE13">
        <f>HYPERLINK("https://klasma.github.io/Logging_2513/fåglar/A 23383-2026 prioriterade fågelarter.docx", "A 23383-2026")</f>
        <v/>
      </c>
    </row>
    <row r="14" ht="15" customHeight="1">
      <c r="A14" t="inlineStr">
        <is>
          <t>A 23373-2026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46226</v>
      </c>
      <c r="F14" t="inlineStr">
        <is>
          <t>NORRBOTTENS LÄN</t>
        </is>
      </c>
      <c r="G14" t="inlineStr">
        <is>
          <t>ÖVERKALIX</t>
        </is>
      </c>
      <c r="I14" t="n">
        <v>2</v>
      </c>
      <c r="J14" t="n">
        <v>2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5</v>
      </c>
      <c r="U14" t="n">
        <v>5</v>
      </c>
      <c r="V14" s="2" t="inlineStr">
        <is>
          <t>Garnlav
Knärot
Tretåig hackspett
Sälg</t>
        </is>
      </c>
      <c r="W14">
        <f>HYPERLINK("https://klasma.github.io/Logging_2513/artfynd/A 23373-2026 artfynd.xlsx", "A 23373-2026")</f>
        <v/>
      </c>
      <c r="X14">
        <f>HYPERLINK("https://klasma.github.io/Logging_2513/kartor/A 23373-2026 karta.png", "A 23373-2026")</f>
        <v/>
      </c>
      <c r="Y14">
        <f>HYPERLINK("https://klasma.github.io/Logging_2513/kartor_geotiff/A 23373-2026 georefererad karta.tif", "A 23373-2026")</f>
        <v/>
      </c>
      <c r="Z14">
        <f>HYPERLINK("https://klasma.github.io/Logging_2513/knärot/A 23373-2026 karta knärot.png", "A 23373-2026")</f>
        <v/>
      </c>
      <c r="AA14">
        <f>HYPERLINK("https://klasma.github.io/Logging_2513/klagomål/A 23373-2026 FSC-klagomål.docx", "A 23373-2026")</f>
        <v/>
      </c>
      <c r="AB14">
        <f>HYPERLINK("https://klasma.github.io/Logging_2513/klagomålsmail/A 23373-2026 FSC-klagomål mail.docx", "A 23373-2026")</f>
        <v/>
      </c>
      <c r="AC14">
        <f>HYPERLINK("https://klasma.github.io/Logging_2513/tillsyn/A 23373-2026 tillsynsbegäran.docx", "A 23373-2026")</f>
        <v/>
      </c>
      <c r="AD14">
        <f>HYPERLINK("https://klasma.github.io/Logging_2513/tillsynsmail/A 23373-2026 tillsynsbegäran mail.docx", "A 23373-2026")</f>
        <v/>
      </c>
      <c r="AE14">
        <f>HYPERLINK("https://klasma.github.io/Logging_2513/fåglar/A 23373-2026 prioriterade fågelarter.docx", "A 23373-2026")</f>
        <v/>
      </c>
    </row>
    <row r="15" ht="15" customHeight="1">
      <c r="A15" t="inlineStr">
        <is>
          <t>S 440-2023</t>
        </is>
      </c>
      <c r="B15" t="inlineStr">
        <is>
          <t>samrådsanmälan</t>
        </is>
      </c>
      <c r="C15" t="inlineStr">
        <is>
          <t>Skogsgödsling</t>
        </is>
      </c>
      <c r="D15" s="1" t="n">
        <v>44960</v>
      </c>
      <c r="E15" s="1" t="n">
        <v>46226</v>
      </c>
      <c r="F15" t="inlineStr">
        <is>
          <t>NORRBOTTENS LÄN</t>
        </is>
      </c>
      <c r="G15" t="inlineStr">
        <is>
          <t>ÖVERKALIX</t>
        </is>
      </c>
      <c r="H15" t="inlineStr">
        <is>
          <t>SCA</t>
        </is>
      </c>
      <c r="I15" t="n">
        <v>164.8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Älg
Järpe
Spillkråka
Tallbit</t>
        </is>
      </c>
      <c r="W15">
        <f>HYPERLINK("https://klasma.github.io/Logging_2513/artfynd/S 440-2023 artfynd.xlsx", "S 440-2023")</f>
        <v/>
      </c>
      <c r="X15">
        <f>HYPERLINK("https://klasma.github.io/Logging_2513/kartor/S 440-2023 karta.png", "S 440-2023")</f>
        <v/>
      </c>
      <c r="Y15">
        <f>HYPERLINK("https://klasma.github.io/Logging_2513/kartor_geotiff/S 440-2023 georefererad karta.tif", "S 440-2023")</f>
        <v/>
      </c>
      <c r="AA15">
        <f>HYPERLINK("https://klasma.github.io/Logging_2513/klagomål/S 440-2023 FSC-klagomål.docx", "S 440-2023")</f>
        <v/>
      </c>
      <c r="AB15">
        <f>HYPERLINK("https://klasma.github.io/Logging_2513/klagomålsmail/S 440-2023 FSC-klagomål mail.docx", "S 440-2023")</f>
        <v/>
      </c>
      <c r="AC15">
        <f>HYPERLINK("https://klasma.github.io/Logging_2513/tillsyn/S 440-2023 tillsynsbegäran.docx", "S 440-2023")</f>
        <v/>
      </c>
      <c r="AD15">
        <f>HYPERLINK("https://klasma.github.io/Logging_2513/tillsynsmail/S 440-2023 tillsynsbegäran mail.docx", "S 440-2023")</f>
        <v/>
      </c>
      <c r="AE15">
        <f>HYPERLINK("https://klasma.github.io/Logging_2513/fåglar/S 440-2023 prioriterade fågelarter.docx", "S 440-2023")</f>
        <v/>
      </c>
    </row>
    <row r="16" ht="15" customHeight="1">
      <c r="A16" t="inlineStr">
        <is>
          <t>S 2267-2025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45874</v>
      </c>
      <c r="E16" s="1" t="n">
        <v>46226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1.7</v>
      </c>
      <c r="J16" t="n">
        <v>1</v>
      </c>
      <c r="K16" t="n">
        <v>0</v>
      </c>
      <c r="L16" t="n">
        <v>2</v>
      </c>
      <c r="M16" t="n">
        <v>1</v>
      </c>
      <c r="N16" t="n">
        <v>1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4</v>
      </c>
      <c r="U16" t="n">
        <v>0</v>
      </c>
      <c r="V16" s="2" t="inlineStr">
        <is>
          <t>Djupsvart brunbagge
Tornseglare
Rosenticka
Ullticka</t>
        </is>
      </c>
      <c r="W16">
        <f>HYPERLINK("https://klasma.github.io/Logging_2513/artfynd/S 2267-2025 artfynd.xlsx", "S 2267-2025")</f>
        <v/>
      </c>
      <c r="X16">
        <f>HYPERLINK("https://klasma.github.io/Logging_2513/kartor/S 2267-2025 karta.png", "S 2267-2025")</f>
        <v/>
      </c>
      <c r="Y16">
        <f>HYPERLINK("https://klasma.github.io/Logging_2513/kartor_geotiff/S 2267-2025 georefererad karta.tif", "S 2267-2025")</f>
        <v/>
      </c>
      <c r="AA16">
        <f>HYPERLINK("https://klasma.github.io/Logging_2513/klagomål/S 2267-2025 FSC-klagomål.docx", "S 2267-2025")</f>
        <v/>
      </c>
      <c r="AB16">
        <f>HYPERLINK("https://klasma.github.io/Logging_2513/klagomålsmail/S 2267-2025 FSC-klagomål mail.docx", "S 2267-2025")</f>
        <v/>
      </c>
      <c r="AC16">
        <f>HYPERLINK("https://klasma.github.io/Logging_2513/tillsyn/S 2267-2025 tillsynsbegäran.docx", "S 2267-2025")</f>
        <v/>
      </c>
      <c r="AD16">
        <f>HYPERLINK("https://klasma.github.io/Logging_2513/tillsynsmail/S 2267-2025 tillsynsbegäran mail.docx", "S 2267-2025")</f>
        <v/>
      </c>
      <c r="AE16">
        <f>HYPERLINK("https://klasma.github.io/Logging_2513/fåglar/S 2267-2025 prioriterade fågelarter.docx", "S 2267-2025")</f>
        <v/>
      </c>
    </row>
    <row r="17" ht="15" customHeight="1">
      <c r="A17" t="inlineStr">
        <is>
          <t>A 17802-2025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45758</v>
      </c>
      <c r="E17" s="1" t="n">
        <v>46226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1.6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Hökuggla
Älg
Tjäder</t>
        </is>
      </c>
      <c r="W17">
        <f>HYPERLINK("https://klasma.github.io/Logging_2513/artfynd/A 17802-2025 artfynd.xlsx", "A 17802-2025")</f>
        <v/>
      </c>
      <c r="X17">
        <f>HYPERLINK("https://klasma.github.io/Logging_2513/kartor/A 17802-2025 karta.png", "A 17802-2025")</f>
        <v/>
      </c>
      <c r="Y17">
        <f>HYPERLINK("https://klasma.github.io/Logging_2513/kartor_geotiff/A 17802-2025 georefererad karta.tif", "A 17802-2025")</f>
        <v/>
      </c>
      <c r="AA17">
        <f>HYPERLINK("https://klasma.github.io/Logging_2513/klagomål/A 17802-2025 FSC-klagomål.docx", "A 17802-2025")</f>
        <v/>
      </c>
      <c r="AB17">
        <f>HYPERLINK("https://klasma.github.io/Logging_2513/klagomålsmail/A 17802-2025 FSC-klagomål mail.docx", "A 17802-2025")</f>
        <v/>
      </c>
      <c r="AC17">
        <f>HYPERLINK("https://klasma.github.io/Logging_2513/tillsyn/A 17802-2025 tillsynsbegäran.docx", "A 17802-2025")</f>
        <v/>
      </c>
      <c r="AD17">
        <f>HYPERLINK("https://klasma.github.io/Logging_2513/tillsynsmail/A 17802-2025 tillsynsbegäran mail.docx", "A 17802-2025")</f>
        <v/>
      </c>
      <c r="AE17">
        <f>HYPERLINK("https://klasma.github.io/Logging_2513/fåglar/A 17802-2025 prioriterade fågelarter.docx", "A 17802-2025")</f>
        <v/>
      </c>
    </row>
    <row r="18" ht="15" customHeight="1">
      <c r="A18" t="inlineStr">
        <is>
          <t>A 28577-2024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45478</v>
      </c>
      <c r="E18" s="1" t="n">
        <v>46226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0.8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12</v>
      </c>
      <c r="U18" t="n">
        <v>0</v>
      </c>
      <c r="V18" s="2" t="inlineStr">
        <is>
          <t>Månlåsbräken
Plattlummer
Fläcknycklar</t>
        </is>
      </c>
      <c r="W18">
        <f>HYPERLINK("https://klasma.github.io/Logging_2513/artfynd/A 28577-2024 artfynd.xlsx", "A 28577-2024")</f>
        <v/>
      </c>
      <c r="X18">
        <f>HYPERLINK("https://klasma.github.io/Logging_2513/kartor/A 28577-2024 karta.png", "A 28577-2024")</f>
        <v/>
      </c>
      <c r="Y18">
        <f>HYPERLINK("https://klasma.github.io/Logging_2513/kartor_geotiff/A 28577-2024 georefererad karta.tif", "A 28577-2024")</f>
        <v/>
      </c>
      <c r="AA18">
        <f>HYPERLINK("https://klasma.github.io/Logging_2513/klagomål/A 28577-2024 FSC-klagomål.docx", "A 28577-2024")</f>
        <v/>
      </c>
      <c r="AB18">
        <f>HYPERLINK("https://klasma.github.io/Logging_2513/klagomålsmail/A 28577-2024 FSC-klagomål mail.docx", "A 28577-2024")</f>
        <v/>
      </c>
      <c r="AC18">
        <f>HYPERLINK("https://klasma.github.io/Logging_2513/tillsyn/A 28577-2024 tillsynsbegäran.docx", "A 28577-2024")</f>
        <v/>
      </c>
      <c r="AD18">
        <f>HYPERLINK("https://klasma.github.io/Logging_2513/tillsynsmail/A 28577-2024 tillsynsbegäran mail.docx", "A 28577-2024")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46226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46226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30525-2025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45831</v>
      </c>
      <c r="E21" s="1" t="n">
        <v>46226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5.3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Gammelgransskål
Bollvitmossa
Järpe</t>
        </is>
      </c>
      <c r="W21">
        <f>HYPERLINK("https://klasma.github.io/Logging_2513/artfynd/A 30525-2025 artfynd.xlsx", "A 30525-2025")</f>
        <v/>
      </c>
      <c r="X21">
        <f>HYPERLINK("https://klasma.github.io/Logging_2513/kartor/A 30525-2025 karta.png", "A 30525-2025")</f>
        <v/>
      </c>
      <c r="Y21">
        <f>HYPERLINK("https://klasma.github.io/Logging_2513/kartor_geotiff/A 30525-2025 georefererad karta.tif", "A 30525-2025")</f>
        <v/>
      </c>
      <c r="AA21">
        <f>HYPERLINK("https://klasma.github.io/Logging_2513/klagomål/A 30525-2025 FSC-klagomål.docx", "A 30525-2025")</f>
        <v/>
      </c>
      <c r="AB21">
        <f>HYPERLINK("https://klasma.github.io/Logging_2513/klagomålsmail/A 30525-2025 FSC-klagomål mail.docx", "A 30525-2025")</f>
        <v/>
      </c>
      <c r="AC21">
        <f>HYPERLINK("https://klasma.github.io/Logging_2513/tillsyn/A 30525-2025 tillsynsbegäran.docx", "A 30525-2025")</f>
        <v/>
      </c>
      <c r="AD21">
        <f>HYPERLINK("https://klasma.github.io/Logging_2513/tillsynsmail/A 30525-2025 tillsynsbegäran mail.docx", "A 30525-2025")</f>
        <v/>
      </c>
      <c r="AE21">
        <f>HYPERLINK("https://klasma.github.io/Logging_2513/fåglar/A 30525-2025 prioriterade fågelarter.docx", "A 30525-2025")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46226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28998-2026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46199</v>
      </c>
      <c r="E23" s="1" t="n">
        <v>46226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46.7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9</v>
      </c>
      <c r="U23" t="n">
        <v>2</v>
      </c>
      <c r="V23" s="2" t="inlineStr">
        <is>
          <t>Garnlav
Lunglav
Fläcknycklar</t>
        </is>
      </c>
      <c r="W23">
        <f>HYPERLINK("https://klasma.github.io/Logging_2513/artfynd/A 28998-2026 artfynd.xlsx", "A 28998-2026")</f>
        <v/>
      </c>
      <c r="X23">
        <f>HYPERLINK("https://klasma.github.io/Logging_2513/kartor/A 28998-2026 karta.png", "A 28998-2026")</f>
        <v/>
      </c>
      <c r="Y23">
        <f>HYPERLINK("https://klasma.github.io/Logging_2513/kartor_geotiff/A 28998-2026 georefererad karta.tif", "A 28998-2026")</f>
        <v/>
      </c>
      <c r="AA23">
        <f>HYPERLINK("https://klasma.github.io/Logging_2513/klagomål/A 28998-2026 FSC-klagomål.docx", "A 28998-2026")</f>
        <v/>
      </c>
      <c r="AB23">
        <f>HYPERLINK("https://klasma.github.io/Logging_2513/klagomålsmail/A 28998-2026 FSC-klagomål mail.docx", "A 28998-2026")</f>
        <v/>
      </c>
      <c r="AC23">
        <f>HYPERLINK("https://klasma.github.io/Logging_2513/tillsyn/A 28998-2026 tillsynsbegäran.docx", "A 28998-2026")</f>
        <v/>
      </c>
      <c r="AD23">
        <f>HYPERLINK("https://klasma.github.io/Logging_2513/tillsynsmail/A 28998-2026 tillsynsbegäran mail.docx", "A 28998-2026")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46226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46226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46226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5797-2022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46226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Skarp dropptaggsvamp
Violmussling</t>
        </is>
      </c>
      <c r="W27">
        <f>HYPERLINK("https://klasma.github.io/Logging_2513/artfynd/A 5797-2022 artfynd.xlsx", "A 5797-2022")</f>
        <v/>
      </c>
      <c r="X27">
        <f>HYPERLINK("https://klasma.github.io/Logging_2513/kartor/A 5797-2022 karta.png", "A 5797-2022")</f>
        <v/>
      </c>
      <c r="Y27">
        <f>HYPERLINK("https://klasma.github.io/Logging_2513/kartor_geotiff/A 5797-2022 georefererad karta.tif", "A 5797-2022")</f>
        <v/>
      </c>
      <c r="AA27">
        <f>HYPERLINK("https://klasma.github.io/Logging_2513/klagomål/A 5797-2022 FSC-klagomål.docx", "A 5797-2022")</f>
        <v/>
      </c>
      <c r="AB27">
        <f>HYPERLINK("https://klasma.github.io/Logging_2513/klagomålsmail/A 5797-2022 FSC-klagomål mail.docx", "A 5797-2022")</f>
        <v/>
      </c>
      <c r="AC27">
        <f>HYPERLINK("https://klasma.github.io/Logging_2513/tillsyn/A 5797-2022 tillsynsbegäran.docx", "A 5797-2022")</f>
        <v/>
      </c>
      <c r="AD27">
        <f>HYPERLINK("https://klasma.github.io/Logging_2513/tillsynsmail/A 5797-2022 tillsynsbegäran mail.docx", "A 5797-2022")</f>
        <v/>
      </c>
    </row>
    <row r="28" ht="15" customHeight="1">
      <c r="A28" t="inlineStr">
        <is>
          <t>A 40706-2023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45170</v>
      </c>
      <c r="E28" s="1" t="n">
        <v>46226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7.1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Dropptaggsvamp</t>
        </is>
      </c>
      <c r="W28">
        <f>HYPERLINK("https://klasma.github.io/Logging_2513/artfynd/A 40706-2023 artfynd.xlsx", "A 40706-2023")</f>
        <v/>
      </c>
      <c r="X28">
        <f>HYPERLINK("https://klasma.github.io/Logging_2513/kartor/A 40706-2023 karta.png", "A 40706-2023")</f>
        <v/>
      </c>
      <c r="Y28">
        <f>HYPERLINK("https://klasma.github.io/Logging_2513/kartor_geotiff/A 40706-2023 georefererad karta.tif", "A 40706-2023")</f>
        <v/>
      </c>
      <c r="Z28">
        <f>HYPERLINK("https://klasma.github.io/Logging_2513/knärot/A 40706-2023 karta knärot.png", "A 40706-2023")</f>
        <v/>
      </c>
      <c r="AA28">
        <f>HYPERLINK("https://klasma.github.io/Logging_2513/klagomål/A 40706-2023 FSC-klagomål.docx", "A 40706-2023")</f>
        <v/>
      </c>
      <c r="AB28">
        <f>HYPERLINK("https://klasma.github.io/Logging_2513/klagomålsmail/A 40706-2023 FSC-klagomål mail.docx", "A 40706-2023")</f>
        <v/>
      </c>
      <c r="AC28">
        <f>HYPERLINK("https://klasma.github.io/Logging_2513/tillsyn/A 40706-2023 tillsynsbegäran.docx", "A 40706-2023")</f>
        <v/>
      </c>
      <c r="AD28">
        <f>HYPERLINK("https://klasma.github.io/Logging_2513/tillsynsmail/A 40706-2023 tillsynsbegäran mail.docx", "A 40706-2023")</f>
        <v/>
      </c>
    </row>
    <row r="29" ht="15" customHeight="1">
      <c r="A29" t="inlineStr">
        <is>
          <t>A 40116-2025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45894</v>
      </c>
      <c r="E29" s="1" t="n">
        <v>46226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29.7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5</v>
      </c>
      <c r="U29" t="n">
        <v>3</v>
      </c>
      <c r="V29" s="2" t="inlineStr">
        <is>
          <t>Lunglav
Skrovellav</t>
        </is>
      </c>
      <c r="W29">
        <f>HYPERLINK("https://klasma.github.io/Logging_2513/artfynd/A 40116-2025 artfynd.xlsx", "A 40116-2025")</f>
        <v/>
      </c>
      <c r="X29">
        <f>HYPERLINK("https://klasma.github.io/Logging_2513/kartor/A 40116-2025 karta.png", "A 40116-2025")</f>
        <v/>
      </c>
      <c r="Y29">
        <f>HYPERLINK("https://klasma.github.io/Logging_2513/kartor_geotiff/A 40116-2025 georefererad karta.tif", "A 40116-2025")</f>
        <v/>
      </c>
      <c r="AA29">
        <f>HYPERLINK("https://klasma.github.io/Logging_2513/klagomål/A 40116-2025 FSC-klagomål.docx", "A 40116-2025")</f>
        <v/>
      </c>
      <c r="AB29">
        <f>HYPERLINK("https://klasma.github.io/Logging_2513/klagomålsmail/A 40116-2025 FSC-klagomål mail.docx", "A 40116-2025")</f>
        <v/>
      </c>
      <c r="AC29">
        <f>HYPERLINK("https://klasma.github.io/Logging_2513/tillsyn/A 40116-2025 tillsynsbegäran.docx", "A 40116-2025")</f>
        <v/>
      </c>
      <c r="AD29">
        <f>HYPERLINK("https://klasma.github.io/Logging_2513/tillsynsmail/A 40116-2025 tillsynsbegäran mail.docx", "A 40116-2025")</f>
        <v/>
      </c>
    </row>
    <row r="30" ht="15" customHeight="1">
      <c r="A30" t="inlineStr">
        <is>
          <t>A 42285-2025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45904</v>
      </c>
      <c r="E30" s="1" t="n">
        <v>46226</v>
      </c>
      <c r="F30" t="inlineStr">
        <is>
          <t>NORRBOTTENS LÄN</t>
        </is>
      </c>
      <c r="G30" t="inlineStr">
        <is>
          <t>ÖVERKALIX</t>
        </is>
      </c>
      <c r="I30" t="n">
        <v>0.3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Vanlig padda</t>
        </is>
      </c>
      <c r="W30">
        <f>HYPERLINK("https://klasma.github.io/Logging_2513/artfynd/A 42285-2025 artfynd.xlsx", "A 42285-2025")</f>
        <v/>
      </c>
      <c r="X30">
        <f>HYPERLINK("https://klasma.github.io/Logging_2513/kartor/A 42285-2025 karta.png", "A 42285-2025")</f>
        <v/>
      </c>
      <c r="Y30">
        <f>HYPERLINK("https://klasma.github.io/Logging_2513/kartor_geotiff/A 42285-2025 georefererad karta.tif", "A 42285-2025")</f>
        <v/>
      </c>
      <c r="AA30">
        <f>HYPERLINK("https://klasma.github.io/Logging_2513/klagomål/A 42285-2025 FSC-klagomål.docx", "A 42285-2025")</f>
        <v/>
      </c>
      <c r="AB30">
        <f>HYPERLINK("https://klasma.github.io/Logging_2513/klagomålsmail/A 42285-2025 FSC-klagomål mail.docx", "A 42285-2025")</f>
        <v/>
      </c>
      <c r="AC30">
        <f>HYPERLINK("https://klasma.github.io/Logging_2513/tillsyn/A 42285-2025 tillsynsbegäran.docx", "A 42285-2025")</f>
        <v/>
      </c>
      <c r="AD30">
        <f>HYPERLINK("https://klasma.github.io/Logging_2513/tillsynsmail/A 42285-2025 tillsynsbegäran mail.docx", "A 42285-2025")</f>
        <v/>
      </c>
    </row>
    <row r="31" ht="15" customHeight="1">
      <c r="A31" t="inlineStr">
        <is>
          <t>A 14152-2026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46099</v>
      </c>
      <c r="E31" s="1" t="n">
        <v>46226</v>
      </c>
      <c r="F31" t="inlineStr">
        <is>
          <t>NORRBOTTENS LÄN</t>
        </is>
      </c>
      <c r="G31" t="inlineStr">
        <is>
          <t>ÖVERKALIX</t>
        </is>
      </c>
      <c r="I31" t="n">
        <v>4.6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Källpraktmossa
Spädstarr</t>
        </is>
      </c>
      <c r="W31">
        <f>HYPERLINK("https://klasma.github.io/Logging_2513/artfynd/A 14152-2026 artfynd.xlsx", "A 14152-2026")</f>
        <v/>
      </c>
      <c r="X31">
        <f>HYPERLINK("https://klasma.github.io/Logging_2513/kartor/A 14152-2026 karta.png", "A 14152-2026")</f>
        <v/>
      </c>
      <c r="Y31">
        <f>HYPERLINK("https://klasma.github.io/Logging_2513/kartor_geotiff/A 14152-2026 georefererad karta.tif", "A 14152-2026")</f>
        <v/>
      </c>
      <c r="AA31">
        <f>HYPERLINK("https://klasma.github.io/Logging_2513/klagomål/A 14152-2026 FSC-klagomål.docx", "A 14152-2026")</f>
        <v/>
      </c>
      <c r="AB31">
        <f>HYPERLINK("https://klasma.github.io/Logging_2513/klagomålsmail/A 14152-2026 FSC-klagomål mail.docx", "A 14152-2026")</f>
        <v/>
      </c>
      <c r="AC31">
        <f>HYPERLINK("https://klasma.github.io/Logging_2513/tillsyn/A 14152-2026 tillsynsbegäran.docx", "A 14152-2026")</f>
        <v/>
      </c>
      <c r="AD31">
        <f>HYPERLINK("https://klasma.github.io/Logging_2513/tillsynsmail/A 14152-2026 tillsynsbegäran mail.docx", "A 14152-2026")</f>
        <v/>
      </c>
    </row>
    <row r="32" ht="15" customHeight="1">
      <c r="A32" t="inlineStr">
        <is>
          <t>A 34921-2025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46226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16.4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Gammelgransskål
Lunglav</t>
        </is>
      </c>
      <c r="W32">
        <f>HYPERLINK("https://klasma.github.io/Logging_2513/artfynd/A 34921-2025 artfynd.xlsx", "A 34921-2025")</f>
        <v/>
      </c>
      <c r="X32">
        <f>HYPERLINK("https://klasma.github.io/Logging_2513/kartor/A 34921-2025 karta.png", "A 34921-2025")</f>
        <v/>
      </c>
      <c r="Y32">
        <f>HYPERLINK("https://klasma.github.io/Logging_2513/kartor_geotiff/A 34921-2025 georefererad karta.tif", "A 34921-2025")</f>
        <v/>
      </c>
      <c r="AA32">
        <f>HYPERLINK("https://klasma.github.io/Logging_2513/klagomål/A 34921-2025 FSC-klagomål.docx", "A 34921-2025")</f>
        <v/>
      </c>
      <c r="AB32">
        <f>HYPERLINK("https://klasma.github.io/Logging_2513/klagomålsmail/A 34921-2025 FSC-klagomål mail.docx", "A 34921-2025")</f>
        <v/>
      </c>
      <c r="AC32">
        <f>HYPERLINK("https://klasma.github.io/Logging_2513/tillsyn/A 34921-2025 tillsynsbegäran.docx", "A 34921-2025")</f>
        <v/>
      </c>
      <c r="AD32">
        <f>HYPERLINK("https://klasma.github.io/Logging_2513/tillsynsmail/A 34921-2025 tillsynsbegäran mail.docx", "A 34921-2025")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46226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47680-2024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45588</v>
      </c>
      <c r="E34" s="1" t="n">
        <v>46226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Blå taggsvamp
Skarp dropptaggsvamp</t>
        </is>
      </c>
      <c r="W34">
        <f>HYPERLINK("https://klasma.github.io/Logging_2513/artfynd/A 47680-2024 artfynd.xlsx", "A 47680-2024")</f>
        <v/>
      </c>
      <c r="X34">
        <f>HYPERLINK("https://klasma.github.io/Logging_2513/kartor/A 47680-2024 karta.png", "A 47680-2024")</f>
        <v/>
      </c>
      <c r="Y34">
        <f>HYPERLINK("https://klasma.github.io/Logging_2513/kartor_geotiff/A 47680-2024 georefererad karta.tif", "A 47680-2024")</f>
        <v/>
      </c>
      <c r="AA34">
        <f>HYPERLINK("https://klasma.github.io/Logging_2513/klagomål/A 47680-2024 FSC-klagomål.docx", "A 47680-2024")</f>
        <v/>
      </c>
      <c r="AB34">
        <f>HYPERLINK("https://klasma.github.io/Logging_2513/klagomålsmail/A 47680-2024 FSC-klagomål mail.docx", "A 47680-2024")</f>
        <v/>
      </c>
      <c r="AC34">
        <f>HYPERLINK("https://klasma.github.io/Logging_2513/tillsyn/A 47680-2024 tillsynsbegäran.docx", "A 47680-2024")</f>
        <v/>
      </c>
      <c r="AD34">
        <f>HYPERLINK("https://klasma.github.io/Logging_2513/tillsynsmail/A 47680-2024 tillsynsbegäran mail.docx", "A 47680-2024")</f>
        <v/>
      </c>
    </row>
    <row r="35" ht="15" customHeight="1">
      <c r="A35" t="inlineStr">
        <is>
          <t>A 62951-2025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46009</v>
      </c>
      <c r="E35" s="1" t="n">
        <v>46226</v>
      </c>
      <c r="F35" t="inlineStr">
        <is>
          <t>NORRBOTTENS LÄN</t>
        </is>
      </c>
      <c r="G35" t="inlineStr">
        <is>
          <t>ÖVERKALIX</t>
        </is>
      </c>
      <c r="H35" t="inlineStr">
        <is>
          <t>SCA</t>
        </is>
      </c>
      <c r="I35" t="n">
        <v>4.2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Ullticka</t>
        </is>
      </c>
      <c r="W35">
        <f>HYPERLINK("https://klasma.github.io/Logging_2513/artfynd/A 62951-2025 artfynd.xlsx", "A 62951-2025")</f>
        <v/>
      </c>
      <c r="X35">
        <f>HYPERLINK("https://klasma.github.io/Logging_2513/kartor/A 62951-2025 karta.png", "A 62951-2025")</f>
        <v/>
      </c>
      <c r="Y35">
        <f>HYPERLINK("https://klasma.github.io/Logging_2513/kartor_geotiff/A 62951-2025 georefererad karta.tif", "A 62951-2025")</f>
        <v/>
      </c>
      <c r="AA35">
        <f>HYPERLINK("https://klasma.github.io/Logging_2513/klagomål/A 62951-2025 FSC-klagomål.docx", "A 62951-2025")</f>
        <v/>
      </c>
      <c r="AB35">
        <f>HYPERLINK("https://klasma.github.io/Logging_2513/klagomålsmail/A 62951-2025 FSC-klagomål mail.docx", "A 62951-2025")</f>
        <v/>
      </c>
      <c r="AC35">
        <f>HYPERLINK("https://klasma.github.io/Logging_2513/tillsyn/A 62951-2025 tillsynsbegäran.docx", "A 62951-2025")</f>
        <v/>
      </c>
      <c r="AD35">
        <f>HYPERLINK("https://klasma.github.io/Logging_2513/tillsynsmail/A 62951-2025 tillsynsbegäran mail.docx", "A 62951-2025")</f>
        <v/>
      </c>
    </row>
    <row r="36" ht="15" customHeight="1">
      <c r="A36" t="inlineStr">
        <is>
          <t>A 28029-2026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46195</v>
      </c>
      <c r="E36" s="1" t="n">
        <v>46226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 taggsvamp
Bollvitmossa</t>
        </is>
      </c>
      <c r="W36">
        <f>HYPERLINK("https://klasma.github.io/Logging_2513/artfynd/A 28029-2026 artfynd.xlsx", "A 28029-2026")</f>
        <v/>
      </c>
      <c r="X36">
        <f>HYPERLINK("https://klasma.github.io/Logging_2513/kartor/A 28029-2026 karta.png", "A 28029-2026")</f>
        <v/>
      </c>
      <c r="Y36">
        <f>HYPERLINK("https://klasma.github.io/Logging_2513/kartor_geotiff/A 28029-2026 georefererad karta.tif", "A 28029-2026")</f>
        <v/>
      </c>
      <c r="AA36">
        <f>HYPERLINK("https://klasma.github.io/Logging_2513/klagomål/A 28029-2026 FSC-klagomål.docx", "A 28029-2026")</f>
        <v/>
      </c>
      <c r="AB36">
        <f>HYPERLINK("https://klasma.github.io/Logging_2513/klagomålsmail/A 28029-2026 FSC-klagomål mail.docx", "A 28029-2026")</f>
        <v/>
      </c>
      <c r="AC36">
        <f>HYPERLINK("https://klasma.github.io/Logging_2513/tillsyn/A 28029-2026 tillsynsbegäran.docx", "A 28029-2026")</f>
        <v/>
      </c>
      <c r="AD36">
        <f>HYPERLINK("https://klasma.github.io/Logging_2513/tillsynsmail/A 28029-2026 tillsynsbegäran mail.docx", "A 28029-2026")</f>
        <v/>
      </c>
    </row>
    <row r="37" ht="15" customHeight="1">
      <c r="A37" t="inlineStr">
        <is>
          <t>A 28929-2026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46199</v>
      </c>
      <c r="E37" s="1" t="n">
        <v>46226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3.9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5</v>
      </c>
      <c r="V37" s="2" t="inlineStr">
        <is>
          <t>Knärot
Fläcknycklar</t>
        </is>
      </c>
      <c r="W37">
        <f>HYPERLINK("https://klasma.github.io/Logging_2513/artfynd/A 28929-2026 artfynd.xlsx", "A 28929-2026")</f>
        <v/>
      </c>
      <c r="X37">
        <f>HYPERLINK("https://klasma.github.io/Logging_2513/kartor/A 28929-2026 karta.png", "A 28929-2026")</f>
        <v/>
      </c>
      <c r="Y37">
        <f>HYPERLINK("https://klasma.github.io/Logging_2513/kartor_geotiff/A 28929-2026 georefererad karta.tif", "A 28929-2026")</f>
        <v/>
      </c>
      <c r="Z37">
        <f>HYPERLINK("https://klasma.github.io/Logging_2513/knärot/A 28929-2026 karta knärot.png", "A 28929-2026")</f>
        <v/>
      </c>
      <c r="AA37">
        <f>HYPERLINK("https://klasma.github.io/Logging_2513/klagomål/A 28929-2026 FSC-klagomål.docx", "A 28929-2026")</f>
        <v/>
      </c>
      <c r="AB37">
        <f>HYPERLINK("https://klasma.github.io/Logging_2513/klagomålsmail/A 28929-2026 FSC-klagomål mail.docx", "A 28929-2026")</f>
        <v/>
      </c>
      <c r="AC37">
        <f>HYPERLINK("https://klasma.github.io/Logging_2513/tillsyn/A 28929-2026 tillsynsbegäran.docx", "A 28929-2026")</f>
        <v/>
      </c>
      <c r="AD37">
        <f>HYPERLINK("https://klasma.github.io/Logging_2513/tillsynsmail/A 28929-2026 tillsynsbegäran mail.docx", "A 28929-2026")</f>
        <v/>
      </c>
    </row>
    <row r="38" ht="15" customHeight="1">
      <c r="A38" t="inlineStr">
        <is>
          <t>A 36803-2023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45154</v>
      </c>
      <c r="E38" s="1" t="n">
        <v>46226</v>
      </c>
      <c r="F38" t="inlineStr">
        <is>
          <t>NORRBOTTENS LÄN</t>
        </is>
      </c>
      <c r="G38" t="inlineStr">
        <is>
          <t>ÖVERKALIX</t>
        </is>
      </c>
      <c r="I38" t="n">
        <v>3.1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6</v>
      </c>
      <c r="U38" t="n">
        <v>6</v>
      </c>
      <c r="V38" s="2" t="inlineStr">
        <is>
          <t>Knärot
Revlummer</t>
        </is>
      </c>
      <c r="W38">
        <f>HYPERLINK("https://klasma.github.io/Logging_2513/artfynd/A 36803-2023 artfynd.xlsx", "A 36803-2023")</f>
        <v/>
      </c>
      <c r="X38">
        <f>HYPERLINK("https://klasma.github.io/Logging_2513/kartor/A 36803-2023 karta.png", "A 36803-2023")</f>
        <v/>
      </c>
      <c r="Y38">
        <f>HYPERLINK("https://klasma.github.io/Logging_2513/kartor_geotiff/A 36803-2023 georefererad karta.tif", "A 36803-2023")</f>
        <v/>
      </c>
      <c r="Z38">
        <f>HYPERLINK("https://klasma.github.io/Logging_2513/knärot/A 36803-2023 karta knärot.png", "A 36803-2023")</f>
        <v/>
      </c>
      <c r="AA38">
        <f>HYPERLINK("https://klasma.github.io/Logging_2513/klagomål/A 36803-2023 FSC-klagomål.docx", "A 36803-2023")</f>
        <v/>
      </c>
      <c r="AB38">
        <f>HYPERLINK("https://klasma.github.io/Logging_2513/klagomålsmail/A 36803-2023 FSC-klagomål mail.docx", "A 36803-2023")</f>
        <v/>
      </c>
      <c r="AC38">
        <f>HYPERLINK("https://klasma.github.io/Logging_2513/tillsyn/A 36803-2023 tillsynsbegäran.docx", "A 36803-2023")</f>
        <v/>
      </c>
      <c r="AD38">
        <f>HYPERLINK("https://klasma.github.io/Logging_2513/tillsynsmail/A 36803-2023 tillsynsbegäran mail.docx", "A 36803-2023")</f>
        <v/>
      </c>
    </row>
    <row r="39" ht="15" customHeight="1">
      <c r="A39" t="inlineStr">
        <is>
          <t>A 36378-2024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46226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21.5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Lunglav
Fläcknycklar</t>
        </is>
      </c>
      <c r="W39">
        <f>HYPERLINK("https://klasma.github.io/Logging_2513/artfynd/A 36378-2024 artfynd.xlsx", "A 36378-2024")</f>
        <v/>
      </c>
      <c r="X39">
        <f>HYPERLINK("https://klasma.github.io/Logging_2513/kartor/A 36378-2024 karta.png", "A 36378-2024")</f>
        <v/>
      </c>
      <c r="Y39">
        <f>HYPERLINK("https://klasma.github.io/Logging_2513/kartor_geotiff/A 36378-2024 georefererad karta.tif", "A 36378-2024")</f>
        <v/>
      </c>
      <c r="AA39">
        <f>HYPERLINK("https://klasma.github.io/Logging_2513/klagomål/A 36378-2024 FSC-klagomål.docx", "A 36378-2024")</f>
        <v/>
      </c>
      <c r="AB39">
        <f>HYPERLINK("https://klasma.github.io/Logging_2513/klagomålsmail/A 36378-2024 FSC-klagomål mail.docx", "A 36378-2024")</f>
        <v/>
      </c>
      <c r="AC39">
        <f>HYPERLINK("https://klasma.github.io/Logging_2513/tillsyn/A 36378-2024 tillsynsbegäran.docx", "A 36378-2024")</f>
        <v/>
      </c>
      <c r="AD39">
        <f>HYPERLINK("https://klasma.github.io/Logging_2513/tillsynsmail/A 36378-2024 tillsynsbegäran mail.docx", "A 36378-2024")</f>
        <v/>
      </c>
    </row>
    <row r="40" ht="15" customHeight="1">
      <c r="A40" t="inlineStr">
        <is>
          <t>A 36381-2024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46226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26.7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Gammelgransskål
Orre</t>
        </is>
      </c>
      <c r="W40">
        <f>HYPERLINK("https://klasma.github.io/Logging_2513/artfynd/A 36381-2024 artfynd.xlsx", "A 36381-2024")</f>
        <v/>
      </c>
      <c r="X40">
        <f>HYPERLINK("https://klasma.github.io/Logging_2513/kartor/A 36381-2024 karta.png", "A 36381-2024")</f>
        <v/>
      </c>
      <c r="Y40">
        <f>HYPERLINK("https://klasma.github.io/Logging_2513/kartor_geotiff/A 36381-2024 georefererad karta.tif", "A 36381-2024")</f>
        <v/>
      </c>
      <c r="AA40">
        <f>HYPERLINK("https://klasma.github.io/Logging_2513/klagomål/A 36381-2024 FSC-klagomål.docx", "A 36381-2024")</f>
        <v/>
      </c>
      <c r="AB40">
        <f>HYPERLINK("https://klasma.github.io/Logging_2513/klagomålsmail/A 36381-2024 FSC-klagomål mail.docx", "A 36381-2024")</f>
        <v/>
      </c>
      <c r="AC40">
        <f>HYPERLINK("https://klasma.github.io/Logging_2513/tillsyn/A 36381-2024 tillsynsbegäran.docx", "A 36381-2024")</f>
        <v/>
      </c>
      <c r="AD40">
        <f>HYPERLINK("https://klasma.github.io/Logging_2513/tillsynsmail/A 36381-2024 tillsynsbegäran mail.docx", "A 36381-2024")</f>
        <v/>
      </c>
      <c r="AE40">
        <f>HYPERLINK("https://klasma.github.io/Logging_2513/fåglar/A 36381-2024 prioriterade fågelarter.docx", "A 36381-2024")</f>
        <v/>
      </c>
    </row>
    <row r="41" ht="15" customHeight="1">
      <c r="A41" t="inlineStr">
        <is>
          <t>A 50691-2024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45602</v>
      </c>
      <c r="E41" s="1" t="n">
        <v>46226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4.2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Gammelgransskål
Vedticka</t>
        </is>
      </c>
      <c r="W41">
        <f>HYPERLINK("https://klasma.github.io/Logging_2513/artfynd/A 50691-2024 artfynd.xlsx", "A 50691-2024")</f>
        <v/>
      </c>
      <c r="X41">
        <f>HYPERLINK("https://klasma.github.io/Logging_2513/kartor/A 50691-2024 karta.png", "A 50691-2024")</f>
        <v/>
      </c>
      <c r="Y41">
        <f>HYPERLINK("https://klasma.github.io/Logging_2513/kartor_geotiff/A 50691-2024 georefererad karta.tif", "A 50691-2024")</f>
        <v/>
      </c>
      <c r="AA41">
        <f>HYPERLINK("https://klasma.github.io/Logging_2513/klagomål/A 50691-2024 FSC-klagomål.docx", "A 50691-2024")</f>
        <v/>
      </c>
      <c r="AB41">
        <f>HYPERLINK("https://klasma.github.io/Logging_2513/klagomålsmail/A 50691-2024 FSC-klagomål mail.docx", "A 50691-2024")</f>
        <v/>
      </c>
      <c r="AC41">
        <f>HYPERLINK("https://klasma.github.io/Logging_2513/tillsyn/A 50691-2024 tillsynsbegäran.docx", "A 50691-2024")</f>
        <v/>
      </c>
      <c r="AD41">
        <f>HYPERLINK("https://klasma.github.io/Logging_2513/tillsynsmail/A 50691-2024 tillsynsbegäran mail.docx", "A 50691-2024")</f>
        <v/>
      </c>
    </row>
    <row r="42" ht="15" customHeight="1">
      <c r="A42" t="inlineStr">
        <is>
          <t>A 60509-2021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44496</v>
      </c>
      <c r="E42" s="1" t="n">
        <v>46226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13.5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Stor aspticka
Vedticka</t>
        </is>
      </c>
      <c r="W42">
        <f>HYPERLINK("https://klasma.github.io/Logging_2513/artfynd/A 60509-2021 artfynd.xlsx", "A 60509-2021")</f>
        <v/>
      </c>
      <c r="X42">
        <f>HYPERLINK("https://klasma.github.io/Logging_2513/kartor/A 60509-2021 karta.png", "A 60509-2021")</f>
        <v/>
      </c>
      <c r="Y42">
        <f>HYPERLINK("https://klasma.github.io/Logging_2513/kartor_geotiff/A 60509-2021 georefererad karta.tif", "A 60509-2021")</f>
        <v/>
      </c>
      <c r="AA42">
        <f>HYPERLINK("https://klasma.github.io/Logging_2513/klagomål/A 60509-2021 FSC-klagomål.docx", "A 60509-2021")</f>
        <v/>
      </c>
      <c r="AB42">
        <f>HYPERLINK("https://klasma.github.io/Logging_2513/klagomålsmail/A 60509-2021 FSC-klagomål mail.docx", "A 60509-2021")</f>
        <v/>
      </c>
      <c r="AC42">
        <f>HYPERLINK("https://klasma.github.io/Logging_2513/tillsyn/A 60509-2021 tillsynsbegäran.docx", "A 60509-2021")</f>
        <v/>
      </c>
      <c r="AD42">
        <f>HYPERLINK("https://klasma.github.io/Logging_2513/tillsynsmail/A 60509-2021 tillsynsbegäran mail.docx", "A 60509-2021")</f>
        <v/>
      </c>
    </row>
    <row r="43" ht="15" customHeight="1">
      <c r="A43" t="inlineStr">
        <is>
          <t>A 26452-2025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45807</v>
      </c>
      <c r="E43" s="1" t="n">
        <v>46226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1.2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Gammelgransskål
Stor aspticka</t>
        </is>
      </c>
      <c r="W43">
        <f>HYPERLINK("https://klasma.github.io/Logging_2513/artfynd/A 26452-2025 artfynd.xlsx", "A 26452-2025")</f>
        <v/>
      </c>
      <c r="X43">
        <f>HYPERLINK("https://klasma.github.io/Logging_2513/kartor/A 26452-2025 karta.png", "A 26452-2025")</f>
        <v/>
      </c>
      <c r="Y43">
        <f>HYPERLINK("https://klasma.github.io/Logging_2513/kartor_geotiff/A 26452-2025 georefererad karta.tif", "A 26452-2025")</f>
        <v/>
      </c>
      <c r="AA43">
        <f>HYPERLINK("https://klasma.github.io/Logging_2513/klagomål/A 26452-2025 FSC-klagomål.docx", "A 26452-2025")</f>
        <v/>
      </c>
      <c r="AB43">
        <f>HYPERLINK("https://klasma.github.io/Logging_2513/klagomålsmail/A 26452-2025 FSC-klagomål mail.docx", "A 26452-2025")</f>
        <v/>
      </c>
      <c r="AC43">
        <f>HYPERLINK("https://klasma.github.io/Logging_2513/tillsyn/A 26452-2025 tillsynsbegäran.docx", "A 26452-2025")</f>
        <v/>
      </c>
      <c r="AD43">
        <f>HYPERLINK("https://klasma.github.io/Logging_2513/tillsynsmail/A 26452-2025 tillsynsbegäran mail.docx", "A 26452-2025")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46226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Höstlåsbräken
Månlåsbräken</t>
        </is>
      </c>
      <c r="W44">
        <f>HYPERLINK("https://klasma.github.io/Logging_2513/artfynd/S 2701-2024 artfynd.xlsx", "S 2701-2024")</f>
        <v/>
      </c>
      <c r="X44">
        <f>HYPERLINK("https://klasma.github.io/Logging_2513/kartor/S 2701-2024 karta.png", "S 2701-2024")</f>
        <v/>
      </c>
      <c r="Y44">
        <f>HYPERLINK("https://klasma.github.io/Logging_2513/kartor_geotiff/S 2701-2024 georefererad karta.tif", "S 2701-2024")</f>
        <v/>
      </c>
      <c r="AA44">
        <f>HYPERLINK("https://klasma.github.io/Logging_2513/klagomål/S 2701-2024 FSC-klagomål.docx", "S 2701-2024")</f>
        <v/>
      </c>
      <c r="AB44">
        <f>HYPERLINK("https://klasma.github.io/Logging_2513/klagomålsmail/S 2701-2024 FSC-klagomål mail.docx", "S 2701-2024")</f>
        <v/>
      </c>
      <c r="AC44">
        <f>HYPERLINK("https://klasma.github.io/Logging_2513/tillsyn/S 2701-2024 tillsynsbegäran.docx", "S 2701-2024")</f>
        <v/>
      </c>
      <c r="AD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46226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HYPERLINK("https://klasma.github.io/Logging_2513/artfynd/A 15137-2022 artfynd.xlsx", "A 15137-2022")</f>
        <v/>
      </c>
      <c r="X45">
        <f>HYPERLINK("https://klasma.github.io/Logging_2513/kartor/A 15137-2022 karta.png", "A 15137-2022")</f>
        <v/>
      </c>
      <c r="Y45">
        <f>HYPERLINK("https://klasma.github.io/Logging_2513/kartor_geotiff/A 15137-2022 georefererad karta.tif", "A 15137-2022")</f>
        <v/>
      </c>
      <c r="AA45">
        <f>HYPERLINK("https://klasma.github.io/Logging_2513/klagomål/A 15137-2022 FSC-klagomål.docx", "A 15137-2022")</f>
        <v/>
      </c>
      <c r="AB45">
        <f>HYPERLINK("https://klasma.github.io/Logging_2513/klagomålsmail/A 15137-2022 FSC-klagomål mail.docx", "A 15137-2022")</f>
        <v/>
      </c>
      <c r="AC45">
        <f>HYPERLINK("https://klasma.github.io/Logging_2513/tillsyn/A 15137-2022 tillsynsbegäran.docx", "A 15137-2022")</f>
        <v/>
      </c>
      <c r="AD45">
        <f>HYPERLINK("https://klasma.github.io/Logging_2513/tillsynsmail/A 15137-2022 tillsynsbegäran mail.docx", "A 15137-2022")</f>
        <v/>
      </c>
    </row>
    <row r="46" ht="15" customHeight="1">
      <c r="A46" t="inlineStr">
        <is>
          <t>A 22977-2022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44717</v>
      </c>
      <c r="E46" s="1" t="n">
        <v>46226</v>
      </c>
      <c r="F46" t="inlineStr">
        <is>
          <t>NORRBOTTENS LÄN</t>
        </is>
      </c>
      <c r="G46" t="inlineStr">
        <is>
          <t>ÖVERKALIX</t>
        </is>
      </c>
      <c r="I46" t="n">
        <v>19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Bivråk</t>
        </is>
      </c>
      <c r="W46">
        <f>HYPERLINK("https://klasma.github.io/Logging_2513/artfynd/A 22977-2022 artfynd.xlsx", "A 22977-2022")</f>
        <v/>
      </c>
      <c r="X46">
        <f>HYPERLINK("https://klasma.github.io/Logging_2513/kartor/A 22977-2022 karta.png", "A 22977-2022")</f>
        <v/>
      </c>
      <c r="Y46">
        <f>HYPERLINK("https://klasma.github.io/Logging_2513/kartor_geotiff/A 22977-2022 georefererad karta.tif", "A 22977-2022")</f>
        <v/>
      </c>
      <c r="AA46">
        <f>HYPERLINK("https://klasma.github.io/Logging_2513/klagomål/A 22977-2022 FSC-klagomål.docx", "A 22977-2022")</f>
        <v/>
      </c>
      <c r="AB46">
        <f>HYPERLINK("https://klasma.github.io/Logging_2513/klagomålsmail/A 22977-2022 FSC-klagomål mail.docx", "A 22977-2022")</f>
        <v/>
      </c>
      <c r="AC46">
        <f>HYPERLINK("https://klasma.github.io/Logging_2513/tillsyn/A 22977-2022 tillsynsbegäran.docx", "A 22977-2022")</f>
        <v/>
      </c>
      <c r="AD46">
        <f>HYPERLINK("https://klasma.github.io/Logging_2513/tillsynsmail/A 22977-2022 tillsynsbegäran mail.docx", "A 22977-2022")</f>
        <v/>
      </c>
      <c r="AE46">
        <f>HYPERLINK("https://klasma.github.io/Logging_2513/fåglar/A 22977-2022 prioriterade fågelarter.docx", "A 22977-2022")</f>
        <v/>
      </c>
    </row>
    <row r="47" ht="15" customHeight="1">
      <c r="A47" t="inlineStr">
        <is>
          <t>A 27452-2025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45813</v>
      </c>
      <c r="E47" s="1" t="n">
        <v>46226</v>
      </c>
      <c r="F47" t="inlineStr">
        <is>
          <t>NORRBOTTENS LÄN</t>
        </is>
      </c>
      <c r="G47" t="inlineStr">
        <is>
          <t>ÖVERKALIX</t>
        </is>
      </c>
      <c r="H47" t="inlineStr">
        <is>
          <t>SCA</t>
        </is>
      </c>
      <c r="I47" t="n">
        <v>6.3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HYPERLINK("https://klasma.github.io/Logging_2513/artfynd/A 27452-2025 artfynd.xlsx", "A 27452-2025")</f>
        <v/>
      </c>
      <c r="X47">
        <f>HYPERLINK("https://klasma.github.io/Logging_2513/kartor/A 27452-2025 karta.png", "A 27452-2025")</f>
        <v/>
      </c>
      <c r="Y47">
        <f>HYPERLINK("https://klasma.github.io/Logging_2513/kartor_geotiff/A 27452-2025 georefererad karta.tif", "A 27452-2025")</f>
        <v/>
      </c>
      <c r="AA47">
        <f>HYPERLINK("https://klasma.github.io/Logging_2513/klagomål/A 27452-2025 FSC-klagomål.docx", "A 27452-2025")</f>
        <v/>
      </c>
      <c r="AB47">
        <f>HYPERLINK("https://klasma.github.io/Logging_2513/klagomålsmail/A 27452-2025 FSC-klagomål mail.docx", "A 27452-2025")</f>
        <v/>
      </c>
      <c r="AC47">
        <f>HYPERLINK("https://klasma.github.io/Logging_2513/tillsyn/A 27452-2025 tillsynsbegäran.docx", "A 27452-2025")</f>
        <v/>
      </c>
      <c r="AD47">
        <f>HYPERLINK("https://klasma.github.io/Logging_2513/tillsynsmail/A 27452-2025 tillsynsbegäran mail.docx", "A 27452-2025")</f>
        <v/>
      </c>
      <c r="AE47">
        <f>HYPERLINK("https://klasma.github.io/Logging_2513/fåglar/A 27452-2025 prioriterade fågelarter.docx", "A 27452-2025")</f>
        <v/>
      </c>
    </row>
    <row r="48" ht="15" customHeight="1">
      <c r="A48" t="inlineStr">
        <is>
          <t>A 37532-2022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46226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 taggsvamp</t>
        </is>
      </c>
      <c r="W48">
        <f>HYPERLINK("https://klasma.github.io/Logging_2513/artfynd/A 37532-2022 artfynd.xlsx", "A 37532-2022")</f>
        <v/>
      </c>
      <c r="X48">
        <f>HYPERLINK("https://klasma.github.io/Logging_2513/kartor/A 37532-2022 karta.png", "A 37532-2022")</f>
        <v/>
      </c>
      <c r="Y48">
        <f>HYPERLINK("https://klasma.github.io/Logging_2513/kartor_geotiff/A 37532-2022 georefererad karta.tif", "A 37532-2022")</f>
        <v/>
      </c>
      <c r="AA48">
        <f>HYPERLINK("https://klasma.github.io/Logging_2513/klagomål/A 37532-2022 FSC-klagomål.docx", "A 37532-2022")</f>
        <v/>
      </c>
      <c r="AB48">
        <f>HYPERLINK("https://klasma.github.io/Logging_2513/klagomålsmail/A 37532-2022 FSC-klagomål mail.docx", "A 37532-2022")</f>
        <v/>
      </c>
      <c r="AC48">
        <f>HYPERLINK("https://klasma.github.io/Logging_2513/tillsyn/A 37532-2022 tillsynsbegäran.docx", "A 37532-2022")</f>
        <v/>
      </c>
      <c r="AD48">
        <f>HYPERLINK("https://klasma.github.io/Logging_2513/tillsynsmail/A 37532-2022 tillsynsbegäran mail.docx", "A 37532-2022")</f>
        <v/>
      </c>
    </row>
    <row r="49" ht="15" customHeight="1">
      <c r="A49" t="inlineStr">
        <is>
          <t>A 46280-2024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46226</v>
      </c>
      <c r="F49" t="inlineStr">
        <is>
          <t>NORRBOTTENS LÄN</t>
        </is>
      </c>
      <c r="G49" t="inlineStr">
        <is>
          <t>ÖVERKALIX</t>
        </is>
      </c>
      <c r="H49" t="inlineStr">
        <is>
          <t>SCA</t>
        </is>
      </c>
      <c r="I49" t="n">
        <v>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HYPERLINK("https://klasma.github.io/Logging_2513/artfynd/A 46280-2024 artfynd.xlsx", "A 46280-2024")</f>
        <v/>
      </c>
      <c r="X49">
        <f>HYPERLINK("https://klasma.github.io/Logging_2513/kartor/A 46280-2024 karta.png", "A 46280-2024")</f>
        <v/>
      </c>
      <c r="Y49">
        <f>HYPERLINK("https://klasma.github.io/Logging_2513/kartor_geotiff/A 46280-2024 georefererad karta.tif", "A 46280-2024")</f>
        <v/>
      </c>
      <c r="AA49">
        <f>HYPERLINK("https://klasma.github.io/Logging_2513/klagomål/A 46280-2024 FSC-klagomål.docx", "A 46280-2024")</f>
        <v/>
      </c>
      <c r="AB49">
        <f>HYPERLINK("https://klasma.github.io/Logging_2513/klagomålsmail/A 46280-2024 FSC-klagomål mail.docx", "A 46280-2024")</f>
        <v/>
      </c>
      <c r="AC49">
        <f>HYPERLINK("https://klasma.github.io/Logging_2513/tillsyn/A 46280-2024 tillsynsbegäran.docx", "A 46280-2024")</f>
        <v/>
      </c>
      <c r="AD49">
        <f>HYPERLINK("https://klasma.github.io/Logging_2513/tillsynsmail/A 46280-2024 tillsynsbegäran mail.docx", "A 46280-2024")</f>
        <v/>
      </c>
      <c r="AE49">
        <f>HYPERLINK("https://klasma.github.io/Logging_2513/fåglar/A 46280-2024 prioriterade fågelarter.docx", "A 46280-2024")</f>
        <v/>
      </c>
    </row>
    <row r="50" ht="15" customHeight="1">
      <c r="A50" t="inlineStr">
        <is>
          <t>A 46281-2024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46226</v>
      </c>
      <c r="F50" t="inlineStr">
        <is>
          <t>NORRBOTTENS LÄN</t>
        </is>
      </c>
      <c r="G50" t="inlineStr">
        <is>
          <t>ÖVERKALIX</t>
        </is>
      </c>
      <c r="H50" t="inlineStr">
        <is>
          <t>SCA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 taggsvamp</t>
        </is>
      </c>
      <c r="W50">
        <f>HYPERLINK("https://klasma.github.io/Logging_2513/artfynd/A 46281-2024 artfynd.xlsx", "A 46281-2024")</f>
        <v/>
      </c>
      <c r="X50">
        <f>HYPERLINK("https://klasma.github.io/Logging_2513/kartor/A 46281-2024 karta.png", "A 46281-2024")</f>
        <v/>
      </c>
      <c r="Y50">
        <f>HYPERLINK("https://klasma.github.io/Logging_2513/kartor_geotiff/A 46281-2024 georefererad karta.tif", "A 46281-2024")</f>
        <v/>
      </c>
      <c r="AA50">
        <f>HYPERLINK("https://klasma.github.io/Logging_2513/klagomål/A 46281-2024 FSC-klagomål.docx", "A 46281-2024")</f>
        <v/>
      </c>
      <c r="AB50">
        <f>HYPERLINK("https://klasma.github.io/Logging_2513/klagomålsmail/A 46281-2024 FSC-klagomål mail.docx", "A 46281-2024")</f>
        <v/>
      </c>
      <c r="AC50">
        <f>HYPERLINK("https://klasma.github.io/Logging_2513/tillsyn/A 46281-2024 tillsynsbegäran.docx", "A 46281-2024")</f>
        <v/>
      </c>
      <c r="AD50">
        <f>HYPERLINK("https://klasma.github.io/Logging_2513/tillsynsmail/A 46281-2024 tillsynsbegäran mail.docx", "A 46281-2024")</f>
        <v/>
      </c>
    </row>
    <row r="51" ht="15" customHeight="1">
      <c r="A51" t="inlineStr">
        <is>
          <t>A 35602-2025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45859</v>
      </c>
      <c r="E51" s="1" t="n">
        <v>46226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HYPERLINK("https://klasma.github.io/Logging_2513/artfynd/A 35602-2025 artfynd.xlsx", "A 35602-2025")</f>
        <v/>
      </c>
      <c r="X51">
        <f>HYPERLINK("https://klasma.github.io/Logging_2513/kartor/A 35602-2025 karta.png", "A 35602-2025")</f>
        <v/>
      </c>
      <c r="Y51">
        <f>HYPERLINK("https://klasma.github.io/Logging_2513/kartor_geotiff/A 35602-2025 georefererad karta.tif", "A 35602-2025")</f>
        <v/>
      </c>
      <c r="AA51">
        <f>HYPERLINK("https://klasma.github.io/Logging_2513/klagomål/A 35602-2025 FSC-klagomål.docx", "A 35602-2025")</f>
        <v/>
      </c>
      <c r="AB51">
        <f>HYPERLINK("https://klasma.github.io/Logging_2513/klagomålsmail/A 35602-2025 FSC-klagomål mail.docx", "A 35602-2025")</f>
        <v/>
      </c>
      <c r="AC51">
        <f>HYPERLINK("https://klasma.github.io/Logging_2513/tillsyn/A 35602-2025 tillsynsbegäran.docx", "A 35602-2025")</f>
        <v/>
      </c>
      <c r="AD51">
        <f>HYPERLINK("https://klasma.github.io/Logging_2513/tillsynsmail/A 35602-2025 tillsynsbegäran mail.docx", "A 35602-2025")</f>
        <v/>
      </c>
    </row>
    <row r="52" ht="15" customHeight="1">
      <c r="A52" t="inlineStr">
        <is>
          <t>A 71902-2021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46226</v>
      </c>
      <c r="F52" t="inlineStr">
        <is>
          <t>NORRBOTTENS LÄN</t>
        </is>
      </c>
      <c r="G52" t="inlineStr">
        <is>
          <t>ÖVERKALIX</t>
        </is>
      </c>
      <c r="I52" t="n">
        <v>24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HYPERLINK("https://klasma.github.io/Logging_2513/artfynd/A 71902-2021 artfynd.xlsx", "A 71902-2021")</f>
        <v/>
      </c>
      <c r="X52">
        <f>HYPERLINK("https://klasma.github.io/Logging_2513/kartor/A 71902-2021 karta.png", "A 71902-2021")</f>
        <v/>
      </c>
      <c r="Y52">
        <f>HYPERLINK("https://klasma.github.io/Logging_2513/kartor_geotiff/A 71902-2021 georefererad karta.tif", "A 71902-2021")</f>
        <v/>
      </c>
      <c r="AA52">
        <f>HYPERLINK("https://klasma.github.io/Logging_2513/klagomål/A 71902-2021 FSC-klagomål.docx", "A 71902-2021")</f>
        <v/>
      </c>
      <c r="AB52">
        <f>HYPERLINK("https://klasma.github.io/Logging_2513/klagomålsmail/A 71902-2021 FSC-klagomål mail.docx", "A 71902-2021")</f>
        <v/>
      </c>
      <c r="AC52">
        <f>HYPERLINK("https://klasma.github.io/Logging_2513/tillsyn/A 71902-2021 tillsynsbegäran.docx", "A 71902-2021")</f>
        <v/>
      </c>
      <c r="AD52">
        <f>HYPERLINK("https://klasma.github.io/Logging_2513/tillsynsmail/A 71902-2021 tillsynsbegäran mail.docx", "A 71902-2021")</f>
        <v/>
      </c>
      <c r="AE52">
        <f>HYPERLINK("https://klasma.github.io/Logging_2513/fåglar/A 71902-2021 prioriterade fågelarter.docx", "A 71902-2021")</f>
        <v/>
      </c>
    </row>
    <row r="53" ht="15" customHeight="1">
      <c r="A53" t="inlineStr">
        <is>
          <t>A 7234-2023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44970</v>
      </c>
      <c r="E53" s="1" t="n">
        <v>46226</v>
      </c>
      <c r="F53" t="inlineStr">
        <is>
          <t>NORRBOTTENS LÄN</t>
        </is>
      </c>
      <c r="G53" t="inlineStr">
        <is>
          <t>ÖVERKALIX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HYPERLINK("https://klasma.github.io/Logging_2513/artfynd/A 7234-2023 artfynd.xlsx", "A 7234-2023")</f>
        <v/>
      </c>
      <c r="X53">
        <f>HYPERLINK("https://klasma.github.io/Logging_2513/kartor/A 7234-2023 karta.png", "A 7234-2023")</f>
        <v/>
      </c>
      <c r="Y53">
        <f>HYPERLINK("https://klasma.github.io/Logging_2513/kartor_geotiff/A 7234-2023 georefererad karta.tif", "A 7234-2023")</f>
        <v/>
      </c>
      <c r="AA53">
        <f>HYPERLINK("https://klasma.github.io/Logging_2513/klagomål/A 7234-2023 FSC-klagomål.docx", "A 7234-2023")</f>
        <v/>
      </c>
      <c r="AB53">
        <f>HYPERLINK("https://klasma.github.io/Logging_2513/klagomålsmail/A 7234-2023 FSC-klagomål mail.docx", "A 7234-2023")</f>
        <v/>
      </c>
      <c r="AC53">
        <f>HYPERLINK("https://klasma.github.io/Logging_2513/tillsyn/A 7234-2023 tillsynsbegäran.docx", "A 7234-2023")</f>
        <v/>
      </c>
      <c r="AD53">
        <f>HYPERLINK("https://klasma.github.io/Logging_2513/tillsynsmail/A 7234-2023 tillsynsbegäran mail.docx", "A 7234-2023")</f>
        <v/>
      </c>
      <c r="AE53">
        <f>HYPERLINK("https://klasma.github.io/Logging_2513/fåglar/A 7234-2023 prioriterade fågelarter.docx", "A 7234-2023")</f>
        <v/>
      </c>
    </row>
    <row r="54" ht="15" customHeight="1">
      <c r="A54" t="inlineStr">
        <is>
          <t>A 8407-2025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45709</v>
      </c>
      <c r="E54" s="1" t="n">
        <v>46226</v>
      </c>
      <c r="F54" t="inlineStr">
        <is>
          <t>NORRBOTTENS LÄN</t>
        </is>
      </c>
      <c r="G54" t="inlineStr">
        <is>
          <t>ÖVERKALIX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Tallbit</t>
        </is>
      </c>
      <c r="W54">
        <f>HYPERLINK("https://klasma.github.io/Logging_2513/artfynd/A 8407-2025 artfynd.xlsx", "A 8407-2025")</f>
        <v/>
      </c>
      <c r="X54">
        <f>HYPERLINK("https://klasma.github.io/Logging_2513/kartor/A 8407-2025 karta.png", "A 8407-2025")</f>
        <v/>
      </c>
      <c r="Y54">
        <f>HYPERLINK("https://klasma.github.io/Logging_2513/kartor_geotiff/A 8407-2025 georefererad karta.tif", "A 8407-2025")</f>
        <v/>
      </c>
      <c r="AA54">
        <f>HYPERLINK("https://klasma.github.io/Logging_2513/klagomål/A 8407-2025 FSC-klagomål.docx", "A 8407-2025")</f>
        <v/>
      </c>
      <c r="AB54">
        <f>HYPERLINK("https://klasma.github.io/Logging_2513/klagomålsmail/A 8407-2025 FSC-klagomål mail.docx", "A 8407-2025")</f>
        <v/>
      </c>
      <c r="AC54">
        <f>HYPERLINK("https://klasma.github.io/Logging_2513/tillsyn/A 8407-2025 tillsynsbegäran.docx", "A 8407-2025")</f>
        <v/>
      </c>
      <c r="AD54">
        <f>HYPERLINK("https://klasma.github.io/Logging_2513/tillsynsmail/A 8407-2025 tillsynsbegäran mail.docx", "A 8407-2025")</f>
        <v/>
      </c>
      <c r="AE54">
        <f>HYPERLINK("https://klasma.github.io/Logging_2513/fåglar/A 8407-2025 prioriterade fågelarter.docx", "A 8407-2025")</f>
        <v/>
      </c>
    </row>
    <row r="55" ht="15" customHeight="1">
      <c r="A55" t="inlineStr">
        <is>
          <t>A 25335-2026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46226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46.9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Lunglav</t>
        </is>
      </c>
      <c r="W55">
        <f>HYPERLINK("https://klasma.github.io/Logging_2513/artfynd/A 25335-2026 artfynd.xlsx", "A 25335-2026")</f>
        <v/>
      </c>
      <c r="X55">
        <f>HYPERLINK("https://klasma.github.io/Logging_2513/kartor/A 25335-2026 karta.png", "A 25335-2026")</f>
        <v/>
      </c>
      <c r="Y55">
        <f>HYPERLINK("https://klasma.github.io/Logging_2513/kartor_geotiff/A 25335-2026 georefererad karta.tif", "A 25335-2026")</f>
        <v/>
      </c>
      <c r="AA55">
        <f>HYPERLINK("https://klasma.github.io/Logging_2513/klagomål/A 25335-2026 FSC-klagomål.docx", "A 25335-2026")</f>
        <v/>
      </c>
      <c r="AB55">
        <f>HYPERLINK("https://klasma.github.io/Logging_2513/klagomålsmail/A 25335-2026 FSC-klagomål mail.docx", "A 25335-2026")</f>
        <v/>
      </c>
      <c r="AC55">
        <f>HYPERLINK("https://klasma.github.io/Logging_2513/tillsyn/A 25335-2026 tillsynsbegäran.docx", "A 25335-2026")</f>
        <v/>
      </c>
      <c r="AD55">
        <f>HYPERLINK("https://klasma.github.io/Logging_2513/tillsynsmail/A 25335-2026 tillsynsbegäran mail.docx", "A 25335-2026")</f>
        <v/>
      </c>
    </row>
    <row r="56" ht="15" customHeight="1">
      <c r="A56" t="inlineStr">
        <is>
          <t>A 21777-2024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45442</v>
      </c>
      <c r="E56" s="1" t="n">
        <v>46226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30.5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HYPERLINK("https://klasma.github.io/Logging_2513/artfynd/A 21777-2024 artfynd.xlsx", "A 21777-2024")</f>
        <v/>
      </c>
      <c r="X56">
        <f>HYPERLINK("https://klasma.github.io/Logging_2513/kartor/A 21777-2024 karta.png", "A 21777-2024")</f>
        <v/>
      </c>
      <c r="Y56">
        <f>HYPERLINK("https://klasma.github.io/Logging_2513/kartor_geotiff/A 21777-2024 georefererad karta.tif", "A 21777-2024")</f>
        <v/>
      </c>
      <c r="AA56">
        <f>HYPERLINK("https://klasma.github.io/Logging_2513/klagomål/A 21777-2024 FSC-klagomål.docx", "A 21777-2024")</f>
        <v/>
      </c>
      <c r="AB56">
        <f>HYPERLINK("https://klasma.github.io/Logging_2513/klagomålsmail/A 21777-2024 FSC-klagomål mail.docx", "A 21777-2024")</f>
        <v/>
      </c>
      <c r="AC56">
        <f>HYPERLINK("https://klasma.github.io/Logging_2513/tillsyn/A 21777-2024 tillsynsbegäran.docx", "A 21777-2024")</f>
        <v/>
      </c>
      <c r="AD56">
        <f>HYPERLINK("https://klasma.github.io/Logging_2513/tillsynsmail/A 21777-2024 tillsynsbegäran mail.docx", "A 21777-2024")</f>
        <v/>
      </c>
    </row>
    <row r="57" ht="15" customHeight="1">
      <c r="A57" t="inlineStr">
        <is>
          <t>A 26305-2025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46226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5.2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Luddlav</t>
        </is>
      </c>
      <c r="W57">
        <f>HYPERLINK("https://klasma.github.io/Logging_2513/artfynd/A 26305-2025 artfynd.xlsx", "A 26305-2025")</f>
        <v/>
      </c>
      <c r="X57">
        <f>HYPERLINK("https://klasma.github.io/Logging_2513/kartor/A 26305-2025 karta.png", "A 26305-2025")</f>
        <v/>
      </c>
      <c r="Y57">
        <f>HYPERLINK("https://klasma.github.io/Logging_2513/kartor_geotiff/A 26305-2025 georefererad karta.tif", "A 26305-2025")</f>
        <v/>
      </c>
      <c r="AA57">
        <f>HYPERLINK("https://klasma.github.io/Logging_2513/klagomål/A 26305-2025 FSC-klagomål.docx", "A 26305-2025")</f>
        <v/>
      </c>
      <c r="AB57">
        <f>HYPERLINK("https://klasma.github.io/Logging_2513/klagomålsmail/A 26305-2025 FSC-klagomål mail.docx", "A 26305-2025")</f>
        <v/>
      </c>
      <c r="AC57">
        <f>HYPERLINK("https://klasma.github.io/Logging_2513/tillsyn/A 26305-2025 tillsynsbegäran.docx", "A 26305-2025")</f>
        <v/>
      </c>
      <c r="AD57">
        <f>HYPERLINK("https://klasma.github.io/Logging_2513/tillsynsmail/A 26305-2025 tillsynsbegäran mail.docx", "A 26305-2025")</f>
        <v/>
      </c>
    </row>
    <row r="58" ht="15" customHeight="1">
      <c r="A58" t="inlineStr">
        <is>
          <t>S 4190-2024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45579</v>
      </c>
      <c r="E58" s="1" t="n">
        <v>46226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14</v>
      </c>
      <c r="U58" t="n">
        <v>0</v>
      </c>
      <c r="V58" s="2" t="inlineStr">
        <is>
          <t>Lunglav</t>
        </is>
      </c>
      <c r="W58">
        <f>HYPERLINK("https://klasma.github.io/Logging_2513/artfynd/S 4190-2024 artfynd.xlsx", "S 4190-2024")</f>
        <v/>
      </c>
      <c r="X58">
        <f>HYPERLINK("https://klasma.github.io/Logging_2513/kartor/S 4190-2024 karta.png", "S 4190-2024")</f>
        <v/>
      </c>
      <c r="Y58">
        <f>HYPERLINK("https://klasma.github.io/Logging_2513/kartor_geotiff/S 4190-2024 georefererad karta.tif", "S 4190-2024")</f>
        <v/>
      </c>
      <c r="AA58">
        <f>HYPERLINK("https://klasma.github.io/Logging_2513/klagomål/S 4190-2024 FSC-klagomål.docx", "S 4190-2024")</f>
        <v/>
      </c>
      <c r="AB58">
        <f>HYPERLINK("https://klasma.github.io/Logging_2513/klagomålsmail/S 4190-2024 FSC-klagomål mail.docx", "S 4190-2024")</f>
        <v/>
      </c>
      <c r="AC58">
        <f>HYPERLINK("https://klasma.github.io/Logging_2513/tillsyn/S 4190-2024 tillsynsbegäran.docx", "S 4190-2024")</f>
        <v/>
      </c>
      <c r="AD58">
        <f>HYPERLINK("https://klasma.github.io/Logging_2513/tillsynsmail/S 4190-2024 tillsynsbegäran mail.docx", "S 4190-2024")</f>
        <v/>
      </c>
    </row>
    <row r="59" ht="15" customHeight="1">
      <c r="A59" t="inlineStr">
        <is>
          <t>S 1156-2024</t>
        </is>
      </c>
      <c r="B59" t="inlineStr">
        <is>
          <t>samrådsanmälan</t>
        </is>
      </c>
      <c r="C59" t="inlineStr">
        <is>
          <t>Skogsgödsling</t>
        </is>
      </c>
      <c r="D59" s="1" t="n">
        <v>45394</v>
      </c>
      <c r="E59" s="1" t="n">
        <v>46226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491.9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HYPERLINK("https://klasma.github.io/Logging_2513/artfynd/S 1156-2024 artfynd.xlsx", "S 1156-2024")</f>
        <v/>
      </c>
      <c r="X59">
        <f>HYPERLINK("https://klasma.github.io/Logging_2513/kartor/S 1156-2024 karta.png", "S 1156-2024")</f>
        <v/>
      </c>
      <c r="Y59">
        <f>HYPERLINK("https://klasma.github.io/Logging_2513/kartor_geotiff/S 1156-2024 georefererad karta.tif", "S 1156-2024")</f>
        <v/>
      </c>
      <c r="AA59">
        <f>HYPERLINK("https://klasma.github.io/Logging_2513/klagomål/S 1156-2024 FSC-klagomål.docx", "S 1156-2024")</f>
        <v/>
      </c>
      <c r="AB59">
        <f>HYPERLINK("https://klasma.github.io/Logging_2513/klagomålsmail/S 1156-2024 FSC-klagomål mail.docx", "S 1156-2024")</f>
        <v/>
      </c>
      <c r="AC59">
        <f>HYPERLINK("https://klasma.github.io/Logging_2513/tillsyn/S 1156-2024 tillsynsbegäran.docx", "S 1156-2024")</f>
        <v/>
      </c>
      <c r="AD59">
        <f>HYPERLINK("https://klasma.github.io/Logging_2513/tillsynsmail/S 1156-2024 tillsynsbegäran mail.docx", "S 1156-2024")</f>
        <v/>
      </c>
      <c r="AE59">
        <f>HYPERLINK("https://klasma.github.io/Logging_2513/fåglar/S 1156-2024 prioriterade fågelarter.docx", "S 1156-2024")</f>
        <v/>
      </c>
    </row>
    <row r="60" ht="15" customHeight="1">
      <c r="A60" t="inlineStr">
        <is>
          <t>A 3174-2022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46226</v>
      </c>
      <c r="F60" t="inlineStr">
        <is>
          <t>NORRBOTTENS LÄN</t>
        </is>
      </c>
      <c r="G60" t="inlineStr">
        <is>
          <t>ÖVERKALIX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46226</v>
      </c>
      <c r="F61" t="inlineStr">
        <is>
          <t>NORRBOTTENS LÄN</t>
        </is>
      </c>
      <c r="G61" t="inlineStr">
        <is>
          <t>ÖVERKALIX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46226</v>
      </c>
      <c r="F62" t="inlineStr">
        <is>
          <t>NORRBOTTENS LÄN</t>
        </is>
      </c>
      <c r="G62" t="inlineStr">
        <is>
          <t>ÖVERKALIX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22988-2022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44718</v>
      </c>
      <c r="E63" s="1" t="n">
        <v>46226</v>
      </c>
      <c r="F63" t="inlineStr">
        <is>
          <t>NORRBOTTENS LÄN</t>
        </is>
      </c>
      <c r="G63" t="inlineStr">
        <is>
          <t>ÖVERKALIX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46226</v>
      </c>
      <c r="F64" t="inlineStr">
        <is>
          <t>NORRBOTTENS LÄN</t>
        </is>
      </c>
      <c r="G64" t="inlineStr">
        <is>
          <t>ÖVERKALIX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21847-2022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44711</v>
      </c>
      <c r="E65" s="1" t="n">
        <v>46226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44717</v>
      </c>
      <c r="E66" s="1" t="n">
        <v>46226</v>
      </c>
      <c r="F66" t="inlineStr">
        <is>
          <t>NORRBOTTENS LÄN</t>
        </is>
      </c>
      <c r="G66" t="inlineStr">
        <is>
          <t>ÖVERKALIX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46226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  <c r="Z67">
        <f>HYPERLINK("https://klasma.github.io/Logging_2513/knärot/A 29706-2022 karta knärot.png", "A 29706-2022")</f>
        <v/>
      </c>
      <c r="AA67">
        <f>HYPERLINK("https://klasma.github.io/Logging_2513/klagomål/A 29706-2022 FSC-klagomål.docx", "A 29706-2022")</f>
        <v/>
      </c>
      <c r="AB67">
        <f>HYPERLINK("https://klasma.github.io/Logging_2513/klagomålsmail/A 29706-2022 FSC-klagomål mail.docx", "A 29706-2022")</f>
        <v/>
      </c>
      <c r="AC67">
        <f>HYPERLINK("https://klasma.github.io/Logging_2513/tillsyn/A 29706-2022 tillsynsbegäran.docx", "A 29706-2022")</f>
        <v/>
      </c>
      <c r="AD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46226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44424</v>
      </c>
      <c r="E69" s="1" t="n">
        <v>46226</v>
      </c>
      <c r="F69" t="inlineStr">
        <is>
          <t>NORRBOTTENS LÄN</t>
        </is>
      </c>
      <c r="G69" t="inlineStr">
        <is>
          <t>ÖVERKALIX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52713-2021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46226</v>
      </c>
      <c r="F70" t="inlineStr">
        <is>
          <t>NORRBOTTENS LÄN</t>
        </is>
      </c>
      <c r="G70" t="inlineStr">
        <is>
          <t>ÖVERKALIX</t>
        </is>
      </c>
      <c r="H70" t="inlineStr">
        <is>
          <t>SCA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47629-2021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44448</v>
      </c>
      <c r="E71" s="1" t="n">
        <v>46226</v>
      </c>
      <c r="F71" t="inlineStr">
        <is>
          <t>NORRBOTTENS LÄN</t>
        </is>
      </c>
      <c r="G71" t="inlineStr">
        <is>
          <t>ÖVERKALIX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46226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44435</v>
      </c>
      <c r="E73" s="1" t="n">
        <v>46226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33497-2022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46226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40026-2021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46226</v>
      </c>
      <c r="F75" t="inlineStr">
        <is>
          <t>NORRBOTTENS LÄN</t>
        </is>
      </c>
      <c r="G75" t="inlineStr">
        <is>
          <t>ÖVERKALIX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46226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46226</v>
      </c>
      <c r="F77" t="inlineStr">
        <is>
          <t>NORRBOTTENS LÄN</t>
        </is>
      </c>
      <c r="G77" t="inlineStr">
        <is>
          <t>ÖVERKALIX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46226</v>
      </c>
      <c r="F78" t="inlineStr">
        <is>
          <t>NORRBOTTENS LÄN</t>
        </is>
      </c>
      <c r="G78" t="inlineStr">
        <is>
          <t>ÖVERKALIX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43433-2021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46226</v>
      </c>
      <c r="F79" t="inlineStr">
        <is>
          <t>NORRBOTTENS LÄN</t>
        </is>
      </c>
      <c r="G79" t="inlineStr">
        <is>
          <t>ÖVERKALIX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54220-2021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46226</v>
      </c>
      <c r="F80" t="inlineStr">
        <is>
          <t>NORRBOTTENS LÄN</t>
        </is>
      </c>
      <c r="G80" t="inlineStr">
        <is>
          <t>ÖVERKALIX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46226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46226</v>
      </c>
      <c r="F82" t="inlineStr">
        <is>
          <t>NORRBOTTENS LÄN</t>
        </is>
      </c>
      <c r="G82" t="inlineStr">
        <is>
          <t>ÖVERKALIX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44433</v>
      </c>
      <c r="E83" s="1" t="n">
        <v>46226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64304-2021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46226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44530</v>
      </c>
      <c r="E85" s="1" t="n">
        <v>46226</v>
      </c>
      <c r="F85" t="inlineStr">
        <is>
          <t>NORRBOTTENS LÄN</t>
        </is>
      </c>
      <c r="G85" t="inlineStr">
        <is>
          <t>ÖVERKALIX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7677-2022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44607</v>
      </c>
      <c r="E86" s="1" t="n">
        <v>46226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46226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6916-2022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44602</v>
      </c>
      <c r="E88" s="1" t="n">
        <v>46226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15.6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46226</v>
      </c>
      <c r="F89" t="inlineStr">
        <is>
          <t>NORRBOTTENS LÄN</t>
        </is>
      </c>
      <c r="G89" t="inlineStr">
        <is>
          <t>ÖVERKALIX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46226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46226</v>
      </c>
      <c r="F91" t="inlineStr">
        <is>
          <t>NORRBOTTENS LÄN</t>
        </is>
      </c>
      <c r="G91" t="inlineStr">
        <is>
          <t>ÖVERKALIX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45575</v>
      </c>
      <c r="E92" s="1" t="n">
        <v>46226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46226</v>
      </c>
      <c r="F93" t="inlineStr">
        <is>
          <t>NORRBOTTENS LÄN</t>
        </is>
      </c>
      <c r="G93" t="inlineStr">
        <is>
          <t>ÖVERKALIX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44603</v>
      </c>
      <c r="E94" s="1" t="n">
        <v>46226</v>
      </c>
      <c r="F94" t="inlineStr">
        <is>
          <t>NORRBOTTENS LÄN</t>
        </is>
      </c>
      <c r="G94" t="inlineStr">
        <is>
          <t>ÖVERKALIX</t>
        </is>
      </c>
      <c r="H94" t="inlineStr">
        <is>
          <t>Övriga statliga verk och myndigheter</t>
        </is>
      </c>
      <c r="I94" t="n">
        <v>10.3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44880</v>
      </c>
      <c r="E95" s="1" t="n">
        <v>46226</v>
      </c>
      <c r="F95" t="inlineStr">
        <is>
          <t>NORRBOTTENS LÄN</t>
        </is>
      </c>
      <c r="G95" t="inlineStr">
        <is>
          <t>ÖVERKALIX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46226</v>
      </c>
      <c r="F96" t="inlineStr">
        <is>
          <t>NORRBOTTENS LÄN</t>
        </is>
      </c>
      <c r="G96" t="inlineStr">
        <is>
          <t>ÖVERKALIX</t>
        </is>
      </c>
      <c r="I96" t="n">
        <v>9.4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45561</v>
      </c>
      <c r="E97" s="1" t="n">
        <v>46226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45641</v>
      </c>
      <c r="E98" s="1" t="n">
        <v>46226</v>
      </c>
      <c r="F98" t="inlineStr">
        <is>
          <t>NORRBOTTENS LÄN</t>
        </is>
      </c>
      <c r="G98" t="inlineStr">
        <is>
          <t>ÖVERKALIX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45611</v>
      </c>
      <c r="E99" s="1" t="n">
        <v>46226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25.9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46226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54026-2023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46226</v>
      </c>
      <c r="F101" t="inlineStr">
        <is>
          <t>NORRBOTTENS LÄN</t>
        </is>
      </c>
      <c r="G101" t="inlineStr">
        <is>
          <t>ÖVERKALIX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60417-2024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45643</v>
      </c>
      <c r="E102" s="1" t="n">
        <v>46226</v>
      </c>
      <c r="F102" t="inlineStr">
        <is>
          <t>NORRBOTTENS LÄN</t>
        </is>
      </c>
      <c r="G102" t="inlineStr">
        <is>
          <t>ÖVERKALIX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45691</v>
      </c>
      <c r="E103" s="1" t="n">
        <v>46226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20.3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45518</v>
      </c>
      <c r="E104" s="1" t="n">
        <v>46226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46226</v>
      </c>
      <c r="F105" t="inlineStr">
        <is>
          <t>NORRBOTTENS LÄN</t>
        </is>
      </c>
      <c r="G105" t="inlineStr">
        <is>
          <t>ÖVERKALIX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46226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46226</v>
      </c>
      <c r="F107" t="inlineStr">
        <is>
          <t>NORRBOTTENS LÄN</t>
        </is>
      </c>
      <c r="G107" t="inlineStr">
        <is>
          <t>ÖVERKALIX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44306-2021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46226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46226</v>
      </c>
      <c r="F109" t="inlineStr">
        <is>
          <t>NORRBOTTENS LÄN</t>
        </is>
      </c>
      <c r="G109" t="inlineStr">
        <is>
          <t>ÖVERKALIX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25510-2024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45463</v>
      </c>
      <c r="E110" s="1" t="n">
        <v>46226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44834</v>
      </c>
      <c r="E111" s="1" t="n">
        <v>46226</v>
      </c>
      <c r="F111" t="inlineStr">
        <is>
          <t>NORRBOTTENS LÄN</t>
        </is>
      </c>
      <c r="G111" t="inlineStr">
        <is>
          <t>ÖVERKALIX</t>
        </is>
      </c>
      <c r="I111" t="n">
        <v>13.1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45689</v>
      </c>
      <c r="E112" s="1" t="n">
        <v>46226</v>
      </c>
      <c r="F112" t="inlineStr">
        <is>
          <t>NORRBOTTENS LÄN</t>
        </is>
      </c>
      <c r="G112" t="inlineStr">
        <is>
          <t>ÖVERKALIX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45371</v>
      </c>
      <c r="E113" s="1" t="n">
        <v>46226</v>
      </c>
      <c r="F113" t="inlineStr">
        <is>
          <t>NORRBOTTENS LÄN</t>
        </is>
      </c>
      <c r="G113" t="inlineStr">
        <is>
          <t>ÖVERKALIX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57966-2023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46226</v>
      </c>
      <c r="F114" t="inlineStr">
        <is>
          <t>NORRBOTTENS LÄN</t>
        </is>
      </c>
      <c r="G114" t="inlineStr">
        <is>
          <t>ÖVERKALIX</t>
        </is>
      </c>
      <c r="I114" t="n">
        <v>21.7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22071-2024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46226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45702</v>
      </c>
      <c r="E116" s="1" t="n">
        <v>46226</v>
      </c>
      <c r="F116" t="inlineStr">
        <is>
          <t>NORRBOTTENS LÄN</t>
        </is>
      </c>
      <c r="G116" t="inlineStr">
        <is>
          <t>ÖVERKALIX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45813</v>
      </c>
      <c r="E117" s="1" t="n">
        <v>46226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SCA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45460</v>
      </c>
      <c r="E118" s="1" t="n">
        <v>46226</v>
      </c>
      <c r="F118" t="inlineStr">
        <is>
          <t>NORRBOTTENS LÄN</t>
        </is>
      </c>
      <c r="G118" t="inlineStr">
        <is>
          <t>ÖVERKALIX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27451-2025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45813</v>
      </c>
      <c r="E119" s="1" t="n">
        <v>46226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45813</v>
      </c>
      <c r="E120" s="1" t="n">
        <v>46226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45813</v>
      </c>
      <c r="E121" s="1" t="n">
        <v>46226</v>
      </c>
      <c r="F121" t="inlineStr">
        <is>
          <t>NORRBOTTENS LÄN</t>
        </is>
      </c>
      <c r="G121" t="inlineStr">
        <is>
          <t>ÖVERKALIX</t>
        </is>
      </c>
      <c r="I121" t="n">
        <v>11.9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7488-2026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46226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46226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27454-2025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45813</v>
      </c>
      <c r="E124" s="1" t="n">
        <v>46226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8.699999999999999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46226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7487-2026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46226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44886</v>
      </c>
      <c r="E127" s="1" t="n">
        <v>46226</v>
      </c>
      <c r="F127" t="inlineStr">
        <is>
          <t>NORRBOTTENS LÄN</t>
        </is>
      </c>
      <c r="G127" t="inlineStr">
        <is>
          <t>ÖVERKALIX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45469</v>
      </c>
      <c r="E128" s="1" t="n">
        <v>46226</v>
      </c>
      <c r="F128" t="inlineStr">
        <is>
          <t>NORRBOTTENS LÄN</t>
        </is>
      </c>
      <c r="G128" t="inlineStr">
        <is>
          <t>ÖVERKALIX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19531-2024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45429</v>
      </c>
      <c r="E129" s="1" t="n">
        <v>46226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45819</v>
      </c>
      <c r="E130" s="1" t="n">
        <v>46226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47735-2024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46226</v>
      </c>
      <c r="F131" t="inlineStr">
        <is>
          <t>NORRBOTTENS LÄN</t>
        </is>
      </c>
      <c r="G131" t="inlineStr">
        <is>
          <t>ÖVERKALIX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45807</v>
      </c>
      <c r="E132" s="1" t="n">
        <v>46226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10.9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46226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46226</v>
      </c>
      <c r="F134" t="inlineStr">
        <is>
          <t>NORRBOTTENS LÄN</t>
        </is>
      </c>
      <c r="G134" t="inlineStr">
        <is>
          <t>ÖVERKALIX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46226</v>
      </c>
      <c r="F135" t="inlineStr">
        <is>
          <t>NORRBOTTENS LÄN</t>
        </is>
      </c>
      <c r="G135" t="inlineStr">
        <is>
          <t>ÖVERKALIX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46226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45821</v>
      </c>
      <c r="E137" s="1" t="n">
        <v>46226</v>
      </c>
      <c r="F137" t="inlineStr">
        <is>
          <t>NORRBOTTENS LÄN</t>
        </is>
      </c>
      <c r="G137" t="inlineStr">
        <is>
          <t>ÖVERKALIX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45821</v>
      </c>
      <c r="E138" s="1" t="n">
        <v>46226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17.2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46076</v>
      </c>
      <c r="E139" s="1" t="n">
        <v>46226</v>
      </c>
      <c r="F139" t="inlineStr">
        <is>
          <t>NORRBOTTENS LÄN</t>
        </is>
      </c>
      <c r="G139" t="inlineStr">
        <is>
          <t>ÖVERKALIX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10293-2026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46076</v>
      </c>
      <c r="E140" s="1" t="n">
        <v>46226</v>
      </c>
      <c r="F140" t="inlineStr">
        <is>
          <t>NORRBOTTENS LÄN</t>
        </is>
      </c>
      <c r="G140" t="inlineStr">
        <is>
          <t>ÖVERKALIX</t>
        </is>
      </c>
      <c r="I140" t="n">
        <v>10.8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46226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46226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72364-2021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46226</v>
      </c>
      <c r="F143" t="inlineStr">
        <is>
          <t>NORRBOTTENS LÄN</t>
        </is>
      </c>
      <c r="G143" t="inlineStr">
        <is>
          <t>ÖVERKALIX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46226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11181-2026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46080</v>
      </c>
      <c r="E145" s="1" t="n">
        <v>46226</v>
      </c>
      <c r="F145" t="inlineStr">
        <is>
          <t>NORRBOTTENS LÄN</t>
        </is>
      </c>
      <c r="G145" t="inlineStr">
        <is>
          <t>ÖVERKALIX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46080</v>
      </c>
      <c r="E146" s="1" t="n">
        <v>46226</v>
      </c>
      <c r="F146" t="inlineStr">
        <is>
          <t>NORRBOTTENS LÄN</t>
        </is>
      </c>
      <c r="G146" t="inlineStr">
        <is>
          <t>ÖVERKALIX</t>
        </is>
      </c>
      <c r="I146" t="n">
        <v>9.800000000000001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46226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9.699999999999999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28343-2025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45818</v>
      </c>
      <c r="E148" s="1" t="n">
        <v>46226</v>
      </c>
      <c r="F148" t="inlineStr">
        <is>
          <t>NORRBOTTENS LÄN</t>
        </is>
      </c>
      <c r="G148" t="inlineStr">
        <is>
          <t>ÖVERKALIX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46226</v>
      </c>
      <c r="F149" t="inlineStr">
        <is>
          <t>NORRBOTTENS LÄN</t>
        </is>
      </c>
      <c r="G149" t="inlineStr">
        <is>
          <t>ÖVERKALIX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46226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46226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46226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46226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37.4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11770-2026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46226</v>
      </c>
      <c r="F154" t="inlineStr">
        <is>
          <t>NORRBOTTENS LÄN</t>
        </is>
      </c>
      <c r="G154" t="inlineStr">
        <is>
          <t>ÖVERKALIX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46226</v>
      </c>
      <c r="F155" t="inlineStr">
        <is>
          <t>NORRBOTTENS LÄN</t>
        </is>
      </c>
      <c r="G155" t="inlineStr">
        <is>
          <t>ÖVERKALIX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46226</v>
      </c>
      <c r="F156" t="inlineStr">
        <is>
          <t>NORRBOTTENS LÄN</t>
        </is>
      </c>
      <c r="G156" t="inlineStr">
        <is>
          <t>ÖVERKALIX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46226</v>
      </c>
      <c r="F157" t="inlineStr">
        <is>
          <t>NORRBOTTENS LÄN</t>
        </is>
      </c>
      <c r="G157" t="inlineStr">
        <is>
          <t>ÖVERKALIX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46226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24.4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46226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46226</v>
      </c>
      <c r="F160" t="inlineStr">
        <is>
          <t>NORRBOTTENS LÄN</t>
        </is>
      </c>
      <c r="G160" t="inlineStr">
        <is>
          <t>ÖVERKALIX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46226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45904</v>
      </c>
      <c r="E162" s="1" t="n">
        <v>46226</v>
      </c>
      <c r="F162" t="inlineStr">
        <is>
          <t>NORRBOTTENS LÄN</t>
        </is>
      </c>
      <c r="G162" t="inlineStr">
        <is>
          <t>ÖVERKALIX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46226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12277-2026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46087</v>
      </c>
      <c r="E164" s="1" t="n">
        <v>46226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46087</v>
      </c>
      <c r="E165" s="1" t="n">
        <v>46226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45005</v>
      </c>
      <c r="E166" s="1" t="n">
        <v>46226</v>
      </c>
      <c r="F166" t="inlineStr">
        <is>
          <t>NORRBOTTENS LÄN</t>
        </is>
      </c>
      <c r="G166" t="inlineStr">
        <is>
          <t>ÖVERKALIX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46226</v>
      </c>
      <c r="F167" t="inlineStr">
        <is>
          <t>NORRBOTTENS LÄN</t>
        </is>
      </c>
      <c r="G167" t="inlineStr">
        <is>
          <t>ÖVERKALIX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45372</v>
      </c>
      <c r="E168" s="1" t="n">
        <v>46226</v>
      </c>
      <c r="F168" t="inlineStr">
        <is>
          <t>NORRBOTTENS LÄN</t>
        </is>
      </c>
      <c r="G168" t="inlineStr">
        <is>
          <t>ÖVERKALIX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46226</v>
      </c>
      <c r="F169" t="inlineStr">
        <is>
          <t>NORRBOTTENS LÄN</t>
        </is>
      </c>
      <c r="G169" t="inlineStr">
        <is>
          <t>ÖVERKALIX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46226</v>
      </c>
      <c r="F170" t="inlineStr">
        <is>
          <t>NORRBOTTENS LÄN</t>
        </is>
      </c>
      <c r="G170" t="inlineStr">
        <is>
          <t>ÖVERKALIX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46226</v>
      </c>
      <c r="F171" t="inlineStr">
        <is>
          <t>NORRBOTTENS LÄN</t>
        </is>
      </c>
      <c r="G171" t="inlineStr">
        <is>
          <t>ÖVERKALIX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45820</v>
      </c>
      <c r="E172" s="1" t="n">
        <v>46226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10.4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43626-2025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46226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19984-2025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45771</v>
      </c>
      <c r="E174" s="1" t="n">
        <v>46226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10.5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13058-2026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46093</v>
      </c>
      <c r="E175" s="1" t="n">
        <v>46226</v>
      </c>
      <c r="F175" t="inlineStr">
        <is>
          <t>NORRBOTTENS LÄN</t>
        </is>
      </c>
      <c r="G175" t="inlineStr">
        <is>
          <t>ÖVERKALIX</t>
        </is>
      </c>
      <c r="I175" t="n">
        <v>12.5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44754-2025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45917</v>
      </c>
      <c r="E176" s="1" t="n">
        <v>46226</v>
      </c>
      <c r="F176" t="inlineStr">
        <is>
          <t>NORRBOTTENS LÄN</t>
        </is>
      </c>
      <c r="G176" t="inlineStr">
        <is>
          <t>ÖVERKALIX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46226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45535-2025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45922</v>
      </c>
      <c r="E178" s="1" t="n">
        <v>46226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Sveaskog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25506-2024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45463</v>
      </c>
      <c r="E179" s="1" t="n">
        <v>46226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30776-2025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46226</v>
      </c>
      <c r="F180" t="inlineStr">
        <is>
          <t>NORRBOTTENS LÄN</t>
        </is>
      </c>
      <c r="G180" t="inlineStr">
        <is>
          <t>ÖVERKALIX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46104</v>
      </c>
      <c r="E181" s="1" t="n">
        <v>46226</v>
      </c>
      <c r="F181" t="inlineStr">
        <is>
          <t>NORRBOTTENS LÄN</t>
        </is>
      </c>
      <c r="G181" t="inlineStr">
        <is>
          <t>ÖVERKALIX</t>
        </is>
      </c>
      <c r="I181" t="n">
        <v>9.4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44930</v>
      </c>
      <c r="E182" s="1" t="n">
        <v>46226</v>
      </c>
      <c r="F182" t="inlineStr">
        <is>
          <t>NORRBOTTENS LÄN</t>
        </is>
      </c>
      <c r="G182" t="inlineStr">
        <is>
          <t>ÖVERKALIX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45141</v>
      </c>
      <c r="E183" s="1" t="n">
        <v>46226</v>
      </c>
      <c r="F183" t="inlineStr">
        <is>
          <t>NORRBOTTENS LÄN</t>
        </is>
      </c>
      <c r="G183" t="inlineStr">
        <is>
          <t>ÖVERKALIX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15358-2026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46105</v>
      </c>
      <c r="E184" s="1" t="n">
        <v>46226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22.8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46112</v>
      </c>
      <c r="E185" s="1" t="n">
        <v>46226</v>
      </c>
      <c r="F185" t="inlineStr">
        <is>
          <t>NORRBOTTENS LÄN</t>
        </is>
      </c>
      <c r="G185" t="inlineStr">
        <is>
          <t>ÖVERKALIX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46113</v>
      </c>
      <c r="E186" s="1" t="n">
        <v>46226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45835</v>
      </c>
      <c r="E187" s="1" t="n">
        <v>46226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45936</v>
      </c>
      <c r="E188" s="1" t="n">
        <v>46226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46226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17516-2026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46120</v>
      </c>
      <c r="E190" s="1" t="n">
        <v>46226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46120</v>
      </c>
      <c r="E191" s="1" t="n">
        <v>46226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31744-2025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45834</v>
      </c>
      <c r="E192" s="1" t="n">
        <v>46226</v>
      </c>
      <c r="F192" t="inlineStr">
        <is>
          <t>NORRBOTTENS LÄN</t>
        </is>
      </c>
      <c r="G192" t="inlineStr">
        <is>
          <t>ÖVERKALIX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17690-2026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46121</v>
      </c>
      <c r="E193" s="1" t="n">
        <v>46226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19259-2024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45428</v>
      </c>
      <c r="E194" s="1" t="n">
        <v>46226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Sveaskog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49756-2025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45940</v>
      </c>
      <c r="E195" s="1" t="n">
        <v>46226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46226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45238</v>
      </c>
      <c r="E197" s="1" t="n">
        <v>46226</v>
      </c>
      <c r="F197" t="inlineStr">
        <is>
          <t>NORRBOTTENS LÄN</t>
        </is>
      </c>
      <c r="G197" t="inlineStr">
        <is>
          <t>ÖVERKALIX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46226</v>
      </c>
      <c r="F198" t="inlineStr">
        <is>
          <t>NORRBOTTENS LÄN</t>
        </is>
      </c>
      <c r="G198" t="inlineStr">
        <is>
          <t>ÖVERKALIX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38088-2023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45160</v>
      </c>
      <c r="E199" s="1" t="n">
        <v>46226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46226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46226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46226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45837</v>
      </c>
      <c r="E203" s="1" t="n">
        <v>46226</v>
      </c>
      <c r="F203" t="inlineStr">
        <is>
          <t>NORRBOTTENS LÄN</t>
        </is>
      </c>
      <c r="G203" t="inlineStr">
        <is>
          <t>ÖVERKALIX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45947</v>
      </c>
      <c r="E204" s="1" t="n">
        <v>46226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46226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46226</v>
      </c>
      <c r="F206" t="inlineStr">
        <is>
          <t>NORRBOTTENS LÄN</t>
        </is>
      </c>
      <c r="G206" t="inlineStr">
        <is>
          <t>ÖVERKALIX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45837</v>
      </c>
      <c r="E207" s="1" t="n">
        <v>46226</v>
      </c>
      <c r="F207" t="inlineStr">
        <is>
          <t>NORRBOTTENS LÄN</t>
        </is>
      </c>
      <c r="G207" t="inlineStr">
        <is>
          <t>ÖVERKALIX</t>
        </is>
      </c>
      <c r="I207" t="n">
        <v>9.800000000000001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45837</v>
      </c>
      <c r="E208" s="1" t="n">
        <v>46226</v>
      </c>
      <c r="F208" t="inlineStr">
        <is>
          <t>NORRBOTTENS LÄN</t>
        </is>
      </c>
      <c r="G208" t="inlineStr">
        <is>
          <t>ÖVERKALIX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51656-2025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46226</v>
      </c>
      <c r="F209" t="inlineStr">
        <is>
          <t>NORRBOTTENS LÄN</t>
        </is>
      </c>
      <c r="G209" t="inlineStr">
        <is>
          <t>ÖVERKALIX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44964</v>
      </c>
      <c r="E210" s="1" t="n">
        <v>46226</v>
      </c>
      <c r="F210" t="inlineStr">
        <is>
          <t>NORRBOTTENS LÄN</t>
        </is>
      </c>
      <c r="G210" t="inlineStr">
        <is>
          <t>ÖVERKALIX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46127</v>
      </c>
      <c r="E211" s="1" t="n">
        <v>46226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46127</v>
      </c>
      <c r="E212" s="1" t="n">
        <v>46226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51634-2025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45951</v>
      </c>
      <c r="E213" s="1" t="n">
        <v>46226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46226</v>
      </c>
      <c r="F214" t="inlineStr">
        <is>
          <t>NORRBOTTENS LÄN</t>
        </is>
      </c>
      <c r="G214" t="inlineStr">
        <is>
          <t>ÖVERKALIX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19107-2026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46132</v>
      </c>
      <c r="E215" s="1" t="n">
        <v>46226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58764-2023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45251</v>
      </c>
      <c r="E216" s="1" t="n">
        <v>46226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45949</v>
      </c>
      <c r="E217" s="1" t="n">
        <v>46226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19410-2026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46133</v>
      </c>
      <c r="E218" s="1" t="n">
        <v>46226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52973-2025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45957</v>
      </c>
      <c r="E219" s="1" t="n">
        <v>46226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9.9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33266-2025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46226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19805-2026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46135</v>
      </c>
      <c r="E221" s="1" t="n">
        <v>46226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9.199999999999999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33224-2025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45840</v>
      </c>
      <c r="E222" s="1" t="n">
        <v>46226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52591-2025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45954</v>
      </c>
      <c r="E223" s="1" t="n">
        <v>46226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45671</v>
      </c>
      <c r="E224" s="1" t="n">
        <v>46226</v>
      </c>
      <c r="F224" t="inlineStr">
        <is>
          <t>NORRBOTTENS LÄN</t>
        </is>
      </c>
      <c r="G224" t="inlineStr">
        <is>
          <t>ÖVERKALIX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46134</v>
      </c>
      <c r="E225" s="1" t="n">
        <v>46226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46226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45767-2023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45189</v>
      </c>
      <c r="E227" s="1" t="n">
        <v>46226</v>
      </c>
      <c r="F227" t="inlineStr">
        <is>
          <t>NORRBOTTENS LÄN</t>
        </is>
      </c>
      <c r="G227" t="inlineStr">
        <is>
          <t>ÖVERKALIX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34128-2025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45845</v>
      </c>
      <c r="E228" s="1" t="n">
        <v>46226</v>
      </c>
      <c r="F228" t="inlineStr">
        <is>
          <t>NORRBOTTENS LÄN</t>
        </is>
      </c>
      <c r="G228" t="inlineStr">
        <is>
          <t>ÖVERKALIX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15301-2022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44659</v>
      </c>
      <c r="E229" s="1" t="n">
        <v>46226</v>
      </c>
      <c r="F229" t="inlineStr">
        <is>
          <t>NORRBOTTENS LÄN</t>
        </is>
      </c>
      <c r="G229" t="inlineStr">
        <is>
          <t>ÖVERKALIX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53093-2025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45958</v>
      </c>
      <c r="E230" s="1" t="n">
        <v>46226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45463</v>
      </c>
      <c r="E231" s="1" t="n">
        <v>46226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46226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Sveaskog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46226</v>
      </c>
      <c r="F233" t="inlineStr">
        <is>
          <t>NORRBOTTENS LÄN</t>
        </is>
      </c>
      <c r="G233" t="inlineStr">
        <is>
          <t>ÖVERKALIX</t>
        </is>
      </c>
      <c r="I233" t="n">
        <v>8.6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45133</v>
      </c>
      <c r="E234" s="1" t="n">
        <v>46226</v>
      </c>
      <c r="F234" t="inlineStr">
        <is>
          <t>NORRBOTTENS LÄN</t>
        </is>
      </c>
      <c r="G234" t="inlineStr">
        <is>
          <t>ÖVERKALIX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54899-2025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45967</v>
      </c>
      <c r="E235" s="1" t="n">
        <v>46226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72809-2021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44546</v>
      </c>
      <c r="E236" s="1" t="n">
        <v>46226</v>
      </c>
      <c r="F236" t="inlineStr">
        <is>
          <t>NORRBOTTENS LÄN</t>
        </is>
      </c>
      <c r="G236" t="inlineStr">
        <is>
          <t>ÖVERKALIX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46226</v>
      </c>
      <c r="F237" t="inlineStr">
        <is>
          <t>NORRBOTTENS LÄN</t>
        </is>
      </c>
      <c r="G237" t="inlineStr">
        <is>
          <t>ÖVERKALIX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41706-2021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44424</v>
      </c>
      <c r="E238" s="1" t="n">
        <v>46226</v>
      </c>
      <c r="F238" t="inlineStr">
        <is>
          <t>NORRBOTTENS LÄN</t>
        </is>
      </c>
      <c r="G238" t="inlineStr">
        <is>
          <t>ÖVERKALIX</t>
        </is>
      </c>
      <c r="I238" t="n">
        <v>10.2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57744-2025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45981</v>
      </c>
      <c r="E239" s="1" t="n">
        <v>46226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44993</v>
      </c>
      <c r="E240" s="1" t="n">
        <v>46226</v>
      </c>
      <c r="F240" t="inlineStr">
        <is>
          <t>NORRBOTTENS LÄN</t>
        </is>
      </c>
      <c r="G240" t="inlineStr">
        <is>
          <t>ÖVERKALIX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62269-2021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44502</v>
      </c>
      <c r="E241" s="1" t="n">
        <v>46226</v>
      </c>
      <c r="F241" t="inlineStr">
        <is>
          <t>NORRBOTTENS LÄN</t>
        </is>
      </c>
      <c r="G241" t="inlineStr">
        <is>
          <t>ÖVERKALIX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46139</v>
      </c>
      <c r="E242" s="1" t="n">
        <v>46226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46226</v>
      </c>
      <c r="F243" t="inlineStr">
        <is>
          <t>NORRBOTTENS LÄN</t>
        </is>
      </c>
      <c r="G243" t="inlineStr">
        <is>
          <t>ÖVERKALIX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45986</v>
      </c>
      <c r="E244" s="1" t="n">
        <v>46226</v>
      </c>
      <c r="F244" t="inlineStr">
        <is>
          <t>NORRBOTTENS LÄN</t>
        </is>
      </c>
      <c r="G244" t="inlineStr">
        <is>
          <t>ÖVERKALIX</t>
        </is>
      </c>
      <c r="I244" t="n">
        <v>16.1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22470-2023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45070</v>
      </c>
      <c r="E245" s="1" t="n">
        <v>46226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46226</v>
      </c>
      <c r="F246" t="inlineStr">
        <is>
          <t>NORRBOTTENS LÄN</t>
        </is>
      </c>
      <c r="G246" t="inlineStr">
        <is>
          <t>ÖVERKALIX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5653-2022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44595</v>
      </c>
      <c r="E247" s="1" t="n">
        <v>46226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36501-2025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45869</v>
      </c>
      <c r="E248" s="1" t="n">
        <v>46226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45869</v>
      </c>
      <c r="E249" s="1" t="n">
        <v>46226</v>
      </c>
      <c r="F249" t="inlineStr">
        <is>
          <t>NORRBOTTENS LÄN</t>
        </is>
      </c>
      <c r="G249" t="inlineStr">
        <is>
          <t>ÖVERKALIX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46226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8.300000000000001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40281-2022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44820</v>
      </c>
      <c r="E251" s="1" t="n">
        <v>46226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45988</v>
      </c>
      <c r="E252" s="1" t="n">
        <v>46226</v>
      </c>
      <c r="F252" t="inlineStr">
        <is>
          <t>NORRBOTTENS LÄN</t>
        </is>
      </c>
      <c r="G252" t="inlineStr">
        <is>
          <t>ÖVERKALIX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46226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59829-2025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45992</v>
      </c>
      <c r="E254" s="1" t="n">
        <v>46226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13.3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45993</v>
      </c>
      <c r="E255" s="1" t="n">
        <v>46226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45315</v>
      </c>
      <c r="E256" s="1" t="n">
        <v>46226</v>
      </c>
      <c r="F256" t="inlineStr">
        <is>
          <t>NORRBOTTENS LÄN</t>
        </is>
      </c>
      <c r="G256" t="inlineStr">
        <is>
          <t>ÖVERKALIX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6641-2022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44601</v>
      </c>
      <c r="E257" s="1" t="n">
        <v>46226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60215-2025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45994</v>
      </c>
      <c r="E258" s="1" t="n">
        <v>46226</v>
      </c>
      <c r="F258" t="inlineStr">
        <is>
          <t>NORRBOTTENS LÄN</t>
        </is>
      </c>
      <c r="G258" t="inlineStr">
        <is>
          <t>ÖVERKALIX</t>
        </is>
      </c>
      <c r="I258" t="n">
        <v>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46226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46226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44648</v>
      </c>
      <c r="E261" s="1" t="n">
        <v>46226</v>
      </c>
      <c r="F261" t="inlineStr">
        <is>
          <t>NORRBOTTENS LÄN</t>
        </is>
      </c>
      <c r="G261" t="inlineStr">
        <is>
          <t>ÖVERKALIX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46226</v>
      </c>
      <c r="F262" t="inlineStr">
        <is>
          <t>NORRBOTTENS LÄN</t>
        </is>
      </c>
      <c r="G262" t="inlineStr">
        <is>
          <t>ÖVERKALIX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26554-2023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45092</v>
      </c>
      <c r="E263" s="1" t="n">
        <v>46226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45996</v>
      </c>
      <c r="E264" s="1" t="n">
        <v>46226</v>
      </c>
      <c r="F264" t="inlineStr">
        <is>
          <t>NORRBOTTENS LÄN</t>
        </is>
      </c>
      <c r="G264" t="inlineStr">
        <is>
          <t>ÖVERKALIX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45870</v>
      </c>
      <c r="E265" s="1" t="n">
        <v>46226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45870</v>
      </c>
      <c r="E266" s="1" t="n">
        <v>46226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60834-2025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46226</v>
      </c>
      <c r="F267" t="inlineStr">
        <is>
          <t>NORRBOTTENS LÄN</t>
        </is>
      </c>
      <c r="G267" t="inlineStr">
        <is>
          <t>ÖVERKALIX</t>
        </is>
      </c>
      <c r="I267" t="n">
        <v>7.8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46226</v>
      </c>
      <c r="F268" t="inlineStr">
        <is>
          <t>NORRBOTTENS LÄN</t>
        </is>
      </c>
      <c r="G268" t="inlineStr">
        <is>
          <t>ÖVERKALIX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60809-2025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46226</v>
      </c>
      <c r="F269" t="inlineStr">
        <is>
          <t>NORRBOTTENS LÄN</t>
        </is>
      </c>
      <c r="G269" t="inlineStr">
        <is>
          <t>ÖVERKALIX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28208-2025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46226</v>
      </c>
      <c r="F270" t="inlineStr">
        <is>
          <t>NORRBOTTENS LÄN</t>
        </is>
      </c>
      <c r="G270" t="inlineStr">
        <is>
          <t>ÖVERKALIX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36715-2025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45873</v>
      </c>
      <c r="E271" s="1" t="n">
        <v>46226</v>
      </c>
      <c r="F271" t="inlineStr">
        <is>
          <t>NORRBOTTENS LÄN</t>
        </is>
      </c>
      <c r="G271" t="inlineStr">
        <is>
          <t>ÖVERKALIX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45308</v>
      </c>
      <c r="E272" s="1" t="n">
        <v>46226</v>
      </c>
      <c r="F272" t="inlineStr">
        <is>
          <t>NORRBOTTENS LÄN</t>
        </is>
      </c>
      <c r="G272" t="inlineStr">
        <is>
          <t>ÖVERKALIX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46226</v>
      </c>
      <c r="F273" t="inlineStr">
        <is>
          <t>NORRBOTTENS LÄN</t>
        </is>
      </c>
      <c r="G273" t="inlineStr">
        <is>
          <t>ÖVERKALIX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46226</v>
      </c>
      <c r="F274" t="inlineStr">
        <is>
          <t>NORRBOTTENS LÄN</t>
        </is>
      </c>
      <c r="G274" t="inlineStr">
        <is>
          <t>ÖVERKALIX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21299-2024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45440</v>
      </c>
      <c r="E275" s="1" t="n">
        <v>46226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46226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45321</v>
      </c>
      <c r="E277" s="1" t="n">
        <v>46226</v>
      </c>
      <c r="F277" t="inlineStr">
        <is>
          <t>NORRBOTTENS LÄN</t>
        </is>
      </c>
      <c r="G277" t="inlineStr">
        <is>
          <t>ÖVERKALIX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42407-2022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44830</v>
      </c>
      <c r="E278" s="1" t="n">
        <v>46226</v>
      </c>
      <c r="F278" t="inlineStr">
        <is>
          <t>NORRBOTTENS LÄN</t>
        </is>
      </c>
      <c r="G278" t="inlineStr">
        <is>
          <t>ÖVERKALIX</t>
        </is>
      </c>
      <c r="I278" t="n">
        <v>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25697-2024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45463</v>
      </c>
      <c r="E279" s="1" t="n">
        <v>46226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46002</v>
      </c>
      <c r="E280" s="1" t="n">
        <v>46226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46142</v>
      </c>
      <c r="E281" s="1" t="n">
        <v>46226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45807</v>
      </c>
      <c r="E282" s="1" t="n">
        <v>46226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8.300000000000001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63087-2025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46009</v>
      </c>
      <c r="E283" s="1" t="n">
        <v>46226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63023-2025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46226</v>
      </c>
      <c r="F284" t="inlineStr">
        <is>
          <t>NORRBOTTENS LÄN</t>
        </is>
      </c>
      <c r="G284" t="inlineStr">
        <is>
          <t>ÖVERKALIX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46013</v>
      </c>
      <c r="E285" s="1" t="n">
        <v>46226</v>
      </c>
      <c r="F285" t="inlineStr">
        <is>
          <t>NORRBOTTENS LÄN</t>
        </is>
      </c>
      <c r="G285" t="inlineStr">
        <is>
          <t>ÖVERKALIX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46010</v>
      </c>
      <c r="E286" s="1" t="n">
        <v>46226</v>
      </c>
      <c r="F286" t="inlineStr">
        <is>
          <t>NORRBOTTENS LÄN</t>
        </is>
      </c>
      <c r="G286" t="inlineStr">
        <is>
          <t>ÖVERKALIX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63451-2025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46013</v>
      </c>
      <c r="E287" s="1" t="n">
        <v>46226</v>
      </c>
      <c r="F287" t="inlineStr">
        <is>
          <t>NORRBOTTENS LÄN</t>
        </is>
      </c>
      <c r="G287" t="inlineStr">
        <is>
          <t>ÖVERKALIX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46226</v>
      </c>
      <c r="F288" t="inlineStr">
        <is>
          <t>NORRBOTTENS LÄN</t>
        </is>
      </c>
      <c r="G288" t="inlineStr">
        <is>
          <t>ÖVERKALIX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73216-2021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44547</v>
      </c>
      <c r="E289" s="1" t="n">
        <v>46226</v>
      </c>
      <c r="F289" t="inlineStr">
        <is>
          <t>NORRBOTTENS LÄN</t>
        </is>
      </c>
      <c r="G289" t="inlineStr">
        <is>
          <t>ÖVERKALIX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49091-2024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45594</v>
      </c>
      <c r="E290" s="1" t="n">
        <v>46226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45882</v>
      </c>
      <c r="E291" s="1" t="n">
        <v>46226</v>
      </c>
      <c r="F291" t="inlineStr">
        <is>
          <t>NORRBOTTENS LÄN</t>
        </is>
      </c>
      <c r="G291" t="inlineStr">
        <is>
          <t>ÖVERKALIX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38081-2025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45882</v>
      </c>
      <c r="E292" s="1" t="n">
        <v>46226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13.4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27087-2026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46187</v>
      </c>
      <c r="E293" s="1" t="n">
        <v>46226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45882</v>
      </c>
      <c r="E294" s="1" t="n">
        <v>46226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21417-2026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46226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21427-2026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46226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46226</v>
      </c>
      <c r="F297" t="inlineStr">
        <is>
          <t>NORRBOTTENS LÄN</t>
        </is>
      </c>
      <c r="G297" t="inlineStr">
        <is>
          <t>ÖVERKALIX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38026-2025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45882</v>
      </c>
      <c r="E298" s="1" t="n">
        <v>46226</v>
      </c>
      <c r="F298" t="inlineStr">
        <is>
          <t>NORRBOTTENS LÄN</t>
        </is>
      </c>
      <c r="G298" t="inlineStr">
        <is>
          <t>ÖVERKALIX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46226</v>
      </c>
      <c r="F299" t="inlineStr">
        <is>
          <t>NORRBOTTENS LÄN</t>
        </is>
      </c>
      <c r="G299" t="inlineStr">
        <is>
          <t>ÖVERKALIX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21411-2026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46148</v>
      </c>
      <c r="E300" s="1" t="n">
        <v>46226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46226</v>
      </c>
      <c r="F301" t="inlineStr">
        <is>
          <t>NORRBOTTENS LÄN</t>
        </is>
      </c>
      <c r="G301" t="inlineStr">
        <is>
          <t>ÖVERKALIX</t>
        </is>
      </c>
      <c r="I301" t="n">
        <v>10.1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46226</v>
      </c>
      <c r="F302" t="inlineStr">
        <is>
          <t>NORRBOTTENS LÄN</t>
        </is>
      </c>
      <c r="G302" t="inlineStr">
        <is>
          <t>ÖVERKALIX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46226</v>
      </c>
      <c r="F303" t="inlineStr">
        <is>
          <t>NORRBOTTENS LÄN</t>
        </is>
      </c>
      <c r="G303" t="inlineStr">
        <is>
          <t>ÖVERKALIX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45471</v>
      </c>
      <c r="E304" s="1" t="n">
        <v>46226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45471</v>
      </c>
      <c r="E305" s="1" t="n">
        <v>46226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32.6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52647-2024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45610</v>
      </c>
      <c r="E306" s="1" t="n">
        <v>46226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21419-2026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46226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21423-2026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46148</v>
      </c>
      <c r="E308" s="1" t="n">
        <v>46226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46226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7.5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21425-2026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46226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46148</v>
      </c>
      <c r="E311" s="1" t="n">
        <v>46226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18.8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54143-2021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44469</v>
      </c>
      <c r="E312" s="1" t="n">
        <v>46226</v>
      </c>
      <c r="F312" t="inlineStr">
        <is>
          <t>NORRBOTTENS LÄN</t>
        </is>
      </c>
      <c r="G312" t="inlineStr">
        <is>
          <t>ÖVERKALIX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46226</v>
      </c>
      <c r="F313" t="inlineStr">
        <is>
          <t>NORRBOTTENS LÄN</t>
        </is>
      </c>
      <c r="G313" t="inlineStr">
        <is>
          <t>ÖVERKALIX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46226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26140-2023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45086</v>
      </c>
      <c r="E315" s="1" t="n">
        <v>46226</v>
      </c>
      <c r="F315" t="inlineStr">
        <is>
          <t>NORRBOTTENS LÄN</t>
        </is>
      </c>
      <c r="G315" t="inlineStr">
        <is>
          <t>ÖVERKALIX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21422-2026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46226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11.5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44950</v>
      </c>
      <c r="E317" s="1" t="n">
        <v>46226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46226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23.2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45379</v>
      </c>
      <c r="E319" s="1" t="n">
        <v>46226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46195</v>
      </c>
      <c r="E320" s="1" t="n">
        <v>46226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Sveaskog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15491-2025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45747</v>
      </c>
      <c r="E321" s="1" t="n">
        <v>46226</v>
      </c>
      <c r="F321" t="inlineStr">
        <is>
          <t>NORRBOTTENS LÄN</t>
        </is>
      </c>
      <c r="G321" t="inlineStr">
        <is>
          <t>ÖVERKALIX</t>
        </is>
      </c>
      <c r="I321" t="n">
        <v>10.4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45218</v>
      </c>
      <c r="E322" s="1" t="n">
        <v>46226</v>
      </c>
      <c r="F322" t="inlineStr">
        <is>
          <t>NORRBOTTENS LÄN</t>
        </is>
      </c>
      <c r="G322" t="inlineStr">
        <is>
          <t>ÖVERKALIX</t>
        </is>
      </c>
      <c r="I322" t="n">
        <v>8.199999999999999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46042</v>
      </c>
      <c r="E323" s="1" t="n">
        <v>46226</v>
      </c>
      <c r="F323" t="inlineStr">
        <is>
          <t>NORRBOTTENS LÄN</t>
        </is>
      </c>
      <c r="G323" t="inlineStr">
        <is>
          <t>ÖVERKALIX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46042</v>
      </c>
      <c r="E324" s="1" t="n">
        <v>46226</v>
      </c>
      <c r="F324" t="inlineStr">
        <is>
          <t>NORRBOTTENS LÄN</t>
        </is>
      </c>
      <c r="G324" t="inlineStr">
        <is>
          <t>ÖVERKALIX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24548-2024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45460</v>
      </c>
      <c r="E325" s="1" t="n">
        <v>46226</v>
      </c>
      <c r="F325" t="inlineStr">
        <is>
          <t>NORRBOTTENS LÄN</t>
        </is>
      </c>
      <c r="G325" t="inlineStr">
        <is>
          <t>ÖVERKALIX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60400-2022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44910</v>
      </c>
      <c r="E326" s="1" t="n">
        <v>46226</v>
      </c>
      <c r="F326" t="inlineStr">
        <is>
          <t>NORRBOTTENS LÄN</t>
        </is>
      </c>
      <c r="G326" t="inlineStr">
        <is>
          <t>ÖVERKALIX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45712</v>
      </c>
      <c r="E327" s="1" t="n">
        <v>46226</v>
      </c>
      <c r="F327" t="inlineStr">
        <is>
          <t>NORRBOTTENS LÄN</t>
        </is>
      </c>
      <c r="G327" t="inlineStr">
        <is>
          <t>ÖVERKALIX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46226</v>
      </c>
      <c r="F328" t="inlineStr">
        <is>
          <t>NORRBOTTENS LÄN</t>
        </is>
      </c>
      <c r="G328" t="inlineStr">
        <is>
          <t>ÖVERKALIX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28210-2026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46196</v>
      </c>
      <c r="E329" s="1" t="n">
        <v>46226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46226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11.8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46199</v>
      </c>
      <c r="E331" s="1" t="n">
        <v>46226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45631</v>
      </c>
      <c r="E332" s="1" t="n">
        <v>46226</v>
      </c>
      <c r="F332" t="inlineStr">
        <is>
          <t>NORRBOTTENS LÄN</t>
        </is>
      </c>
      <c r="G332" t="inlineStr">
        <is>
          <t>ÖVERKALIX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46055</v>
      </c>
      <c r="E333" s="1" t="n">
        <v>46226</v>
      </c>
      <c r="F333" t="inlineStr">
        <is>
          <t>NORRBOTTENS LÄN</t>
        </is>
      </c>
      <c r="G333" t="inlineStr">
        <is>
          <t>ÖVERKALIX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46198</v>
      </c>
      <c r="E334" s="1" t="n">
        <v>46226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46157</v>
      </c>
      <c r="E335" s="1" t="n">
        <v>46226</v>
      </c>
      <c r="F335" t="inlineStr">
        <is>
          <t>NORRBOTTENS LÄN</t>
        </is>
      </c>
      <c r="G335" t="inlineStr">
        <is>
          <t>ÖVERKALIX</t>
        </is>
      </c>
      <c r="I335" t="n">
        <v>10.6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44575</v>
      </c>
      <c r="E336" s="1" t="n">
        <v>46226</v>
      </c>
      <c r="F336" t="inlineStr">
        <is>
          <t>NORRBOTTENS LÄN</t>
        </is>
      </c>
      <c r="G336" t="inlineStr">
        <is>
          <t>ÖVERKALIX</t>
        </is>
      </c>
      <c r="I336" t="n">
        <v>10.4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46198</v>
      </c>
      <c r="E337" s="1" t="n">
        <v>46226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35169-2022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44797</v>
      </c>
      <c r="E338" s="1" t="n">
        <v>46226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46226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32477-2024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45513</v>
      </c>
      <c r="E340" s="1" t="n">
        <v>46226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46160</v>
      </c>
      <c r="E341" s="1" t="n">
        <v>46226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30881-2024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45498</v>
      </c>
      <c r="E342" s="1" t="n">
        <v>46226</v>
      </c>
      <c r="F342" t="inlineStr">
        <is>
          <t>NORRBOTTENS LÄN</t>
        </is>
      </c>
      <c r="G342" t="inlineStr">
        <is>
          <t>ÖVERKALIX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23353-2026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46226</v>
      </c>
      <c r="F343" t="inlineStr">
        <is>
          <t>NORRBOTTENS LÄN</t>
        </is>
      </c>
      <c r="G343" t="inlineStr">
        <is>
          <t>ÖVERKALIX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2009-2024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45308</v>
      </c>
      <c r="E344" s="1" t="n">
        <v>46226</v>
      </c>
      <c r="F344" t="inlineStr">
        <is>
          <t>NORRBOTTENS LÄN</t>
        </is>
      </c>
      <c r="G344" t="inlineStr">
        <is>
          <t>ÖVERKALIX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46226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17.6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23588-2026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46163</v>
      </c>
      <c r="E346" s="1" t="n">
        <v>46226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9.9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46205</v>
      </c>
      <c r="E347" s="1" t="n">
        <v>46226</v>
      </c>
      <c r="F347" t="inlineStr">
        <is>
          <t>NORRBOTTENS LÄN</t>
        </is>
      </c>
      <c r="G347" t="inlineStr">
        <is>
          <t>ÖVERKALIX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23360-2026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46226</v>
      </c>
      <c r="F348" t="inlineStr">
        <is>
          <t>NORRBOTTENS LÄN</t>
        </is>
      </c>
      <c r="G348" t="inlineStr">
        <is>
          <t>ÖVERKALIX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46226</v>
      </c>
      <c r="F349" t="inlineStr">
        <is>
          <t>NORRBOTTENS LÄN</t>
        </is>
      </c>
      <c r="G349" t="inlineStr">
        <is>
          <t>ÖVERKALIX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29937-2026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46205</v>
      </c>
      <c r="E350" s="1" t="n">
        <v>46226</v>
      </c>
      <c r="F350" t="inlineStr">
        <is>
          <t>NORRBOTTENS LÄN</t>
        </is>
      </c>
      <c r="G350" t="inlineStr">
        <is>
          <t>ÖVERKALIX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29927-2026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46205</v>
      </c>
      <c r="E351" s="1" t="n">
        <v>46226</v>
      </c>
      <c r="F351" t="inlineStr">
        <is>
          <t>NORRBOTTENS LÄN</t>
        </is>
      </c>
      <c r="G351" t="inlineStr">
        <is>
          <t>ÖVERKALIX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44973</v>
      </c>
      <c r="E352" s="1" t="n">
        <v>46226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47734-2024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45588</v>
      </c>
      <c r="E353" s="1" t="n">
        <v>46226</v>
      </c>
      <c r="F353" t="inlineStr">
        <is>
          <t>NORRBOTTENS LÄN</t>
        </is>
      </c>
      <c r="G353" t="inlineStr">
        <is>
          <t>ÖVERKALIX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23507-2026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46163</v>
      </c>
      <c r="E354" s="1" t="n">
        <v>46226</v>
      </c>
      <c r="F354" t="inlineStr">
        <is>
          <t>NORRBOTTENS LÄN</t>
        </is>
      </c>
      <c r="G354" t="inlineStr">
        <is>
          <t>ÖVERKALIX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46226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23938-2026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46226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45379</v>
      </c>
      <c r="E357" s="1" t="n">
        <v>46226</v>
      </c>
      <c r="F357" t="inlineStr">
        <is>
          <t>NORRBOTTENS LÄN</t>
        </is>
      </c>
      <c r="G357" t="inlineStr">
        <is>
          <t>ÖVERKALIX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23935-2026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46226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28372-2025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45818</v>
      </c>
      <c r="E359" s="1" t="n">
        <v>46226</v>
      </c>
      <c r="F359" t="inlineStr">
        <is>
          <t>NORRBOTTENS LÄN</t>
        </is>
      </c>
      <c r="G359" t="inlineStr">
        <is>
          <t>ÖVERKALIX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46226</v>
      </c>
      <c r="F360" t="inlineStr">
        <is>
          <t>NORRBOTTENS LÄN</t>
        </is>
      </c>
      <c r="G360" t="inlineStr">
        <is>
          <t>ÖVERKALIX</t>
        </is>
      </c>
      <c r="I360" t="n">
        <v>22.3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46206</v>
      </c>
      <c r="E361" s="1" t="n">
        <v>46226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46226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23942-2026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46226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30328-2026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46207</v>
      </c>
      <c r="E364" s="1" t="n">
        <v>46226</v>
      </c>
      <c r="F364" t="inlineStr">
        <is>
          <t>NORRBOTTENS LÄN</t>
        </is>
      </c>
      <c r="G364" t="inlineStr">
        <is>
          <t>ÖVERKALIX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30241-2026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46206</v>
      </c>
      <c r="E365" s="1" t="n">
        <v>46226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30329-2026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46207</v>
      </c>
      <c r="E366" s="1" t="n">
        <v>46226</v>
      </c>
      <c r="F366" t="inlineStr">
        <is>
          <t>NORRBOTTENS LÄN</t>
        </is>
      </c>
      <c r="G366" t="inlineStr">
        <is>
          <t>ÖVERKALIX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30327-2026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46207</v>
      </c>
      <c r="E367" s="1" t="n">
        <v>46226</v>
      </c>
      <c r="F367" t="inlineStr">
        <is>
          <t>NORRBOTTENS LÄN</t>
        </is>
      </c>
      <c r="G367" t="inlineStr">
        <is>
          <t>ÖVERKALIX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51354-2025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45950</v>
      </c>
      <c r="E368" s="1" t="n">
        <v>46226</v>
      </c>
      <c r="F368" t="inlineStr">
        <is>
          <t>NORRBOTTENS LÄN</t>
        </is>
      </c>
      <c r="G368" t="inlineStr">
        <is>
          <t>ÖVERKALIX</t>
        </is>
      </c>
      <c r="I368" t="n">
        <v>8.199999999999999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23949-2026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46226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23953-2026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46226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46226</v>
      </c>
      <c r="F371" t="inlineStr">
        <is>
          <t>NORRBOTTENS LÄN</t>
        </is>
      </c>
      <c r="G371" t="inlineStr">
        <is>
          <t>ÖVERKALIX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30326-2026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46207</v>
      </c>
      <c r="E372" s="1" t="n">
        <v>46226</v>
      </c>
      <c r="F372" t="inlineStr">
        <is>
          <t>NORRBOTTENS LÄN</t>
        </is>
      </c>
      <c r="G372" t="inlineStr">
        <is>
          <t>ÖVERKALIX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46168</v>
      </c>
      <c r="E373" s="1" t="n">
        <v>46226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18.6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46168</v>
      </c>
      <c r="E374" s="1" t="n">
        <v>46226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32616-2024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45513</v>
      </c>
      <c r="E375" s="1" t="n">
        <v>46226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46226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14.2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45709</v>
      </c>
      <c r="E377" s="1" t="n">
        <v>46226</v>
      </c>
      <c r="F377" t="inlineStr">
        <is>
          <t>NORRBOTTENS LÄN</t>
        </is>
      </c>
      <c r="G377" t="inlineStr">
        <is>
          <t>ÖVERKALIX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46226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59832-2024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45639</v>
      </c>
      <c r="E379" s="1" t="n">
        <v>46226</v>
      </c>
      <c r="F379" t="inlineStr">
        <is>
          <t>NORRBOTTENS LÄN</t>
        </is>
      </c>
      <c r="G379" t="inlineStr">
        <is>
          <t>ÖVERKALIX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55857-2024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45622</v>
      </c>
      <c r="E380" s="1" t="n">
        <v>46226</v>
      </c>
      <c r="F380" t="inlineStr">
        <is>
          <t>NORRBOTTENS LÄN</t>
        </is>
      </c>
      <c r="G380" t="inlineStr">
        <is>
          <t>ÖVERKALIX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45944</v>
      </c>
      <c r="E381" s="1" t="n">
        <v>46226</v>
      </c>
      <c r="F381" t="inlineStr">
        <is>
          <t>NORRBOTTENS LÄN</t>
        </is>
      </c>
      <c r="G381" t="inlineStr">
        <is>
          <t>ÖVERKALIX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45181</v>
      </c>
      <c r="E382" s="1" t="n">
        <v>46226</v>
      </c>
      <c r="F382" t="inlineStr">
        <is>
          <t>NORRBOTTENS LÄN</t>
        </is>
      </c>
      <c r="G382" t="inlineStr">
        <is>
          <t>ÖVERKALIX</t>
        </is>
      </c>
      <c r="I382" t="n">
        <v>13.1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45693</v>
      </c>
      <c r="E383" s="1" t="n">
        <v>46226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46226</v>
      </c>
      <c r="F384" t="inlineStr">
        <is>
          <t>NORRBOTTENS LÄN</t>
        </is>
      </c>
      <c r="G384" t="inlineStr">
        <is>
          <t>ÖVERKALIX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57870-2022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44899</v>
      </c>
      <c r="E385" s="1" t="n">
        <v>46226</v>
      </c>
      <c r="F385" t="inlineStr">
        <is>
          <t>NORRBOTTENS LÄN</t>
        </is>
      </c>
      <c r="G385" t="inlineStr">
        <is>
          <t>ÖVERKALIX</t>
        </is>
      </c>
      <c r="I385" t="n">
        <v>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45709</v>
      </c>
      <c r="E386" s="1" t="n">
        <v>46226</v>
      </c>
      <c r="F386" t="inlineStr">
        <is>
          <t>NORRBOTTENS LÄN</t>
        </is>
      </c>
      <c r="G386" t="inlineStr">
        <is>
          <t>ÖVERKALIX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37429-2024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45540</v>
      </c>
      <c r="E387" s="1" t="n">
        <v>46226</v>
      </c>
      <c r="F387" t="inlineStr">
        <is>
          <t>NORRBOTTENS LÄN</t>
        </is>
      </c>
      <c r="G387" t="inlineStr">
        <is>
          <t>ÖVERKALIX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64524-2023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45281</v>
      </c>
      <c r="E388" s="1" t="n">
        <v>46226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46226</v>
      </c>
      <c r="F389" t="inlineStr">
        <is>
          <t>NORRBOTTENS LÄN</t>
        </is>
      </c>
      <c r="G389" t="inlineStr">
        <is>
          <t>ÖVERKALIX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25545-2026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46226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60463-2024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45643</v>
      </c>
      <c r="E391" s="1" t="n">
        <v>46226</v>
      </c>
      <c r="F391" t="inlineStr">
        <is>
          <t>NORRBOTTENS LÄN</t>
        </is>
      </c>
      <c r="G391" t="inlineStr">
        <is>
          <t>ÖVERKALIX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42119-2024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45562</v>
      </c>
      <c r="E392" s="1" t="n">
        <v>46226</v>
      </c>
      <c r="F392" t="inlineStr">
        <is>
          <t>NORRBOTTENS LÄN</t>
        </is>
      </c>
      <c r="G392" t="inlineStr">
        <is>
          <t>ÖVERKALIX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45429</v>
      </c>
      <c r="E393" s="1" t="n">
        <v>46226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22.7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46177</v>
      </c>
      <c r="E394" s="1" t="n">
        <v>46226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25822-2026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46226</v>
      </c>
      <c r="F395" t="inlineStr">
        <is>
          <t>NORRBOTTENS LÄN</t>
        </is>
      </c>
      <c r="G395" t="inlineStr">
        <is>
          <t>ÖVERKALIX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55857-2024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45622</v>
      </c>
      <c r="E396" s="1" t="n">
        <v>46226</v>
      </c>
      <c r="F396" t="inlineStr">
        <is>
          <t>NORRBOTTENS LÄN</t>
        </is>
      </c>
      <c r="G396" t="inlineStr">
        <is>
          <t>ÖVERKALIX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25965-2026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46226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Sveaskog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46181</v>
      </c>
      <c r="E398" s="1" t="n">
        <v>46226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46225</v>
      </c>
      <c r="E399" s="1" t="n">
        <v>46226</v>
      </c>
      <c r="F399" t="inlineStr">
        <is>
          <t>NORRBOTTENS LÄN</t>
        </is>
      </c>
      <c r="G399" t="inlineStr">
        <is>
          <t>ÖVERKALIX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26426-2026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46226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46183</v>
      </c>
      <c r="E401" s="1" t="n">
        <v>46226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26429-2026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46226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25692-2024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45463</v>
      </c>
      <c r="E403" s="1" t="n">
        <v>46226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72623-2021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44546</v>
      </c>
      <c r="E404" s="1" t="n">
        <v>46226</v>
      </c>
      <c r="F404" t="inlineStr">
        <is>
          <t>NORRBOTTENS LÄN</t>
        </is>
      </c>
      <c r="G404" t="inlineStr">
        <is>
          <t>ÖVERKALIX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38940-2024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45548</v>
      </c>
      <c r="E405" s="1" t="n">
        <v>46226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32615-2024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45513</v>
      </c>
      <c r="E406" s="1" t="n">
        <v>46226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9.800000000000001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45009</v>
      </c>
      <c r="E407" s="1" t="n">
        <v>46226</v>
      </c>
      <c r="F407" t="inlineStr">
        <is>
          <t>NORRBOTTENS LÄN</t>
        </is>
      </c>
      <c r="G407" t="inlineStr">
        <is>
          <t>ÖVERKALIX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38975-2024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45548</v>
      </c>
      <c r="E408" s="1" t="n">
        <v>46226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51561-2024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45604</v>
      </c>
      <c r="E409" s="1" t="n">
        <v>46226</v>
      </c>
      <c r="F409" t="inlineStr">
        <is>
          <t>NORRBOTTENS LÄN</t>
        </is>
      </c>
      <c r="G409" t="inlineStr">
        <is>
          <t>ÖVERKALIX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44938</v>
      </c>
      <c r="E410" s="1" t="n">
        <v>46226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45748-2023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45189</v>
      </c>
      <c r="E411" s="1" t="n">
        <v>46226</v>
      </c>
      <c r="F411" t="inlineStr">
        <is>
          <t>NORRBOTTENS LÄN</t>
        </is>
      </c>
      <c r="G411" t="inlineStr">
        <is>
          <t>ÖVERKALIX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33315-2024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45518</v>
      </c>
      <c r="E412" s="1" t="n">
        <v>46226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15365-2025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45747</v>
      </c>
      <c r="E413" s="1" t="n">
        <v>46226</v>
      </c>
      <c r="F413" t="inlineStr">
        <is>
          <t>NORRBOTTENS LÄN</t>
        </is>
      </c>
      <c r="G413" t="inlineStr">
        <is>
          <t>ÖVERKALIX</t>
        </is>
      </c>
      <c r="I413" t="n">
        <v>10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45699</v>
      </c>
      <c r="E414" s="1" t="n">
        <v>46226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28.8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7448-2023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44966</v>
      </c>
      <c r="E415" s="1" t="n">
        <v>46226</v>
      </c>
      <c r="F415" t="inlineStr">
        <is>
          <t>NORRBOTTENS LÄN</t>
        </is>
      </c>
      <c r="G415" t="inlineStr">
        <is>
          <t>ÖVERKALIX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49473-2023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45205</v>
      </c>
      <c r="E416" s="1" t="n">
        <v>46226</v>
      </c>
      <c r="F416" t="inlineStr">
        <is>
          <t>NORRBOTTENS LÄN</t>
        </is>
      </c>
      <c r="G416" t="inlineStr">
        <is>
          <t>ÖVERKALIX</t>
        </is>
      </c>
      <c r="I416" t="n">
        <v>9.300000000000001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5723-2024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45334</v>
      </c>
      <c r="E417" s="1" t="n">
        <v>46226</v>
      </c>
      <c r="F417" t="inlineStr">
        <is>
          <t>NORRBOTTENS LÄN</t>
        </is>
      </c>
      <c r="G417" t="inlineStr">
        <is>
          <t>ÖVERKALIX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55227-2024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45621</v>
      </c>
      <c r="E418" s="1" t="n">
        <v>46226</v>
      </c>
      <c r="F418" t="inlineStr">
        <is>
          <t>NORRBOTTENS LÄN</t>
        </is>
      </c>
      <c r="G418" t="inlineStr">
        <is>
          <t>ÖVERKALIX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45699</v>
      </c>
      <c r="E419" s="1" t="n">
        <v>46226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18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6591-2023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44966</v>
      </c>
      <c r="E420" s="1" t="n">
        <v>46226</v>
      </c>
      <c r="F420" t="inlineStr">
        <is>
          <t>NORRBOTTENS LÄN</t>
        </is>
      </c>
      <c r="G420" t="inlineStr">
        <is>
          <t>ÖVERKALIX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45321</v>
      </c>
      <c r="E421" s="1" t="n">
        <v>46226</v>
      </c>
      <c r="F421" t="inlineStr">
        <is>
          <t>NORRBOTTENS LÄN</t>
        </is>
      </c>
      <c r="G421" t="inlineStr">
        <is>
          <t>ÖVERKALIX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29961-2023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45107</v>
      </c>
      <c r="E422" s="1" t="n">
        <v>46226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72212-2021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44543</v>
      </c>
      <c r="E423" s="1" t="n">
        <v>46226</v>
      </c>
      <c r="F423" t="inlineStr">
        <is>
          <t>NORRBOTTENS LÄN</t>
        </is>
      </c>
      <c r="G423" t="inlineStr">
        <is>
          <t>ÖVERKALIX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15854-2024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45404</v>
      </c>
      <c r="E424" s="1" t="n">
        <v>46226</v>
      </c>
      <c r="F424" t="inlineStr">
        <is>
          <t>NORRBOTTENS LÄN</t>
        </is>
      </c>
      <c r="G424" t="inlineStr">
        <is>
          <t>ÖVERKALIX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20580-2024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45436</v>
      </c>
      <c r="E425" s="1" t="n">
        <v>46226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Sveaskog</t>
        </is>
      </c>
      <c r="I425" t="n">
        <v>29.9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45667</v>
      </c>
      <c r="E426" s="1" t="n">
        <v>46226</v>
      </c>
      <c r="F426" t="inlineStr">
        <is>
          <t>NORRBOTTENS LÄN</t>
        </is>
      </c>
      <c r="G426" t="inlineStr">
        <is>
          <t>ÖVERKALIX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15546-2024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45401</v>
      </c>
      <c r="E427" s="1" t="n">
        <v>46226</v>
      </c>
      <c r="F427" t="inlineStr">
        <is>
          <t>NORRBOTTENS LÄN</t>
        </is>
      </c>
      <c r="G427" t="inlineStr">
        <is>
          <t>ÖVERKALIX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39405-2022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44817</v>
      </c>
      <c r="E428" s="1" t="n">
        <v>46226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8.800000000000001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37085-2024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45539</v>
      </c>
      <c r="E429" s="1" t="n">
        <v>46226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46945-2021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44446</v>
      </c>
      <c r="E430" s="1" t="n">
        <v>46226</v>
      </c>
      <c r="F430" t="inlineStr">
        <is>
          <t>NORRBOTTENS LÄN</t>
        </is>
      </c>
      <c r="G430" t="inlineStr">
        <is>
          <t>ÖVERKALIX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52075-2023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45223</v>
      </c>
      <c r="E431" s="1" t="n">
        <v>46226</v>
      </c>
      <c r="F431" t="inlineStr">
        <is>
          <t>NORRBOTTENS LÄN</t>
        </is>
      </c>
      <c r="G431" t="inlineStr">
        <is>
          <t>ÖVERKALIX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45603</v>
      </c>
      <c r="E432" s="1" t="n">
        <v>46226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43673-2021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44433</v>
      </c>
      <c r="E433" s="1" t="n">
        <v>46226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5572-2025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45693</v>
      </c>
      <c r="E434" s="1" t="n">
        <v>46226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45315</v>
      </c>
      <c r="E435" s="1" t="n">
        <v>46226</v>
      </c>
      <c r="F435" t="inlineStr">
        <is>
          <t>NORRBOTTENS LÄN</t>
        </is>
      </c>
      <c r="G435" t="inlineStr">
        <is>
          <t>ÖVERKALIX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45621</v>
      </c>
      <c r="E436" s="1" t="n">
        <v>46226</v>
      </c>
      <c r="F436" t="inlineStr">
        <is>
          <t>NORRBOTTENS LÄN</t>
        </is>
      </c>
      <c r="G436" t="inlineStr">
        <is>
          <t>ÖVERKALIX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45744</v>
      </c>
      <c r="E437" s="1" t="n">
        <v>46226</v>
      </c>
      <c r="F437" t="inlineStr">
        <is>
          <t>NORRBOTTENS LÄN</t>
        </is>
      </c>
      <c r="G437" t="inlineStr">
        <is>
          <t>ÖVERKALIX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58037-2024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45631</v>
      </c>
      <c r="E438" s="1" t="n">
        <v>46226</v>
      </c>
      <c r="F438" t="inlineStr">
        <is>
          <t>NORRBOTTENS LÄN</t>
        </is>
      </c>
      <c r="G438" t="inlineStr">
        <is>
          <t>ÖVERKALIX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19985-2025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45771</v>
      </c>
      <c r="E439" s="1" t="n">
        <v>46226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62561-2023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45268</v>
      </c>
      <c r="E440" s="1" t="n">
        <v>46226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48577-2023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45208</v>
      </c>
      <c r="E441" s="1" t="n">
        <v>46226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38941-2024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45548</v>
      </c>
      <c r="E442" s="1" t="n">
        <v>46226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40329-2023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45169</v>
      </c>
      <c r="E443" s="1" t="n">
        <v>46226</v>
      </c>
      <c r="F443" t="inlineStr">
        <is>
          <t>NORRBOTTENS LÄN</t>
        </is>
      </c>
      <c r="G443" t="inlineStr">
        <is>
          <t>ÖVERKALIX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36839-2023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45153</v>
      </c>
      <c r="E444" s="1" t="n">
        <v>46226</v>
      </c>
      <c r="F444" t="inlineStr">
        <is>
          <t>NORRBOTTENS LÄN</t>
        </is>
      </c>
      <c r="G444" t="inlineStr">
        <is>
          <t>ÖVERKALIX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52976-2024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45611</v>
      </c>
      <c r="E445" s="1" t="n">
        <v>46226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29960-2023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45107</v>
      </c>
      <c r="E446" s="1" t="n">
        <v>46226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23324-2023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45076</v>
      </c>
      <c r="E447" s="1" t="n">
        <v>46226</v>
      </c>
      <c r="F447" t="inlineStr">
        <is>
          <t>NORRBOTTENS LÄN</t>
        </is>
      </c>
      <c r="G447" t="inlineStr">
        <is>
          <t>ÖVERKALIX</t>
        </is>
      </c>
      <c r="H447" t="inlineStr">
        <is>
          <t>Övriga statliga verk och myndigheter</t>
        </is>
      </c>
      <c r="I447" t="n">
        <v>38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19529-2024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45429</v>
      </c>
      <c r="E448" s="1" t="n">
        <v>46226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48561-2024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45593</v>
      </c>
      <c r="E449" s="1" t="n">
        <v>46226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8.199999999999999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5382-2025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45692</v>
      </c>
      <c r="E450" s="1" t="n">
        <v>46226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10.1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45693</v>
      </c>
      <c r="E451" s="1" t="n">
        <v>46226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33761-2024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45520</v>
      </c>
      <c r="E452" s="1" t="n">
        <v>46226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45782</v>
      </c>
      <c r="E453" s="1" t="n">
        <v>46226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39974-2021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44417</v>
      </c>
      <c r="E454" s="1" t="n">
        <v>46226</v>
      </c>
      <c r="F454" t="inlineStr">
        <is>
          <t>NORRBOTTENS LÄN</t>
        </is>
      </c>
      <c r="G454" t="inlineStr">
        <is>
          <t>ÖVERKALIX</t>
        </is>
      </c>
      <c r="I454" t="n">
        <v>21.6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45785</v>
      </c>
      <c r="E455" s="1" t="n">
        <v>46226</v>
      </c>
      <c r="F455" t="inlineStr">
        <is>
          <t>NORRBOTTENS LÄN</t>
        </is>
      </c>
      <c r="G455" t="inlineStr">
        <is>
          <t>ÖVERKALIX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23867-2025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45793</v>
      </c>
      <c r="E456" s="1" t="n">
        <v>46226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23873-2025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45793</v>
      </c>
      <c r="E457" s="1" t="n">
        <v>46226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23870-2025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45793</v>
      </c>
      <c r="E458" s="1" t="n">
        <v>46226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8.5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24141-2025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45796</v>
      </c>
      <c r="E459" s="1" t="n">
        <v>46226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24144-2025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46226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4114-2024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45323</v>
      </c>
      <c r="E461" s="1" t="n">
        <v>46226</v>
      </c>
      <c r="F461" t="inlineStr">
        <is>
          <t>NORRBOTTENS LÄN</t>
        </is>
      </c>
      <c r="G461" t="inlineStr">
        <is>
          <t>ÖVERKALIX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25629-2025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45803</v>
      </c>
      <c r="E462" s="1" t="n">
        <v>46226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12177-2024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45377</v>
      </c>
      <c r="E463" s="1" t="n">
        <v>46226</v>
      </c>
      <c r="F463" t="inlineStr">
        <is>
          <t>NORRBOTTENS LÄN</t>
        </is>
      </c>
      <c r="G463" t="inlineStr">
        <is>
          <t>ÖVERKALIX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26944-2025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45811</v>
      </c>
      <c r="E464" s="1" t="n">
        <v>46226</v>
      </c>
      <c r="F464" t="inlineStr">
        <is>
          <t>NORRBOTTENS LÄN</t>
        </is>
      </c>
      <c r="G464" t="inlineStr">
        <is>
          <t>ÖVERKALIX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45811</v>
      </c>
      <c r="E465" s="1" t="n">
        <v>46226</v>
      </c>
      <c r="F465" t="inlineStr">
        <is>
          <t>NORRBOTTENS LÄN</t>
        </is>
      </c>
      <c r="G465" t="inlineStr">
        <is>
          <t>ÖVERKALIX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26666-2025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45810</v>
      </c>
      <c r="E466" s="1" t="n">
        <v>46226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17.5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3721-2022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44741</v>
      </c>
      <c r="E467" s="1" t="n">
        <v>46226</v>
      </c>
      <c r="F467" t="inlineStr">
        <is>
          <t>NORRBOTTENS LÄN</t>
        </is>
      </c>
      <c r="G467" t="inlineStr">
        <is>
          <t>ÖVERKALIX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2792-2024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45485</v>
      </c>
      <c r="E468" s="1" t="n">
        <v>46226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2700-2024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45482</v>
      </c>
      <c r="E469" s="1" t="n">
        <v>46226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4734-2024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45607</v>
      </c>
      <c r="E470" s="1" t="n">
        <v>46226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1178-2025</t>
        </is>
      </c>
      <c r="B471" t="inlineStr">
        <is>
          <t>samrådsanmälan</t>
        </is>
      </c>
      <c r="C471" t="inlineStr">
        <is>
          <t>Skogsgödsling</t>
        </is>
      </c>
      <c r="D471" s="1" t="n">
        <v>45756</v>
      </c>
      <c r="E471" s="1" t="n">
        <v>46226</v>
      </c>
      <c r="F471" t="inlineStr">
        <is>
          <t>NORRBOTTENS LÄN</t>
        </is>
      </c>
      <c r="G471" t="inlineStr">
        <is>
          <t>ÖVERKALIX</t>
        </is>
      </c>
      <c r="I471" t="n">
        <v>39.9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1667-2025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45800</v>
      </c>
      <c r="E472" s="1" t="n">
        <v>46226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>
      <c r="A473" t="inlineStr">
        <is>
          <t>S 50-2026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46030</v>
      </c>
      <c r="E473" s="1" t="n">
        <v>46226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9.800000000000001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2026-07-23T01:44:32Z</dcterms:created>
  <dcterms:modified xmlns:dcterms="http://purl.org/dc/terms/" xmlns:xsi="http://www.w3.org/2001/XMLSchema-instance" xsi:type="dcterms:W3CDTF">2026-07-23T01:44:32Z</dcterms:modified>
</cp:coreProperties>
</file>