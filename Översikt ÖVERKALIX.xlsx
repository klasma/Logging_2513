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46311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46311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46311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46311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46311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46311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46311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46311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46311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46311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46311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46311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46311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46311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46311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17802-2025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46311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Hökuggla
Älg
Tjäder</t>
        </is>
      </c>
      <c r="W24">
        <f>HYPERLINK("https://klasma.github.io/Logging_2513/artfynd/A 17802-2025 artfynd.xlsx", "A 17802-2025")</f>
        <v/>
      </c>
      <c r="X24">
        <f>HYPERLINK("https://klasma.github.io/Logging_2513/kartor/A 17802-2025 karta.png", "A 17802-2025")</f>
        <v/>
      </c>
      <c r="Y24">
        <f>HYPERLINK("https://klasma.github.io/Logging_2513/kartor_geotiff/A 17802-2025 georefererad karta.tif", "A 17802-2025")</f>
        <v/>
      </c>
      <c r="AA24">
        <f>HYPERLINK("https://klasma.github.io/Logging_2513/klagomål/A 17802-2025 FSC-klagomål.docx", "A 17802-2025")</f>
        <v/>
      </c>
      <c r="AB24">
        <f>HYPERLINK("https://klasma.github.io/Logging_2513/klagomålsmail/A 17802-2025 FSC-klagomål mail.docx", "A 17802-2025")</f>
        <v/>
      </c>
      <c r="AC24">
        <f>HYPERLINK("https://klasma.github.io/Logging_2513/tillsyn/A 17802-2025 tillsynsbegäran.docx", "A 17802-2025")</f>
        <v/>
      </c>
      <c r="AD24">
        <f>HYPERLINK("https://klasma.github.io/Logging_2513/tillsynsmail/A 17802-2025 tillsynsbegäran mail.docx", "A 17802-2025")</f>
        <v/>
      </c>
      <c r="AE24">
        <f>HYPERLINK("https://klasma.github.io/Logging_2513/fåglar/A 17802-2025 prioriterade fågelarter.docx", "A 17802-2025")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46311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46311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46311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46311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46311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26452-2025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45807</v>
      </c>
      <c r="E31" s="1" t="n">
        <v>46311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Stor aspticka</t>
        </is>
      </c>
      <c r="W31">
        <f>HYPERLINK("https://klasma.github.io/Logging_2513/artfynd/A 26452-2025 artfynd.xlsx", "A 26452-2025")</f>
        <v/>
      </c>
      <c r="X31">
        <f>HYPERLINK("https://klasma.github.io/Logging_2513/kartor/A 26452-2025 karta.png", "A 26452-2025")</f>
        <v/>
      </c>
      <c r="Y31">
        <f>HYPERLINK("https://klasma.github.io/Logging_2513/kartor_geotiff/A 26452-2025 georefererad karta.tif", "A 26452-2025")</f>
        <v/>
      </c>
      <c r="AA31">
        <f>HYPERLINK("https://klasma.github.io/Logging_2513/klagomål/A 26452-2025 FSC-klagomål.docx", "A 26452-2025")</f>
        <v/>
      </c>
      <c r="AB31">
        <f>HYPERLINK("https://klasma.github.io/Logging_2513/klagomålsmail/A 26452-2025 FSC-klagomål mail.docx", "A 26452-2025")</f>
        <v/>
      </c>
      <c r="AC31">
        <f>HYPERLINK("https://klasma.github.io/Logging_2513/tillsyn/A 26452-2025 tillsynsbegäran.docx", "A 26452-2025")</f>
        <v/>
      </c>
      <c r="AD31">
        <f>HYPERLINK("https://klasma.github.io/Logging_2513/tillsynsmail/A 26452-2025 tillsynsbegäran mail.docx", "A 26452-2025")</f>
        <v/>
      </c>
    </row>
    <row r="32" ht="15" customHeight="1">
      <c r="A32" t="inlineStr">
        <is>
          <t>A 36378-2024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46311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21.5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Lunglav
Fläcknycklar</t>
        </is>
      </c>
      <c r="W32">
        <f>HYPERLINK("https://klasma.github.io/Logging_2513/artfynd/A 36378-2024 artfynd.xlsx", "A 36378-2024")</f>
        <v/>
      </c>
      <c r="X32">
        <f>HYPERLINK("https://klasma.github.io/Logging_2513/kartor/A 36378-2024 karta.png", "A 36378-2024")</f>
        <v/>
      </c>
      <c r="Y32">
        <f>HYPERLINK("https://klasma.github.io/Logging_2513/kartor_geotiff/A 36378-2024 georefererad karta.tif", "A 36378-2024")</f>
        <v/>
      </c>
      <c r="AA32">
        <f>HYPERLINK("https://klasma.github.io/Logging_2513/klagomål/A 36378-2024 FSC-klagomål.docx", "A 36378-2024")</f>
        <v/>
      </c>
      <c r="AB32">
        <f>HYPERLINK("https://klasma.github.io/Logging_2513/klagomålsmail/A 36378-2024 FSC-klagomål mail.docx", "A 36378-2024")</f>
        <v/>
      </c>
      <c r="AC32">
        <f>HYPERLINK("https://klasma.github.io/Logging_2513/tillsyn/A 36378-2024 tillsynsbegäran.docx", "A 36378-2024")</f>
        <v/>
      </c>
      <c r="AD32">
        <f>HYPERLINK("https://klasma.github.io/Logging_2513/tillsynsmail/A 36378-2024 tillsynsbegäran mail.docx", "A 36378-2024")</f>
        <v/>
      </c>
    </row>
    <row r="33" ht="15" customHeight="1">
      <c r="A33" t="inlineStr">
        <is>
          <t>A 36381-2024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46311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26.7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Gammelgransskål
Orre</t>
        </is>
      </c>
      <c r="W33">
        <f>HYPERLINK("https://klasma.github.io/Logging_2513/artfynd/A 36381-2024 artfynd.xlsx", "A 36381-2024")</f>
        <v/>
      </c>
      <c r="X33">
        <f>HYPERLINK("https://klasma.github.io/Logging_2513/kartor/A 36381-2024 karta.png", "A 36381-2024")</f>
        <v/>
      </c>
      <c r="Y33">
        <f>HYPERLINK("https://klasma.github.io/Logging_2513/kartor_geotiff/A 36381-2024 georefererad karta.tif", "A 36381-2024")</f>
        <v/>
      </c>
      <c r="AA33">
        <f>HYPERLINK("https://klasma.github.io/Logging_2513/klagomål/A 36381-2024 FSC-klagomål.docx", "A 36381-2024")</f>
        <v/>
      </c>
      <c r="AB33">
        <f>HYPERLINK("https://klasma.github.io/Logging_2513/klagomålsmail/A 36381-2024 FSC-klagomål mail.docx", "A 36381-2024")</f>
        <v/>
      </c>
      <c r="AC33">
        <f>HYPERLINK("https://klasma.github.io/Logging_2513/tillsyn/A 36381-2024 tillsynsbegäran.docx", "A 36381-2024")</f>
        <v/>
      </c>
      <c r="AD33">
        <f>HYPERLINK("https://klasma.github.io/Logging_2513/tillsynsmail/A 36381-2024 tillsynsbegäran mail.docx", "A 36381-2024")</f>
        <v/>
      </c>
      <c r="AE33">
        <f>HYPERLINK("https://klasma.github.io/Logging_2513/fåglar/A 36381-2024 prioriterade fågelarter.docx", "A 36381-2024")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46311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Lunglav</t>
        </is>
      </c>
      <c r="W34">
        <f>HYPERLINK("https://klasma.github.io/Logging_2513/artfynd/A 34921-2025 artfynd.xlsx", "A 34921-2025")</f>
        <v/>
      </c>
      <c r="X34">
        <f>HYPERLINK("https://klasma.github.io/Logging_2513/kartor/A 34921-2025 karta.png", "A 34921-2025")</f>
        <v/>
      </c>
      <c r="Y34">
        <f>HYPERLINK("https://klasma.github.io/Logging_2513/kartor_geotiff/A 34921-2025 georefererad karta.tif", "A 34921-2025")</f>
        <v/>
      </c>
      <c r="AA34">
        <f>HYPERLINK("https://klasma.github.io/Logging_2513/klagomål/A 34921-2025 FSC-klagomål.docx", "A 34921-2025")</f>
        <v/>
      </c>
      <c r="AB34">
        <f>HYPERLINK("https://klasma.github.io/Logging_2513/klagomålsmail/A 34921-2025 FSC-klagomål mail.docx", "A 34921-2025")</f>
        <v/>
      </c>
      <c r="AC34">
        <f>HYPERLINK("https://klasma.github.io/Logging_2513/tillsyn/A 34921-2025 tillsynsbegäran.docx", "A 34921-2025")</f>
        <v/>
      </c>
      <c r="AD34">
        <f>HYPERLINK("https://klasma.github.io/Logging_2513/tillsynsmail/A 34921-2025 tillsynsbegäran mail.docx", "A 34921-2025")</f>
        <v/>
      </c>
    </row>
    <row r="35" ht="15" customHeight="1">
      <c r="A35" t="inlineStr">
        <is>
          <t>A 40116-2025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46311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29.7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5</v>
      </c>
      <c r="U35" t="n">
        <v>3</v>
      </c>
      <c r="V35" s="2" t="inlineStr">
        <is>
          <t>Lunglav
Skrovellav</t>
        </is>
      </c>
      <c r="W35">
        <f>HYPERLINK("https://klasma.github.io/Logging_2513/artfynd/A 40116-2025 artfynd.xlsx", "A 40116-2025")</f>
        <v/>
      </c>
      <c r="X35">
        <f>HYPERLINK("https://klasma.github.io/Logging_2513/kartor/A 40116-2025 karta.png", "A 40116-2025")</f>
        <v/>
      </c>
      <c r="Y35">
        <f>HYPERLINK("https://klasma.github.io/Logging_2513/kartor_geotiff/A 40116-2025 georefererad karta.tif", "A 40116-2025")</f>
        <v/>
      </c>
      <c r="AA35">
        <f>HYPERLINK("https://klasma.github.io/Logging_2513/klagomål/A 40116-2025 FSC-klagomål.docx", "A 40116-2025")</f>
        <v/>
      </c>
      <c r="AB35">
        <f>HYPERLINK("https://klasma.github.io/Logging_2513/klagomålsmail/A 40116-2025 FSC-klagomål mail.docx", "A 40116-2025")</f>
        <v/>
      </c>
      <c r="AC35">
        <f>HYPERLINK("https://klasma.github.io/Logging_2513/tillsyn/A 40116-2025 tillsynsbegäran.docx", "A 40116-2025")</f>
        <v/>
      </c>
      <c r="AD35">
        <f>HYPERLINK("https://klasma.github.io/Logging_2513/tillsynsmail/A 40116-2025 tillsynsbegäran mail.docx", "A 40116-2025")</f>
        <v/>
      </c>
    </row>
    <row r="36" ht="15" customHeight="1">
      <c r="A36" t="inlineStr">
        <is>
          <t>A 14152-2026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46311</v>
      </c>
      <c r="F36" t="inlineStr">
        <is>
          <t>NORRBOTTENS LÄN</t>
        </is>
      </c>
      <c r="G36" t="inlineStr">
        <is>
          <t>ÖVERKALIX</t>
        </is>
      </c>
      <c r="I36" t="n">
        <v>4.6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Källpraktmossa
Spädstarr</t>
        </is>
      </c>
      <c r="W36">
        <f>HYPERLINK("https://klasma.github.io/Logging_2513/artfynd/A 14152-2026 artfynd.xlsx", "A 14152-2026")</f>
        <v/>
      </c>
      <c r="X36">
        <f>HYPERLINK("https://klasma.github.io/Logging_2513/kartor/A 14152-2026 karta.png", "A 14152-2026")</f>
        <v/>
      </c>
      <c r="Y36">
        <f>HYPERLINK("https://klasma.github.io/Logging_2513/kartor_geotiff/A 14152-2026 georefererad karta.tif", "A 14152-2026")</f>
        <v/>
      </c>
      <c r="AA36">
        <f>HYPERLINK("https://klasma.github.io/Logging_2513/klagomål/A 14152-2026 FSC-klagomål.docx", "A 14152-2026")</f>
        <v/>
      </c>
      <c r="AB36">
        <f>HYPERLINK("https://klasma.github.io/Logging_2513/klagomålsmail/A 14152-2026 FSC-klagomål mail.docx", "A 14152-2026")</f>
        <v/>
      </c>
      <c r="AC36">
        <f>HYPERLINK("https://klasma.github.io/Logging_2513/tillsyn/A 14152-2026 tillsynsbegäran.docx", "A 14152-2026")</f>
        <v/>
      </c>
      <c r="AD36">
        <f>HYPERLINK("https://klasma.github.io/Logging_2513/tillsynsmail/A 14152-2026 tillsynsbegäran mail.docx", "A 14152-2026")</f>
        <v/>
      </c>
    </row>
    <row r="37" ht="15" customHeight="1">
      <c r="A37" t="inlineStr">
        <is>
          <t>A 7477-2023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46311</v>
      </c>
      <c r="F37" t="inlineStr">
        <is>
          <t>NORRBOTTENS LÄN</t>
        </is>
      </c>
      <c r="G37" t="inlineStr">
        <is>
          <t>ÖVERKALIX</t>
        </is>
      </c>
      <c r="I37" t="n">
        <v>2.6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Motaggsvamp
Skarp dropptaggsvamp</t>
        </is>
      </c>
      <c r="W37">
        <f>HYPERLINK("https://klasma.github.io/Logging_2513/artfynd/A 7477-2023 artfynd.xlsx", "A 7477-2023")</f>
        <v/>
      </c>
      <c r="X37">
        <f>HYPERLINK("https://klasma.github.io/Logging_2513/kartor/A 7477-2023 karta.png", "A 7477-2023")</f>
        <v/>
      </c>
      <c r="Y37">
        <f>HYPERLINK("https://klasma.github.io/Logging_2513/kartor_geotiff/A 7477-2023 georefererad karta.tif", "A 7477-2023")</f>
        <v/>
      </c>
      <c r="AA37">
        <f>HYPERLINK("https://klasma.github.io/Logging_2513/klagomål/A 7477-2023 FSC-klagomål.docx", "A 7477-2023")</f>
        <v/>
      </c>
      <c r="AB37">
        <f>HYPERLINK("https://klasma.github.io/Logging_2513/klagomålsmail/A 7477-2023 FSC-klagomål mail.docx", "A 7477-2023")</f>
        <v/>
      </c>
      <c r="AC37">
        <f>HYPERLINK("https://klasma.github.io/Logging_2513/tillsyn/A 7477-2023 tillsynsbegäran.docx", "A 7477-2023")</f>
        <v/>
      </c>
      <c r="AD37">
        <f>HYPERLINK("https://klasma.github.io/Logging_2513/tillsynsmail/A 7477-2023 tillsynsbegäran mail.docx", "A 7477-2023")</f>
        <v/>
      </c>
    </row>
    <row r="38" ht="15" customHeight="1">
      <c r="A38" t="inlineStr">
        <is>
          <t>A 42285-2025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45904</v>
      </c>
      <c r="E38" s="1" t="n">
        <v>46311</v>
      </c>
      <c r="F38" t="inlineStr">
        <is>
          <t>NORRBOTTENS LÄN</t>
        </is>
      </c>
      <c r="G38" t="inlineStr">
        <is>
          <t>ÖVERKALIX</t>
        </is>
      </c>
      <c r="I38" t="n">
        <v>0.3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Kungsfågel
Vanlig padda</t>
        </is>
      </c>
      <c r="W38">
        <f>HYPERLINK("https://klasma.github.io/Logging_2513/artfynd/A 42285-2025 artfynd.xlsx", "A 42285-2025")</f>
        <v/>
      </c>
      <c r="X38">
        <f>HYPERLINK("https://klasma.github.io/Logging_2513/kartor/A 42285-2025 karta.png", "A 42285-2025")</f>
        <v/>
      </c>
      <c r="Y38">
        <f>HYPERLINK("https://klasma.github.io/Logging_2513/kartor_geotiff/A 42285-2025 georefererad karta.tif", "A 42285-2025")</f>
        <v/>
      </c>
      <c r="AA38">
        <f>HYPERLINK("https://klasma.github.io/Logging_2513/klagomål/A 42285-2025 FSC-klagomål.docx", "A 42285-2025")</f>
        <v/>
      </c>
      <c r="AB38">
        <f>HYPERLINK("https://klasma.github.io/Logging_2513/klagomålsmail/A 42285-2025 FSC-klagomål mail.docx", "A 42285-2025")</f>
        <v/>
      </c>
      <c r="AC38">
        <f>HYPERLINK("https://klasma.github.io/Logging_2513/tillsyn/A 42285-2025 tillsynsbegäran.docx", "A 42285-2025")</f>
        <v/>
      </c>
      <c r="AD38">
        <f>HYPERLINK("https://klasma.github.io/Logging_2513/tillsynsmail/A 42285-2025 tillsynsbegäran mail.docx", "A 42285-2025")</f>
        <v/>
      </c>
    </row>
    <row r="39" ht="15" customHeight="1">
      <c r="A39" t="inlineStr">
        <is>
          <t>A 50691-2024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46311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4.2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Gammelgransskål
Vedticka</t>
        </is>
      </c>
      <c r="W39">
        <f>HYPERLINK("https://klasma.github.io/Logging_2513/artfynd/A 50691-2024 artfynd.xlsx", "A 50691-2024")</f>
        <v/>
      </c>
      <c r="X39">
        <f>HYPERLINK("https://klasma.github.io/Logging_2513/kartor/A 50691-2024 karta.png", "A 50691-2024")</f>
        <v/>
      </c>
      <c r="Y39">
        <f>HYPERLINK("https://klasma.github.io/Logging_2513/kartor_geotiff/A 50691-2024 georefererad karta.tif", "A 50691-2024")</f>
        <v/>
      </c>
      <c r="AA39">
        <f>HYPERLINK("https://klasma.github.io/Logging_2513/klagomål/A 50691-2024 FSC-klagomål.docx", "A 50691-2024")</f>
        <v/>
      </c>
      <c r="AB39">
        <f>HYPERLINK("https://klasma.github.io/Logging_2513/klagomålsmail/A 50691-2024 FSC-klagomål mail.docx", "A 50691-2024")</f>
        <v/>
      </c>
      <c r="AC39">
        <f>HYPERLINK("https://klasma.github.io/Logging_2513/tillsyn/A 50691-2024 tillsynsbegäran.docx", "A 50691-2024")</f>
        <v/>
      </c>
      <c r="AD39">
        <f>HYPERLINK("https://klasma.github.io/Logging_2513/tillsynsmail/A 50691-2024 tillsynsbegäran mail.docx", "A 50691-2024")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46311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46311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40706-2023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46311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7.1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HYPERLINK("https://klasma.github.io/Logging_2513/artfynd/A 40706-2023 artfynd.xlsx", "A 40706-2023")</f>
        <v/>
      </c>
      <c r="X42">
        <f>HYPERLINK("https://klasma.github.io/Logging_2513/kartor/A 40706-2023 karta.png", "A 40706-2023")</f>
        <v/>
      </c>
      <c r="Y42">
        <f>HYPERLINK("https://klasma.github.io/Logging_2513/kartor_geotiff/A 40706-2023 georefererad karta.tif", "A 40706-2023")</f>
        <v/>
      </c>
      <c r="Z42">
        <f>HYPERLINK("https://klasma.github.io/Logging_2513/knärot/A 40706-2023 karta knärot.png", "A 40706-2023")</f>
        <v/>
      </c>
      <c r="AA42">
        <f>HYPERLINK("https://klasma.github.io/Logging_2513/klagomål/A 40706-2023 FSC-klagomål.docx", "A 40706-2023")</f>
        <v/>
      </c>
      <c r="AB42">
        <f>HYPERLINK("https://klasma.github.io/Logging_2513/klagomålsmail/A 40706-2023 FSC-klagomål mail.docx", "A 40706-2023")</f>
        <v/>
      </c>
      <c r="AC42">
        <f>HYPERLINK("https://klasma.github.io/Logging_2513/tillsyn/A 40706-2023 tillsynsbegäran.docx", "A 40706-2023")</f>
        <v/>
      </c>
      <c r="AD42">
        <f>HYPERLINK("https://klasma.github.io/Logging_2513/tillsynsmail/A 40706-2023 tillsynsbegäran mail.docx", "A 40706-2023")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46311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46311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46311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46311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A 62951-2025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46311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4.2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Ullticka</t>
        </is>
      </c>
      <c r="W47">
        <f>HYPERLINK("https://klasma.github.io/Logging_2513/artfynd/A 62951-2025 artfynd.xlsx", "A 62951-2025")</f>
        <v/>
      </c>
      <c r="X47">
        <f>HYPERLINK("https://klasma.github.io/Logging_2513/kartor/A 62951-2025 karta.png", "A 62951-2025")</f>
        <v/>
      </c>
      <c r="Y47">
        <f>HYPERLINK("https://klasma.github.io/Logging_2513/kartor_geotiff/A 62951-2025 georefererad karta.tif", "A 62951-2025")</f>
        <v/>
      </c>
      <c r="AA47">
        <f>HYPERLINK("https://klasma.github.io/Logging_2513/klagomål/A 62951-2025 FSC-klagomål.docx", "A 62951-2025")</f>
        <v/>
      </c>
      <c r="AB47">
        <f>HYPERLINK("https://klasma.github.io/Logging_2513/klagomålsmail/A 62951-2025 FSC-klagomål mail.docx", "A 62951-2025")</f>
        <v/>
      </c>
      <c r="AC47">
        <f>HYPERLINK("https://klasma.github.io/Logging_2513/tillsyn/A 62951-2025 tillsynsbegäran.docx", "A 62951-2025")</f>
        <v/>
      </c>
      <c r="AD47">
        <f>HYPERLINK("https://klasma.github.io/Logging_2513/tillsynsmail/A 62951-2025 tillsynsbegäran mail.docx", "A 62951-2025")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46311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46311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46311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46311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46311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46311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27452-2025 artfynd.xlsx", "A 27452-2025")</f>
        <v/>
      </c>
      <c r="X53">
        <f>HYPERLINK("https://klasma.github.io/Logging_2513/kartor/A 27452-2025 karta.png", "A 27452-2025")</f>
        <v/>
      </c>
      <c r="Y53">
        <f>HYPERLINK("https://klasma.github.io/Logging_2513/kartor_geotiff/A 27452-2025 georefererad karta.tif", "A 27452-2025")</f>
        <v/>
      </c>
      <c r="AA53">
        <f>HYPERLINK("https://klasma.github.io/Logging_2513/klagomål/A 27452-2025 FSC-klagomål.docx", "A 27452-2025")</f>
        <v/>
      </c>
      <c r="AB53">
        <f>HYPERLINK("https://klasma.github.io/Logging_2513/klagomålsmail/A 27452-2025 FSC-klagomål mail.docx", "A 27452-2025")</f>
        <v/>
      </c>
      <c r="AC53">
        <f>HYPERLINK("https://klasma.github.io/Logging_2513/tillsyn/A 27452-2025 tillsynsbegäran.docx", "A 27452-2025")</f>
        <v/>
      </c>
      <c r="AD53">
        <f>HYPERLINK("https://klasma.github.io/Logging_2513/tillsynsmail/A 27452-2025 tillsynsbegäran mail.docx", "A 27452-2025")</f>
        <v/>
      </c>
      <c r="AE53">
        <f>HYPERLINK("https://klasma.github.io/Logging_2513/fåglar/A 27452-2025 prioriterade fågelarter.docx", "A 27452-2025")</f>
        <v/>
      </c>
    </row>
    <row r="54" ht="15" customHeight="1">
      <c r="A54" t="inlineStr">
        <is>
          <t>A 21777-2024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46311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30.5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HYPERLINK("https://klasma.github.io/Logging_2513/artfynd/A 21777-2024 artfynd.xlsx", "A 21777-2024")</f>
        <v/>
      </c>
      <c r="X54">
        <f>HYPERLINK("https://klasma.github.io/Logging_2513/kartor/A 21777-2024 karta.png", "A 21777-2024")</f>
        <v/>
      </c>
      <c r="Y54">
        <f>HYPERLINK("https://klasma.github.io/Logging_2513/kartor_geotiff/A 21777-2024 georefererad karta.tif", "A 21777-2024")</f>
        <v/>
      </c>
      <c r="AA54">
        <f>HYPERLINK("https://klasma.github.io/Logging_2513/klagomål/A 21777-2024 FSC-klagomål.docx", "A 21777-2024")</f>
        <v/>
      </c>
      <c r="AB54">
        <f>HYPERLINK("https://klasma.github.io/Logging_2513/klagomålsmail/A 21777-2024 FSC-klagomål mail.docx", "A 21777-2024")</f>
        <v/>
      </c>
      <c r="AC54">
        <f>HYPERLINK("https://klasma.github.io/Logging_2513/tillsyn/A 21777-2024 tillsynsbegäran.docx", "A 21777-2024")</f>
        <v/>
      </c>
      <c r="AD54">
        <f>HYPERLINK("https://klasma.github.io/Logging_2513/tillsynsmail/A 21777-2024 tillsynsbegäran mail.docx", "A 21777-2024")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46311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22977-2022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44717</v>
      </c>
      <c r="E56" s="1" t="n">
        <v>46311</v>
      </c>
      <c r="F56" t="inlineStr">
        <is>
          <t>NORRBOTTENS LÄN</t>
        </is>
      </c>
      <c r="G56" t="inlineStr">
        <is>
          <t>ÖVERKALIX</t>
        </is>
      </c>
      <c r="I56" t="n">
        <v>19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Bivråk</t>
        </is>
      </c>
      <c r="W56">
        <f>HYPERLINK("https://klasma.github.io/Logging_2513/artfynd/A 22977-2022 artfynd.xlsx", "A 22977-2022")</f>
        <v/>
      </c>
      <c r="X56">
        <f>HYPERLINK("https://klasma.github.io/Logging_2513/kartor/A 22977-2022 karta.png", "A 22977-2022")</f>
        <v/>
      </c>
      <c r="Y56">
        <f>HYPERLINK("https://klasma.github.io/Logging_2513/kartor_geotiff/A 22977-2022 georefererad karta.tif", "A 22977-2022")</f>
        <v/>
      </c>
      <c r="AA56">
        <f>HYPERLINK("https://klasma.github.io/Logging_2513/klagomål/A 22977-2022 FSC-klagomål.docx", "A 22977-2022")</f>
        <v/>
      </c>
      <c r="AB56">
        <f>HYPERLINK("https://klasma.github.io/Logging_2513/klagomålsmail/A 22977-2022 FSC-klagomål mail.docx", "A 22977-2022")</f>
        <v/>
      </c>
      <c r="AC56">
        <f>HYPERLINK("https://klasma.github.io/Logging_2513/tillsyn/A 22977-2022 tillsynsbegäran.docx", "A 22977-2022")</f>
        <v/>
      </c>
      <c r="AD56">
        <f>HYPERLINK("https://klasma.github.io/Logging_2513/tillsynsmail/A 22977-2022 tillsynsbegäran mail.docx", "A 22977-2022")</f>
        <v/>
      </c>
      <c r="AE56">
        <f>HYPERLINK("https://klasma.github.io/Logging_2513/fåglar/A 22977-2022 prioriterade fågelarter.docx", "A 22977-2022")</f>
        <v/>
      </c>
    </row>
    <row r="57" ht="15" customHeight="1">
      <c r="A57" t="inlineStr">
        <is>
          <t>A 71902-2021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46311</v>
      </c>
      <c r="F57" t="inlineStr">
        <is>
          <t>NORRBOTTENS LÄN</t>
        </is>
      </c>
      <c r="G57" t="inlineStr">
        <is>
          <t>ÖVERKALIX</t>
        </is>
      </c>
      <c r="I57" t="n">
        <v>24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71902-2021 artfynd.xlsx", "A 71902-2021")</f>
        <v/>
      </c>
      <c r="X57">
        <f>HYPERLINK("https://klasma.github.io/Logging_2513/kartor/A 71902-2021 karta.png", "A 71902-2021")</f>
        <v/>
      </c>
      <c r="Y57">
        <f>HYPERLINK("https://klasma.github.io/Logging_2513/kartor_geotiff/A 71902-2021 georefererad karta.tif", "A 71902-2021")</f>
        <v/>
      </c>
      <c r="AA57">
        <f>HYPERLINK("https://klasma.github.io/Logging_2513/klagomål/A 71902-2021 FSC-klagomål.docx", "A 71902-2021")</f>
        <v/>
      </c>
      <c r="AB57">
        <f>HYPERLINK("https://klasma.github.io/Logging_2513/klagomålsmail/A 71902-2021 FSC-klagomål mail.docx", "A 71902-2021")</f>
        <v/>
      </c>
      <c r="AC57">
        <f>HYPERLINK("https://klasma.github.io/Logging_2513/tillsyn/A 71902-2021 tillsynsbegäran.docx", "A 71902-2021")</f>
        <v/>
      </c>
      <c r="AD57">
        <f>HYPERLINK("https://klasma.github.io/Logging_2513/tillsynsmail/A 71902-2021 tillsynsbegäran mail.docx", "A 71902-2021")</f>
        <v/>
      </c>
      <c r="AE57">
        <f>HYPERLINK("https://klasma.github.io/Logging_2513/fåglar/A 71902-2021 prioriterade fågelarter.docx", "A 71902-2021")</f>
        <v/>
      </c>
    </row>
    <row r="58" ht="15" customHeight="1">
      <c r="A58" t="inlineStr">
        <is>
          <t>A 37532-2022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46311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 taggsvamp</t>
        </is>
      </c>
      <c r="W58">
        <f>HYPERLINK("https://klasma.github.io/Logging_2513/artfynd/A 37532-2022 artfynd.xlsx", "A 37532-2022")</f>
        <v/>
      </c>
      <c r="X58">
        <f>HYPERLINK("https://klasma.github.io/Logging_2513/kartor/A 37532-2022 karta.png", "A 37532-2022")</f>
        <v/>
      </c>
      <c r="Y58">
        <f>HYPERLINK("https://klasma.github.io/Logging_2513/kartor_geotiff/A 37532-2022 georefererad karta.tif", "A 37532-2022")</f>
        <v/>
      </c>
      <c r="AA58">
        <f>HYPERLINK("https://klasma.github.io/Logging_2513/klagomål/A 37532-2022 FSC-klagomål.docx", "A 37532-2022")</f>
        <v/>
      </c>
      <c r="AB58">
        <f>HYPERLINK("https://klasma.github.io/Logging_2513/klagomålsmail/A 37532-2022 FSC-klagomål mail.docx", "A 37532-2022")</f>
        <v/>
      </c>
      <c r="AC58">
        <f>HYPERLINK("https://klasma.github.io/Logging_2513/tillsyn/A 37532-2022 tillsynsbegäran.docx", "A 37532-2022")</f>
        <v/>
      </c>
      <c r="AD58">
        <f>HYPERLINK("https://klasma.github.io/Logging_2513/tillsynsmail/A 37532-2022 tillsynsbegäran mail.docx", "A 37532-2022")</f>
        <v/>
      </c>
    </row>
    <row r="59" ht="15" customHeight="1">
      <c r="A59" t="inlineStr">
        <is>
          <t>A 8407-2025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46311</v>
      </c>
      <c r="F59" t="inlineStr">
        <is>
          <t>NORRBOTTENS LÄN</t>
        </is>
      </c>
      <c r="G59" t="inlineStr">
        <is>
          <t>ÖVERKALIX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Tallbit</t>
        </is>
      </c>
      <c r="W59">
        <f>HYPERLINK("https://klasma.github.io/Logging_2513/artfynd/A 8407-2025 artfynd.xlsx", "A 8407-2025")</f>
        <v/>
      </c>
      <c r="X59">
        <f>HYPERLINK("https://klasma.github.io/Logging_2513/kartor/A 8407-2025 karta.png", "A 8407-2025")</f>
        <v/>
      </c>
      <c r="Y59">
        <f>HYPERLINK("https://klasma.github.io/Logging_2513/kartor_geotiff/A 8407-2025 georefererad karta.tif", "A 8407-2025")</f>
        <v/>
      </c>
      <c r="AA59">
        <f>HYPERLINK("https://klasma.github.io/Logging_2513/klagomål/A 8407-2025 FSC-klagomål.docx", "A 8407-2025")</f>
        <v/>
      </c>
      <c r="AB59">
        <f>HYPERLINK("https://klasma.github.io/Logging_2513/klagomålsmail/A 8407-2025 FSC-klagomål mail.docx", "A 8407-2025")</f>
        <v/>
      </c>
      <c r="AC59">
        <f>HYPERLINK("https://klasma.github.io/Logging_2513/tillsyn/A 8407-2025 tillsynsbegäran.docx", "A 8407-2025")</f>
        <v/>
      </c>
      <c r="AD59">
        <f>HYPERLINK("https://klasma.github.io/Logging_2513/tillsynsmail/A 8407-2025 tillsynsbegäran mail.docx", "A 8407-2025")</f>
        <v/>
      </c>
      <c r="AE59">
        <f>HYPERLINK("https://klasma.github.io/Logging_2513/fåglar/A 8407-2025 prioriterade fågelarter.docx", "A 8407-2025")</f>
        <v/>
      </c>
    </row>
    <row r="60" ht="15" customHeight="1">
      <c r="A60" t="inlineStr">
        <is>
          <t>A 7234-2023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46311</v>
      </c>
      <c r="F60" t="inlineStr">
        <is>
          <t>NORRBOTTENS LÄN</t>
        </is>
      </c>
      <c r="G60" t="inlineStr">
        <is>
          <t>ÖVERKALIX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HYPERLINK("https://klasma.github.io/Logging_2513/artfynd/A 7234-2023 artfynd.xlsx", "A 7234-2023")</f>
        <v/>
      </c>
      <c r="X60">
        <f>HYPERLINK("https://klasma.github.io/Logging_2513/kartor/A 7234-2023 karta.png", "A 7234-2023")</f>
        <v/>
      </c>
      <c r="Y60">
        <f>HYPERLINK("https://klasma.github.io/Logging_2513/kartor_geotiff/A 7234-2023 georefererad karta.tif", "A 7234-2023")</f>
        <v/>
      </c>
      <c r="AA60">
        <f>HYPERLINK("https://klasma.github.io/Logging_2513/klagomål/A 7234-2023 FSC-klagomål.docx", "A 7234-2023")</f>
        <v/>
      </c>
      <c r="AB60">
        <f>HYPERLINK("https://klasma.github.io/Logging_2513/klagomålsmail/A 7234-2023 FSC-klagomål mail.docx", "A 7234-2023")</f>
        <v/>
      </c>
      <c r="AC60">
        <f>HYPERLINK("https://klasma.github.io/Logging_2513/tillsyn/A 7234-2023 tillsynsbegäran.docx", "A 7234-2023")</f>
        <v/>
      </c>
      <c r="AD60">
        <f>HYPERLINK("https://klasma.github.io/Logging_2513/tillsynsmail/A 7234-2023 tillsynsbegäran mail.docx", "A 7234-2023")</f>
        <v/>
      </c>
      <c r="AE60">
        <f>HYPERLINK("https://klasma.github.io/Logging_2513/fåglar/A 7234-2023 prioriterade fågelarter.docx", "A 7234-2023")</f>
        <v/>
      </c>
    </row>
    <row r="61" ht="15" customHeight="1">
      <c r="A61" t="inlineStr">
        <is>
          <t>A 27087-2026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46187</v>
      </c>
      <c r="E61" s="1" t="n">
        <v>46311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5.1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HYPERLINK("https://klasma.github.io/Logging_2513/artfynd/A 27087-2026 artfynd.xlsx", "A 27087-2026")</f>
        <v/>
      </c>
      <c r="X61">
        <f>HYPERLINK("https://klasma.github.io/Logging_2513/kartor/A 27087-2026 karta.png", "A 27087-2026")</f>
        <v/>
      </c>
      <c r="Y61">
        <f>HYPERLINK("https://klasma.github.io/Logging_2513/kartor_geotiff/A 27087-2026 georefererad karta.tif", "A 27087-2026")</f>
        <v/>
      </c>
      <c r="AA61">
        <f>HYPERLINK("https://klasma.github.io/Logging_2513/klagomål/A 27087-2026 FSC-klagomål.docx", "A 27087-2026")</f>
        <v/>
      </c>
      <c r="AB61">
        <f>HYPERLINK("https://klasma.github.io/Logging_2513/klagomålsmail/A 27087-2026 FSC-klagomål mail.docx", "A 27087-2026")</f>
        <v/>
      </c>
      <c r="AC61">
        <f>HYPERLINK("https://klasma.github.io/Logging_2513/tillsyn/A 27087-2026 tillsynsbegäran.docx", "A 27087-2026")</f>
        <v/>
      </c>
      <c r="AD61">
        <f>HYPERLINK("https://klasma.github.io/Logging_2513/tillsynsmail/A 27087-2026 tillsynsbegäran mail.docx", "A 27087-2026")</f>
        <v/>
      </c>
      <c r="AE61">
        <f>HYPERLINK("https://klasma.github.io/Logging_2513/fåglar/A 27087-2026 prioriterade fågelarter.docx", "A 27087-2026")</f>
        <v/>
      </c>
    </row>
    <row r="62" ht="15" customHeight="1">
      <c r="A62" t="inlineStr">
        <is>
          <t>A 46280-2024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46311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HYPERLINK("https://klasma.github.io/Logging_2513/artfynd/A 46280-2024 artfynd.xlsx", "A 46280-2024")</f>
        <v/>
      </c>
      <c r="X62">
        <f>HYPERLINK("https://klasma.github.io/Logging_2513/kartor/A 46280-2024 karta.png", "A 46280-2024")</f>
        <v/>
      </c>
      <c r="Y62">
        <f>HYPERLINK("https://klasma.github.io/Logging_2513/kartor_geotiff/A 46280-2024 georefererad karta.tif", "A 46280-2024")</f>
        <v/>
      </c>
      <c r="AA62">
        <f>HYPERLINK("https://klasma.github.io/Logging_2513/klagomål/A 46280-2024 FSC-klagomål.docx", "A 46280-2024")</f>
        <v/>
      </c>
      <c r="AB62">
        <f>HYPERLINK("https://klasma.github.io/Logging_2513/klagomålsmail/A 46280-2024 FSC-klagomål mail.docx", "A 46280-2024")</f>
        <v/>
      </c>
      <c r="AC62">
        <f>HYPERLINK("https://klasma.github.io/Logging_2513/tillsyn/A 46280-2024 tillsynsbegäran.docx", "A 46280-2024")</f>
        <v/>
      </c>
      <c r="AD62">
        <f>HYPERLINK("https://klasma.github.io/Logging_2513/tillsynsmail/A 46280-2024 tillsynsbegäran mail.docx", "A 46280-2024")</f>
        <v/>
      </c>
      <c r="AE62">
        <f>HYPERLINK("https://klasma.github.io/Logging_2513/fåglar/A 46280-2024 prioriterade fågelarter.docx", "A 46280-2024")</f>
        <v/>
      </c>
    </row>
    <row r="63" ht="15" customHeight="1">
      <c r="A63" t="inlineStr">
        <is>
          <t>A 46281-2024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46311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 taggsvamp</t>
        </is>
      </c>
      <c r="W63">
        <f>HYPERLINK("https://klasma.github.io/Logging_2513/artfynd/A 46281-2024 artfynd.xlsx", "A 46281-2024")</f>
        <v/>
      </c>
      <c r="X63">
        <f>HYPERLINK("https://klasma.github.io/Logging_2513/kartor/A 46281-2024 karta.png", "A 46281-2024")</f>
        <v/>
      </c>
      <c r="Y63">
        <f>HYPERLINK("https://klasma.github.io/Logging_2513/kartor_geotiff/A 46281-2024 georefererad karta.tif", "A 46281-2024")</f>
        <v/>
      </c>
      <c r="AA63">
        <f>HYPERLINK("https://klasma.github.io/Logging_2513/klagomål/A 46281-2024 FSC-klagomål.docx", "A 46281-2024")</f>
        <v/>
      </c>
      <c r="AB63">
        <f>HYPERLINK("https://klasma.github.io/Logging_2513/klagomålsmail/A 46281-2024 FSC-klagomål mail.docx", "A 46281-2024")</f>
        <v/>
      </c>
      <c r="AC63">
        <f>HYPERLINK("https://klasma.github.io/Logging_2513/tillsyn/A 46281-2024 tillsynsbegäran.docx", "A 46281-2024")</f>
        <v/>
      </c>
      <c r="AD63">
        <f>HYPERLINK("https://klasma.github.io/Logging_2513/tillsynsmail/A 46281-2024 tillsynsbegäran mail.docx", "A 46281-2024")</f>
        <v/>
      </c>
    </row>
    <row r="64" ht="15" customHeight="1">
      <c r="A64" t="inlineStr">
        <is>
          <t>A 20949-2026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46142</v>
      </c>
      <c r="E64" s="1" t="n">
        <v>46311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20949-2026 artfynd.xlsx", "A 20949-2026")</f>
        <v/>
      </c>
      <c r="X64">
        <f>HYPERLINK("https://klasma.github.io/Logging_2513/kartor/A 20949-2026 karta.png", "A 20949-2026")</f>
        <v/>
      </c>
      <c r="Y64">
        <f>HYPERLINK("https://klasma.github.io/Logging_2513/kartor_geotiff/A 20949-2026 georefererad karta.tif", "A 20949-2026")</f>
        <v/>
      </c>
      <c r="AA64">
        <f>HYPERLINK("https://klasma.github.io/Logging_2513/klagomål/A 20949-2026 FSC-klagomål.docx", "A 20949-2026")</f>
        <v/>
      </c>
      <c r="AB64">
        <f>HYPERLINK("https://klasma.github.io/Logging_2513/klagomålsmail/A 20949-2026 FSC-klagomål mail.docx", "A 20949-2026")</f>
        <v/>
      </c>
      <c r="AC64">
        <f>HYPERLINK("https://klasma.github.io/Logging_2513/tillsyn/A 20949-2026 tillsynsbegäran.docx", "A 20949-2026")</f>
        <v/>
      </c>
      <c r="AD64">
        <f>HYPERLINK("https://klasma.github.io/Logging_2513/tillsynsmail/A 20949-2026 tillsynsbegäran mail.docx", "A 20949-2026")</f>
        <v/>
      </c>
    </row>
    <row r="65" ht="15" customHeight="1">
      <c r="A65" t="inlineStr">
        <is>
          <t>A 25335-2026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46311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46.9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HYPERLINK("https://klasma.github.io/Logging_2513/artfynd/A 25335-2026 artfynd.xlsx", "A 25335-2026")</f>
        <v/>
      </c>
      <c r="X65">
        <f>HYPERLINK("https://klasma.github.io/Logging_2513/kartor/A 25335-2026 karta.png", "A 25335-2026")</f>
        <v/>
      </c>
      <c r="Y65">
        <f>HYPERLINK("https://klasma.github.io/Logging_2513/kartor_geotiff/A 25335-2026 georefererad karta.tif", "A 25335-2026")</f>
        <v/>
      </c>
      <c r="AA65">
        <f>HYPERLINK("https://klasma.github.io/Logging_2513/klagomål/A 25335-2026 FSC-klagomål.docx", "A 25335-2026")</f>
        <v/>
      </c>
      <c r="AB65">
        <f>HYPERLINK("https://klasma.github.io/Logging_2513/klagomålsmail/A 25335-2026 FSC-klagomål mail.docx", "A 25335-2026")</f>
        <v/>
      </c>
      <c r="AC65">
        <f>HYPERLINK("https://klasma.github.io/Logging_2513/tillsyn/A 25335-2026 tillsynsbegäran.docx", "A 25335-2026")</f>
        <v/>
      </c>
      <c r="AD65">
        <f>HYPERLINK("https://klasma.github.io/Logging_2513/tillsynsmail/A 25335-2026 tillsynsbegäran mail.docx", "A 25335-2026")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46311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46311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46311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46311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73348-2021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46311</v>
      </c>
      <c r="F70" t="inlineStr">
        <is>
          <t>NORRBOTTENS LÄN</t>
        </is>
      </c>
      <c r="G70" t="inlineStr">
        <is>
          <t>ÖVERKALIX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44582</v>
      </c>
      <c r="E71" s="1" t="n">
        <v>46311</v>
      </c>
      <c r="F71" t="inlineStr">
        <is>
          <t>NORRBOTTENS LÄN</t>
        </is>
      </c>
      <c r="G71" t="inlineStr">
        <is>
          <t>ÖVERKALIX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46311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46311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46311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46311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46311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46311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46311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46311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46311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46311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46311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46311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46311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46311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46311</v>
      </c>
      <c r="F86" t="inlineStr">
        <is>
          <t>NORRBOTTENS LÄN</t>
        </is>
      </c>
      <c r="G86" t="inlineStr">
        <is>
          <t>ÖVERKALIX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45377</v>
      </c>
      <c r="E87" s="1" t="n">
        <v>46311</v>
      </c>
      <c r="F87" t="inlineStr">
        <is>
          <t>NORRBOTTENS LÄN</t>
        </is>
      </c>
      <c r="G87" t="inlineStr">
        <is>
          <t>ÖVERKALIX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46311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46311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45323</v>
      </c>
      <c r="E90" s="1" t="n">
        <v>46311</v>
      </c>
      <c r="F90" t="inlineStr">
        <is>
          <t>NORRBOTTENS LÄN</t>
        </is>
      </c>
      <c r="G90" t="inlineStr">
        <is>
          <t>ÖVERKALIX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46311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46311</v>
      </c>
      <c r="F92" t="inlineStr">
        <is>
          <t>NORRBOTTENS LÄN</t>
        </is>
      </c>
      <c r="G92" t="inlineStr">
        <is>
          <t>ÖVERKALIX</t>
        </is>
      </c>
      <c r="I92" t="n">
        <v>10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45709</v>
      </c>
      <c r="E93" s="1" t="n">
        <v>46311</v>
      </c>
      <c r="F93" t="inlineStr">
        <is>
          <t>NORRBOTTENS LÄN</t>
        </is>
      </c>
      <c r="G93" t="inlineStr">
        <is>
          <t>ÖVERKALIX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46311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46311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17.5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46311</v>
      </c>
      <c r="F96" t="inlineStr">
        <is>
          <t>NORRBOTTENS LÄN</t>
        </is>
      </c>
      <c r="G96" t="inlineStr">
        <is>
          <t>ÖVERKALIX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26140-2023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46311</v>
      </c>
      <c r="F97" t="inlineStr">
        <is>
          <t>NORRBOTTENS LÄN</t>
        </is>
      </c>
      <c r="G97" t="inlineStr">
        <is>
          <t>ÖVERKALIX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46311</v>
      </c>
      <c r="F98" t="inlineStr">
        <is>
          <t>NORRBOTTENS LÄN</t>
        </is>
      </c>
      <c r="G98" t="inlineStr">
        <is>
          <t>ÖVERKALIX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46311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8.699999999999999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27613-2025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46311</v>
      </c>
      <c r="F100" t="inlineStr">
        <is>
          <t>NORRBOTTENS LÄN</t>
        </is>
      </c>
      <c r="G100" t="inlineStr">
        <is>
          <t>ÖVERKALIX</t>
        </is>
      </c>
      <c r="I100" t="n">
        <v>11.9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46311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46311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46311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46311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46311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45813</v>
      </c>
      <c r="E106" s="1" t="n">
        <v>46311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55642-2023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46311</v>
      </c>
      <c r="F107" t="inlineStr">
        <is>
          <t>NORRBOTTENS LÄN</t>
        </is>
      </c>
      <c r="G107" t="inlineStr">
        <is>
          <t>ÖVERKALIX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46311</v>
      </c>
      <c r="F108" t="inlineStr">
        <is>
          <t>NORRBOTTENS LÄN</t>
        </is>
      </c>
      <c r="G108" t="inlineStr">
        <is>
          <t>ÖVERKALIX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46311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9.699999999999999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46311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46311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44890</v>
      </c>
      <c r="E112" s="1" t="n">
        <v>46311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46311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46311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46311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17.2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46311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46311</v>
      </c>
      <c r="F117" t="inlineStr">
        <is>
          <t>NORRBOTTENS LÄN</t>
        </is>
      </c>
      <c r="G117" t="inlineStr">
        <is>
          <t>ÖVERKALIX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46311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29213-2025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46311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46311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24.4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46311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46311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46311</v>
      </c>
      <c r="F123" t="inlineStr">
        <is>
          <t>NORRBOTTENS LÄN</t>
        </is>
      </c>
      <c r="G123" t="inlineStr">
        <is>
          <t>ÖVERKALIX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46311</v>
      </c>
      <c r="F124" t="inlineStr">
        <is>
          <t>NORRBOTTENS LÄN</t>
        </is>
      </c>
      <c r="G124" t="inlineStr">
        <is>
          <t>ÖVERKALIX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46311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46311</v>
      </c>
      <c r="F126" t="inlineStr">
        <is>
          <t>NORRBOTTENS LÄN</t>
        </is>
      </c>
      <c r="G126" t="inlineStr">
        <is>
          <t>ÖVERKALIX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46311</v>
      </c>
      <c r="F127" t="inlineStr">
        <is>
          <t>NORRBOTTENS LÄN</t>
        </is>
      </c>
      <c r="G127" t="inlineStr">
        <is>
          <t>ÖVERKALIX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46311</v>
      </c>
      <c r="F128" t="inlineStr">
        <is>
          <t>NORRBOTTENS LÄN</t>
        </is>
      </c>
      <c r="G128" t="inlineStr">
        <is>
          <t>ÖVERKALIX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46311</v>
      </c>
      <c r="F129" t="inlineStr">
        <is>
          <t>NORRBOTTENS LÄN</t>
        </is>
      </c>
      <c r="G129" t="inlineStr">
        <is>
          <t>ÖVERKALIX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46311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46311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46311</v>
      </c>
      <c r="F132" t="inlineStr">
        <is>
          <t>NORRBOTTENS LÄN</t>
        </is>
      </c>
      <c r="G132" t="inlineStr">
        <is>
          <t>ÖVERKALIX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31744-2025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45834</v>
      </c>
      <c r="E133" s="1" t="n">
        <v>46311</v>
      </c>
      <c r="F133" t="inlineStr">
        <is>
          <t>NORRBOTTENS LÄN</t>
        </is>
      </c>
      <c r="G133" t="inlineStr">
        <is>
          <t>ÖVERKALIX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46311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45463</v>
      </c>
      <c r="E135" s="1" t="n">
        <v>46311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46311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44797</v>
      </c>
      <c r="E137" s="1" t="n">
        <v>46311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45837</v>
      </c>
      <c r="E138" s="1" t="n">
        <v>46311</v>
      </c>
      <c r="F138" t="inlineStr">
        <is>
          <t>NORRBOTTENS LÄN</t>
        </is>
      </c>
      <c r="G138" t="inlineStr">
        <is>
          <t>ÖVERKALIX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44886</v>
      </c>
      <c r="E139" s="1" t="n">
        <v>46311</v>
      </c>
      <c r="F139" t="inlineStr">
        <is>
          <t>NORRBOTTENS LÄN</t>
        </is>
      </c>
      <c r="G139" t="inlineStr">
        <is>
          <t>ÖVERKALIX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46311</v>
      </c>
      <c r="F140" t="inlineStr">
        <is>
          <t>NORRBOTTENS LÄN</t>
        </is>
      </c>
      <c r="G140" t="inlineStr">
        <is>
          <t>ÖVERKALIX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45107</v>
      </c>
      <c r="E141" s="1" t="n">
        <v>46311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46311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46311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45837</v>
      </c>
      <c r="E144" s="1" t="n">
        <v>46311</v>
      </c>
      <c r="F144" t="inlineStr">
        <is>
          <t>NORRBOTTENS LÄN</t>
        </is>
      </c>
      <c r="G144" t="inlineStr">
        <is>
          <t>ÖVERKALIX</t>
        </is>
      </c>
      <c r="I144" t="n">
        <v>9.800000000000001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45837</v>
      </c>
      <c r="E145" s="1" t="n">
        <v>46311</v>
      </c>
      <c r="F145" t="inlineStr">
        <is>
          <t>NORRBOTTENS LÄN</t>
        </is>
      </c>
      <c r="G145" t="inlineStr">
        <is>
          <t>ÖVERKALIX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72809-2021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44546</v>
      </c>
      <c r="E146" s="1" t="n">
        <v>46311</v>
      </c>
      <c r="F146" t="inlineStr">
        <is>
          <t>NORRBOTTENS LÄN</t>
        </is>
      </c>
      <c r="G146" t="inlineStr">
        <is>
          <t>ÖVERKALIX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46311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46311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46311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34128-2025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45845</v>
      </c>
      <c r="E150" s="1" t="n">
        <v>46311</v>
      </c>
      <c r="F150" t="inlineStr">
        <is>
          <t>NORRBOTTENS LÄN</t>
        </is>
      </c>
      <c r="G150" t="inlineStr">
        <is>
          <t>ÖVERKALIX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44546</v>
      </c>
      <c r="E151" s="1" t="n">
        <v>46311</v>
      </c>
      <c r="F151" t="inlineStr">
        <is>
          <t>NORRBOTTENS LÄN</t>
        </is>
      </c>
      <c r="G151" t="inlineStr">
        <is>
          <t>ÖVERKALIX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45463</v>
      </c>
      <c r="E152" s="1" t="n">
        <v>46311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46311</v>
      </c>
      <c r="F153" t="inlineStr">
        <is>
          <t>NORRBOTTENS LÄN</t>
        </is>
      </c>
      <c r="G153" t="inlineStr">
        <is>
          <t>ÖVERKALIX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46311</v>
      </c>
      <c r="F154" t="inlineStr">
        <is>
          <t>NORRBOTTENS LÄN</t>
        </is>
      </c>
      <c r="G154" t="inlineStr">
        <is>
          <t>ÖVERKALIX</t>
        </is>
      </c>
      <c r="I154" t="n">
        <v>21.7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44547</v>
      </c>
      <c r="E155" s="1" t="n">
        <v>46311</v>
      </c>
      <c r="F155" t="inlineStr">
        <is>
          <t>NORRBOTTENS LÄN</t>
        </is>
      </c>
      <c r="G155" t="inlineStr">
        <is>
          <t>ÖVERKALIX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45869</v>
      </c>
      <c r="E156" s="1" t="n">
        <v>46311</v>
      </c>
      <c r="F156" t="inlineStr">
        <is>
          <t>NORRBOTTENS LÄN</t>
        </is>
      </c>
      <c r="G156" t="inlineStr">
        <is>
          <t>ÖVERKALIX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45870</v>
      </c>
      <c r="E157" s="1" t="n">
        <v>46311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45870</v>
      </c>
      <c r="E158" s="1" t="n">
        <v>46311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46311</v>
      </c>
      <c r="F159" t="inlineStr">
        <is>
          <t>NORRBOTTENS LÄN</t>
        </is>
      </c>
      <c r="G159" t="inlineStr">
        <is>
          <t>ÖVERKALIX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46311</v>
      </c>
      <c r="F160" t="inlineStr">
        <is>
          <t>NORRBOTTENS LÄN</t>
        </is>
      </c>
      <c r="G160" t="inlineStr">
        <is>
          <t>ÖVERKALIX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46311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46311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45428</v>
      </c>
      <c r="E163" s="1" t="n">
        <v>46311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45873</v>
      </c>
      <c r="E164" s="1" t="n">
        <v>46311</v>
      </c>
      <c r="F164" t="inlineStr">
        <is>
          <t>NORRBOTTENS LÄN</t>
        </is>
      </c>
      <c r="G164" t="inlineStr">
        <is>
          <t>ÖVERKALIX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45379</v>
      </c>
      <c r="E165" s="1" t="n">
        <v>46311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45882</v>
      </c>
      <c r="E166" s="1" t="n">
        <v>46311</v>
      </c>
      <c r="F166" t="inlineStr">
        <is>
          <t>NORRBOTTENS LÄN</t>
        </is>
      </c>
      <c r="G166" t="inlineStr">
        <is>
          <t>ÖVERKALIX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46311</v>
      </c>
      <c r="F167" t="inlineStr">
        <is>
          <t>NORRBOTTENS LÄN</t>
        </is>
      </c>
      <c r="G167" t="inlineStr">
        <is>
          <t>ÖVERKALIX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46311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13.4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46311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46311</v>
      </c>
      <c r="F170" t="inlineStr">
        <is>
          <t>NORRBOTTENS LÄN</t>
        </is>
      </c>
      <c r="G170" t="inlineStr">
        <is>
          <t>ÖVERKALIX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46311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10.9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44899</v>
      </c>
      <c r="E172" s="1" t="n">
        <v>46311</v>
      </c>
      <c r="F172" t="inlineStr">
        <is>
          <t>NORRBOTTENS LÄN</t>
        </is>
      </c>
      <c r="G172" t="inlineStr">
        <is>
          <t>ÖVERKALIX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45436</v>
      </c>
      <c r="E173" s="1" t="n">
        <v>46311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29.9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46311</v>
      </c>
      <c r="F174" t="inlineStr">
        <is>
          <t>NORRBOTTENS LÄN</t>
        </is>
      </c>
      <c r="G174" t="inlineStr">
        <is>
          <t>ÖVERKALIX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46311</v>
      </c>
      <c r="F175" t="inlineStr">
        <is>
          <t>NORRBOTTENS LÄN</t>
        </is>
      </c>
      <c r="G175" t="inlineStr">
        <is>
          <t>ÖVERKALIX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46311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37.4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46311</v>
      </c>
      <c r="F177" t="inlineStr">
        <is>
          <t>NORRBOTTENS LÄN</t>
        </is>
      </c>
      <c r="G177" t="inlineStr">
        <is>
          <t>ÖVERKALIX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46311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45460</v>
      </c>
      <c r="E179" s="1" t="n">
        <v>46311</v>
      </c>
      <c r="F179" t="inlineStr">
        <is>
          <t>NORRBOTTENS LÄN</t>
        </is>
      </c>
      <c r="G179" t="inlineStr">
        <is>
          <t>ÖVERKALIX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45518</v>
      </c>
      <c r="E180" s="1" t="n">
        <v>46311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46311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45429</v>
      </c>
      <c r="E182" s="1" t="n">
        <v>46311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46311</v>
      </c>
      <c r="F183" t="inlineStr">
        <is>
          <t>NORRBOTTENS LÄN</t>
        </is>
      </c>
      <c r="G183" t="inlineStr">
        <is>
          <t>ÖVERKALIX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46311</v>
      </c>
      <c r="F184" t="inlineStr">
        <is>
          <t>NORRBOTTENS LÄN</t>
        </is>
      </c>
      <c r="G184" t="inlineStr">
        <is>
          <t>ÖVERKALIX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45133</v>
      </c>
      <c r="E185" s="1" t="n">
        <v>46311</v>
      </c>
      <c r="F185" t="inlineStr">
        <is>
          <t>NORRBOTTENS LÄN</t>
        </is>
      </c>
      <c r="G185" t="inlineStr">
        <is>
          <t>ÖVERKALIX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46311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46311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9.800000000000001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46311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46311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46311</v>
      </c>
      <c r="F190" t="inlineStr">
        <is>
          <t>NORRBOTTENS LÄN</t>
        </is>
      </c>
      <c r="G190" t="inlineStr">
        <is>
          <t>ÖVERKALIX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46112</v>
      </c>
      <c r="E191" s="1" t="n">
        <v>46311</v>
      </c>
      <c r="F191" t="inlineStr">
        <is>
          <t>NORRBOTTENS LÄN</t>
        </is>
      </c>
      <c r="G191" t="inlineStr">
        <is>
          <t>ÖVERKALIX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45540</v>
      </c>
      <c r="E192" s="1" t="n">
        <v>46311</v>
      </c>
      <c r="F192" t="inlineStr">
        <is>
          <t>NORRBOTTENS LÄN</t>
        </is>
      </c>
      <c r="G192" t="inlineStr">
        <is>
          <t>ÖVERKALIX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46311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45141</v>
      </c>
      <c r="E194" s="1" t="n">
        <v>46311</v>
      </c>
      <c r="F194" t="inlineStr">
        <is>
          <t>NORRBOTTENS LÄN</t>
        </is>
      </c>
      <c r="G194" t="inlineStr">
        <is>
          <t>ÖVERKALIX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46311</v>
      </c>
      <c r="F195" t="inlineStr">
        <is>
          <t>NORRBOTTENS LÄN</t>
        </is>
      </c>
      <c r="G195" t="inlineStr">
        <is>
          <t>ÖVERKALIX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46311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46311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46120</v>
      </c>
      <c r="E198" s="1" t="n">
        <v>46311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72364-2021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46311</v>
      </c>
      <c r="F199" t="inlineStr">
        <is>
          <t>NORRBOTTENS LÄN</t>
        </is>
      </c>
      <c r="G199" t="inlineStr">
        <is>
          <t>ÖVERKALIX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5653-2022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44595</v>
      </c>
      <c r="E200" s="1" t="n">
        <v>46311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44950</v>
      </c>
      <c r="E201" s="1" t="n">
        <v>46311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46311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18523-2026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46311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45371</v>
      </c>
      <c r="E204" s="1" t="n">
        <v>46311</v>
      </c>
      <c r="F204" t="inlineStr">
        <is>
          <t>NORRBOTTENS LÄN</t>
        </is>
      </c>
      <c r="G204" t="inlineStr">
        <is>
          <t>ÖVERKALIX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45588</v>
      </c>
      <c r="E205" s="1" t="n">
        <v>46311</v>
      </c>
      <c r="F205" t="inlineStr">
        <is>
          <t>NORRBOTTENS LÄN</t>
        </is>
      </c>
      <c r="G205" t="inlineStr">
        <is>
          <t>ÖVERKALIX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45513</v>
      </c>
      <c r="E206" s="1" t="n">
        <v>46311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46311</v>
      </c>
      <c r="F207" t="inlineStr">
        <is>
          <t>NORRBOTTENS LÄN</t>
        </is>
      </c>
      <c r="G207" t="inlineStr">
        <is>
          <t>ÖVERKALIX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46132</v>
      </c>
      <c r="E208" s="1" t="n">
        <v>46311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7039-2022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44603</v>
      </c>
      <c r="E209" s="1" t="n">
        <v>46311</v>
      </c>
      <c r="F209" t="inlineStr">
        <is>
          <t>NORRBOTTENS LÄN</t>
        </is>
      </c>
      <c r="G209" t="inlineStr">
        <is>
          <t>ÖVERKALIX</t>
        </is>
      </c>
      <c r="H209" t="inlineStr">
        <is>
          <t>Övriga statliga verk och myndigheter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46311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46311</v>
      </c>
      <c r="F211" t="inlineStr">
        <is>
          <t>NORRBOTTENS LÄN</t>
        </is>
      </c>
      <c r="G211" t="inlineStr">
        <is>
          <t>ÖVERKALIX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46311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46311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42282-2025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46311</v>
      </c>
      <c r="F214" t="inlineStr">
        <is>
          <t>NORRBOTTENS LÄN</t>
        </is>
      </c>
      <c r="G214" t="inlineStr">
        <is>
          <t>ÖVERKALIX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45429</v>
      </c>
      <c r="E215" s="1" t="n">
        <v>46311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45321</v>
      </c>
      <c r="E216" s="1" t="n">
        <v>46311</v>
      </c>
      <c r="F216" t="inlineStr">
        <is>
          <t>NORRBOTTENS LÄN</t>
        </is>
      </c>
      <c r="G216" t="inlineStr">
        <is>
          <t>ÖVERKALIX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45401</v>
      </c>
      <c r="E217" s="1" t="n">
        <v>46311</v>
      </c>
      <c r="F217" t="inlineStr">
        <is>
          <t>NORRBOTTENS LÄN</t>
        </is>
      </c>
      <c r="G217" t="inlineStr">
        <is>
          <t>ÖVERKALIX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45677</v>
      </c>
      <c r="E218" s="1" t="n">
        <v>46311</v>
      </c>
      <c r="F218" t="inlineStr">
        <is>
          <t>NORRBOTTENS LÄN</t>
        </is>
      </c>
      <c r="G218" t="inlineStr">
        <is>
          <t>ÖVERKALIX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46311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46311</v>
      </c>
      <c r="F220" t="inlineStr">
        <is>
          <t>NORRBOTTENS LÄN</t>
        </is>
      </c>
      <c r="G220" t="inlineStr">
        <is>
          <t>ÖVERKALIX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46311</v>
      </c>
      <c r="F221" t="inlineStr">
        <is>
          <t>NORRBOTTENS LÄN</t>
        </is>
      </c>
      <c r="G221" t="inlineStr">
        <is>
          <t>ÖVERKALIX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45909</v>
      </c>
      <c r="E222" s="1" t="n">
        <v>46311</v>
      </c>
      <c r="F222" t="inlineStr">
        <is>
          <t>NORRBOTTENS LÄN</t>
        </is>
      </c>
      <c r="G222" t="inlineStr">
        <is>
          <t>ÖVERKALIX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21299-2024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46311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46311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46311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23324-2023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45076</v>
      </c>
      <c r="E226" s="1" t="n">
        <v>46311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Övriga statliga verk och myndigheter</t>
        </is>
      </c>
      <c r="I226" t="n">
        <v>38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45744</v>
      </c>
      <c r="E227" s="1" t="n">
        <v>46311</v>
      </c>
      <c r="F227" t="inlineStr">
        <is>
          <t>NORRBOTTENS LÄN</t>
        </is>
      </c>
      <c r="G227" t="inlineStr">
        <is>
          <t>ÖVERKALIX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46311</v>
      </c>
      <c r="F228" t="inlineStr">
        <is>
          <t>NORRBOTTENS LÄN</t>
        </is>
      </c>
      <c r="G228" t="inlineStr">
        <is>
          <t>ÖVERKALIX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46311</v>
      </c>
      <c r="F229" t="inlineStr">
        <is>
          <t>NORRBOTTENS LÄN</t>
        </is>
      </c>
      <c r="G229" t="inlineStr">
        <is>
          <t>ÖVERKALIX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46311</v>
      </c>
      <c r="F230" t="inlineStr">
        <is>
          <t>NORRBOTTENS LÄN</t>
        </is>
      </c>
      <c r="G230" t="inlineStr">
        <is>
          <t>ÖVERKALIX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45622</v>
      </c>
      <c r="E231" s="1" t="n">
        <v>46311</v>
      </c>
      <c r="F231" t="inlineStr">
        <is>
          <t>NORRBOTTENS LÄN</t>
        </is>
      </c>
      <c r="G231" t="inlineStr">
        <is>
          <t>ÖVERKALIX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46311</v>
      </c>
      <c r="F232" t="inlineStr">
        <is>
          <t>NORRBOTTENS LÄN</t>
        </is>
      </c>
      <c r="G232" t="inlineStr">
        <is>
          <t>ÖVERKALIX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46311</v>
      </c>
      <c r="F233" t="inlineStr">
        <is>
          <t>NORRBOTTENS LÄN</t>
        </is>
      </c>
      <c r="G233" t="inlineStr">
        <is>
          <t>ÖVERKALIX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46311</v>
      </c>
      <c r="F234" t="inlineStr">
        <is>
          <t>NORRBOTTENS LÄN</t>
        </is>
      </c>
      <c r="G234" t="inlineStr">
        <is>
          <t>ÖVERKALIX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41830-2024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46311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46311</v>
      </c>
      <c r="F236" t="inlineStr">
        <is>
          <t>NORRBOTTENS LÄN</t>
        </is>
      </c>
      <c r="G236" t="inlineStr">
        <is>
          <t>ÖVERKALIX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46311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45709</v>
      </c>
      <c r="E238" s="1" t="n">
        <v>46311</v>
      </c>
      <c r="F238" t="inlineStr">
        <is>
          <t>NORRBOTTENS LÄN</t>
        </is>
      </c>
      <c r="G238" t="inlineStr">
        <is>
          <t>ÖVERKALIX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44659</v>
      </c>
      <c r="E239" s="1" t="n">
        <v>46311</v>
      </c>
      <c r="F239" t="inlineStr">
        <is>
          <t>NORRBOTTENS LÄN</t>
        </is>
      </c>
      <c r="G239" t="inlineStr">
        <is>
          <t>ÖVERKALIX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45818</v>
      </c>
      <c r="E240" s="1" t="n">
        <v>46311</v>
      </c>
      <c r="F240" t="inlineStr">
        <is>
          <t>NORRBOTTENS LÄN</t>
        </is>
      </c>
      <c r="G240" t="inlineStr">
        <is>
          <t>ÖVERKALIX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46311</v>
      </c>
      <c r="F241" t="inlineStr">
        <is>
          <t>NORRBOTTENS LÄN</t>
        </is>
      </c>
      <c r="G241" t="inlineStr">
        <is>
          <t>ÖVERKALIX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46311</v>
      </c>
      <c r="F242" t="inlineStr">
        <is>
          <t>NORRBOTTENS LÄN</t>
        </is>
      </c>
      <c r="G242" t="inlineStr">
        <is>
          <t>ÖVERKALIX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45693</v>
      </c>
      <c r="E243" s="1" t="n">
        <v>46311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45575</v>
      </c>
      <c r="E244" s="1" t="n">
        <v>46311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44648</v>
      </c>
      <c r="E245" s="1" t="n">
        <v>46311</v>
      </c>
      <c r="F245" t="inlineStr">
        <is>
          <t>NORRBOTTENS LÄN</t>
        </is>
      </c>
      <c r="G245" t="inlineStr">
        <is>
          <t>ÖVERKALIX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45604</v>
      </c>
      <c r="E246" s="1" t="n">
        <v>46311</v>
      </c>
      <c r="F246" t="inlineStr">
        <is>
          <t>NORRBOTTENS LÄN</t>
        </is>
      </c>
      <c r="G246" t="inlineStr">
        <is>
          <t>ÖVERKALIX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46311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46139</v>
      </c>
      <c r="E248" s="1" t="n">
        <v>46311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20505-2026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46311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46311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46311</v>
      </c>
      <c r="F251" t="inlineStr">
        <is>
          <t>NORRBOTTENS LÄN</t>
        </is>
      </c>
      <c r="G251" t="inlineStr">
        <is>
          <t>ÖVERKALIX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58764-2023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45251</v>
      </c>
      <c r="E252" s="1" t="n">
        <v>46311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45911</v>
      </c>
      <c r="E253" s="1" t="n">
        <v>46311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46311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45693</v>
      </c>
      <c r="E255" s="1" t="n">
        <v>46311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46311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28.8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46311</v>
      </c>
      <c r="F257" t="inlineStr">
        <is>
          <t>NORRBOTTENS LÄN</t>
        </is>
      </c>
      <c r="G257" t="inlineStr">
        <is>
          <t>ÖVERKALIX</t>
        </is>
      </c>
      <c r="I257" t="n">
        <v>13.1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46148</v>
      </c>
      <c r="E258" s="1" t="n">
        <v>46311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46148</v>
      </c>
      <c r="E259" s="1" t="n">
        <v>46311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46148</v>
      </c>
      <c r="E260" s="1" t="n">
        <v>46311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21425-2026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46148</v>
      </c>
      <c r="E261" s="1" t="n">
        <v>46311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46148</v>
      </c>
      <c r="E262" s="1" t="n">
        <v>46311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21417-2026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46148</v>
      </c>
      <c r="E263" s="1" t="n">
        <v>46311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21427-2026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46311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46311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46311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18.8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46311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64524-2023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45281</v>
      </c>
      <c r="E268" s="1" t="n">
        <v>46311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60417-2024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45643</v>
      </c>
      <c r="E269" s="1" t="n">
        <v>46311</v>
      </c>
      <c r="F269" t="inlineStr">
        <is>
          <t>NORRBOTTENS LÄN</t>
        </is>
      </c>
      <c r="G269" t="inlineStr">
        <is>
          <t>ÖVERKALIX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46311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48577-2023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45208</v>
      </c>
      <c r="E271" s="1" t="n">
        <v>46311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45671</v>
      </c>
      <c r="E272" s="1" t="n">
        <v>46311</v>
      </c>
      <c r="F272" t="inlineStr">
        <is>
          <t>NORRBOTTENS LÄN</t>
        </is>
      </c>
      <c r="G272" t="inlineStr">
        <is>
          <t>ÖVERKALIX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44754-2025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45917</v>
      </c>
      <c r="E273" s="1" t="n">
        <v>46311</v>
      </c>
      <c r="F273" t="inlineStr">
        <is>
          <t>NORRBOTTENS LÄN</t>
        </is>
      </c>
      <c r="G273" t="inlineStr">
        <is>
          <t>ÖVERKALIX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46160</v>
      </c>
      <c r="E274" s="1" t="n">
        <v>46311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45535-2025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45922</v>
      </c>
      <c r="E275" s="1" t="n">
        <v>46311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46311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46311</v>
      </c>
      <c r="F277" t="inlineStr">
        <is>
          <t>NORRBOTTENS LÄN</t>
        </is>
      </c>
      <c r="G277" t="inlineStr">
        <is>
          <t>ÖVERKALIX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46162</v>
      </c>
      <c r="E278" s="1" t="n">
        <v>46311</v>
      </c>
      <c r="F278" t="inlineStr">
        <is>
          <t>NORRBOTTENS LÄN</t>
        </is>
      </c>
      <c r="G278" t="inlineStr">
        <is>
          <t>ÖVERKALIX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46311</v>
      </c>
      <c r="F279" t="inlineStr">
        <is>
          <t>NORRBOTTENS LÄN</t>
        </is>
      </c>
      <c r="G279" t="inlineStr">
        <is>
          <t>ÖVERKALIX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45092</v>
      </c>
      <c r="E280" s="1" t="n">
        <v>46311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46311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46311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44575</v>
      </c>
      <c r="E283" s="1" t="n">
        <v>46311</v>
      </c>
      <c r="F283" t="inlineStr">
        <is>
          <t>NORRBOTTENS LÄN</t>
        </is>
      </c>
      <c r="G283" t="inlineStr">
        <is>
          <t>ÖVERKALIX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45693</v>
      </c>
      <c r="E284" s="1" t="n">
        <v>46311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45950</v>
      </c>
      <c r="E285" s="1" t="n">
        <v>46311</v>
      </c>
      <c r="F285" t="inlineStr">
        <is>
          <t>NORRBOTTENS LÄN</t>
        </is>
      </c>
      <c r="G285" t="inlineStr">
        <is>
          <t>ÖVERKALIX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46311</v>
      </c>
      <c r="F286" t="inlineStr">
        <is>
          <t>NORRBOTTENS LÄN</t>
        </is>
      </c>
      <c r="G286" t="inlineStr">
        <is>
          <t>ÖVERKALIX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46311</v>
      </c>
      <c r="F287" t="inlineStr">
        <is>
          <t>NORRBOTTENS LÄN</t>
        </is>
      </c>
      <c r="G287" t="inlineStr">
        <is>
          <t>ÖVERKALIX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28372-2025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45818</v>
      </c>
      <c r="E288" s="1" t="n">
        <v>46311</v>
      </c>
      <c r="F288" t="inlineStr">
        <is>
          <t>NORRBOTTENS LÄN</t>
        </is>
      </c>
      <c r="G288" t="inlineStr">
        <is>
          <t>ÖVERKALIX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46311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46311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46311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46311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46311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54026-2023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45231</v>
      </c>
      <c r="E294" s="1" t="n">
        <v>46311</v>
      </c>
      <c r="F294" t="inlineStr">
        <is>
          <t>NORRBOTTENS LÄN</t>
        </is>
      </c>
      <c r="G294" t="inlineStr">
        <is>
          <t>ÖVERKALIX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23935-2026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46311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72212-2021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44543</v>
      </c>
      <c r="E296" s="1" t="n">
        <v>46311</v>
      </c>
      <c r="F296" t="inlineStr">
        <is>
          <t>NORRBOTTENS LÄN</t>
        </is>
      </c>
      <c r="G296" t="inlineStr">
        <is>
          <t>ÖVERKALIX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46311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SCA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45471</v>
      </c>
      <c r="E298" s="1" t="n">
        <v>46311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45471</v>
      </c>
      <c r="E299" s="1" t="n">
        <v>46311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32.6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46311</v>
      </c>
      <c r="F300" t="inlineStr">
        <is>
          <t>NORRBOTTENS LÄN</t>
        </is>
      </c>
      <c r="G300" t="inlineStr">
        <is>
          <t>ÖVERKALIX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53732-2022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44880</v>
      </c>
      <c r="E301" s="1" t="n">
        <v>46311</v>
      </c>
      <c r="F301" t="inlineStr">
        <is>
          <t>NORRBOTTENS LÄN</t>
        </is>
      </c>
      <c r="G301" t="inlineStr">
        <is>
          <t>ÖVERKALIX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46311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46311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46311</v>
      </c>
      <c r="F304" t="inlineStr">
        <is>
          <t>NORRBOTTENS LÄN</t>
        </is>
      </c>
      <c r="G304" t="inlineStr">
        <is>
          <t>ÖVERKALIX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44830</v>
      </c>
      <c r="E305" s="1" t="n">
        <v>46311</v>
      </c>
      <c r="F305" t="inlineStr">
        <is>
          <t>NORRBOTTENS LÄN</t>
        </is>
      </c>
      <c r="G305" t="inlineStr">
        <is>
          <t>ÖVERKALIX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46311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46311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46311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46311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26429-2026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46311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46311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46311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46311</v>
      </c>
      <c r="F313" t="inlineStr">
        <is>
          <t>NORRBOTTENS LÄN</t>
        </is>
      </c>
      <c r="G313" t="inlineStr">
        <is>
          <t>ÖVERKALIX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45308</v>
      </c>
      <c r="E314" s="1" t="n">
        <v>46311</v>
      </c>
      <c r="F314" t="inlineStr">
        <is>
          <t>NORRBOTTENS LÄN</t>
        </is>
      </c>
      <c r="G314" t="inlineStr">
        <is>
          <t>ÖVERKALIX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45308</v>
      </c>
      <c r="E315" s="1" t="n">
        <v>46311</v>
      </c>
      <c r="F315" t="inlineStr">
        <is>
          <t>NORRBOTTENS LÄN</t>
        </is>
      </c>
      <c r="G315" t="inlineStr">
        <is>
          <t>ÖVERKALIX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46311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46311</v>
      </c>
      <c r="F317" t="inlineStr">
        <is>
          <t>NORRBOTTENS LÄN</t>
        </is>
      </c>
      <c r="G317" t="inlineStr">
        <is>
          <t>ÖVERKALIX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51058-2024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46311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43314-2022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44834</v>
      </c>
      <c r="E319" s="1" t="n">
        <v>46311</v>
      </c>
      <c r="F319" t="inlineStr">
        <is>
          <t>NORRBOTTENS LÄN</t>
        </is>
      </c>
      <c r="G319" t="inlineStr">
        <is>
          <t>ÖVERKALIX</t>
        </is>
      </c>
      <c r="I319" t="n">
        <v>13.1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30881-2024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45498</v>
      </c>
      <c r="E320" s="1" t="n">
        <v>46311</v>
      </c>
      <c r="F320" t="inlineStr">
        <is>
          <t>NORRBOTTENS LÄN</t>
        </is>
      </c>
      <c r="G320" t="inlineStr">
        <is>
          <t>ÖVERKALIX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46195</v>
      </c>
      <c r="E321" s="1" t="n">
        <v>46311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44930</v>
      </c>
      <c r="E322" s="1" t="n">
        <v>46311</v>
      </c>
      <c r="F322" t="inlineStr">
        <is>
          <t>NORRBOTTENS LÄN</t>
        </is>
      </c>
      <c r="G322" t="inlineStr">
        <is>
          <t>ÖVERKALIX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28210-2026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46196</v>
      </c>
      <c r="E323" s="1" t="n">
        <v>46311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44502</v>
      </c>
      <c r="E324" s="1" t="n">
        <v>46311</v>
      </c>
      <c r="F324" t="inlineStr">
        <is>
          <t>NORRBOTTENS LÄN</t>
        </is>
      </c>
      <c r="G324" t="inlineStr">
        <is>
          <t>ÖVERKALIX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28641-2026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46311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46311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46311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13372-2023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45005</v>
      </c>
      <c r="E328" s="1" t="n">
        <v>46311</v>
      </c>
      <c r="F328" t="inlineStr">
        <is>
          <t>NORRBOTTENS LÄN</t>
        </is>
      </c>
      <c r="G328" t="inlineStr">
        <is>
          <t>ÖVERKALIX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46311</v>
      </c>
      <c r="F329" t="inlineStr">
        <is>
          <t>NORRBOTTENS LÄN</t>
        </is>
      </c>
      <c r="G329" t="inlineStr">
        <is>
          <t>ÖVERKALIX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45639</v>
      </c>
      <c r="E330" s="1" t="n">
        <v>46311</v>
      </c>
      <c r="F330" t="inlineStr">
        <is>
          <t>NORRBOTTENS LÄN</t>
        </is>
      </c>
      <c r="G330" t="inlineStr">
        <is>
          <t>ÖVERKALIX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29827-2026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46205</v>
      </c>
      <c r="E331" s="1" t="n">
        <v>46311</v>
      </c>
      <c r="F331" t="inlineStr">
        <is>
          <t>NORRBOTTENS LÄN</t>
        </is>
      </c>
      <c r="G331" t="inlineStr">
        <is>
          <t>ÖVERKALIX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46311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29927-2026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46205</v>
      </c>
      <c r="E333" s="1" t="n">
        <v>46311</v>
      </c>
      <c r="F333" t="inlineStr">
        <is>
          <t>NORRBOTTENS LÄN</t>
        </is>
      </c>
      <c r="G333" t="inlineStr">
        <is>
          <t>ÖVERKALIX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29937-2026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46205</v>
      </c>
      <c r="E334" s="1" t="n">
        <v>46311</v>
      </c>
      <c r="F334" t="inlineStr">
        <is>
          <t>NORRBOTTENS LÄN</t>
        </is>
      </c>
      <c r="G334" t="inlineStr">
        <is>
          <t>ÖVERKALIX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50983-2025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45947</v>
      </c>
      <c r="E335" s="1" t="n">
        <v>46311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46311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30326-2026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46207</v>
      </c>
      <c r="E337" s="1" t="n">
        <v>46311</v>
      </c>
      <c r="F337" t="inlineStr">
        <is>
          <t>NORRBOTTENS LÄN</t>
        </is>
      </c>
      <c r="G337" t="inlineStr">
        <is>
          <t>ÖVERKALIX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30327-2026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46207</v>
      </c>
      <c r="E338" s="1" t="n">
        <v>46311</v>
      </c>
      <c r="F338" t="inlineStr">
        <is>
          <t>NORRBOTTENS LÄN</t>
        </is>
      </c>
      <c r="G338" t="inlineStr">
        <is>
          <t>ÖVERKALIX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46311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45949</v>
      </c>
      <c r="E340" s="1" t="n">
        <v>46311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46311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30019-2026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46311</v>
      </c>
      <c r="F342" t="inlineStr">
        <is>
          <t>NORRBOTTENS LÄN</t>
        </is>
      </c>
      <c r="G342" t="inlineStr">
        <is>
          <t>ÖVERKALIX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30241-2026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46206</v>
      </c>
      <c r="E343" s="1" t="n">
        <v>46311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46311</v>
      </c>
      <c r="F344" t="inlineStr">
        <is>
          <t>NORRBOTTENS LÄN</t>
        </is>
      </c>
      <c r="G344" t="inlineStr">
        <is>
          <t>ÖVERKALIX</t>
        </is>
      </c>
      <c r="I344" t="n">
        <v>22.3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45951</v>
      </c>
      <c r="E345" s="1" t="n">
        <v>46311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46207</v>
      </c>
      <c r="E346" s="1" t="n">
        <v>46311</v>
      </c>
      <c r="F346" t="inlineStr">
        <is>
          <t>NORRBOTTENS LÄN</t>
        </is>
      </c>
      <c r="G346" t="inlineStr">
        <is>
          <t>ÖVERKALIX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45951</v>
      </c>
      <c r="E347" s="1" t="n">
        <v>46311</v>
      </c>
      <c r="F347" t="inlineStr">
        <is>
          <t>NORRBOTTENS LÄN</t>
        </is>
      </c>
      <c r="G347" t="inlineStr">
        <is>
          <t>ÖVERKALIX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6641-2022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46311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46311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46311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46311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45154</v>
      </c>
      <c r="E352" s="1" t="n">
        <v>46311</v>
      </c>
      <c r="F352" t="inlineStr">
        <is>
          <t>NORRBOTTENS LÄN</t>
        </is>
      </c>
      <c r="G352" t="inlineStr">
        <is>
          <t>ÖVERKALIX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46311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52591-2025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45954</v>
      </c>
      <c r="E354" s="1" t="n">
        <v>46311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46311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45692</v>
      </c>
      <c r="E356" s="1" t="n">
        <v>46311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45513</v>
      </c>
      <c r="E357" s="1" t="n">
        <v>46311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52973-2025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46311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9.9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60400-2022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46311</v>
      </c>
      <c r="F359" t="inlineStr">
        <is>
          <t>NORRBOTTENS LÄN</t>
        </is>
      </c>
      <c r="G359" t="inlineStr">
        <is>
          <t>ÖVERKALIX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59911-2024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45641</v>
      </c>
      <c r="E360" s="1" t="n">
        <v>46311</v>
      </c>
      <c r="F360" t="inlineStr">
        <is>
          <t>NORRBOTTENS LÄN</t>
        </is>
      </c>
      <c r="G360" t="inlineStr">
        <is>
          <t>ÖVERKALIX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38088-2023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46311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31628-2026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46225</v>
      </c>
      <c r="E362" s="1" t="n">
        <v>46311</v>
      </c>
      <c r="F362" t="inlineStr">
        <is>
          <t>NORRBOTTENS LÄN</t>
        </is>
      </c>
      <c r="G362" t="inlineStr">
        <is>
          <t>ÖVERKALIX</t>
        </is>
      </c>
      <c r="I362" t="n">
        <v>6.9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54118-2025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45964</v>
      </c>
      <c r="E363" s="1" t="n">
        <v>46311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46272</v>
      </c>
      <c r="E364" s="1" t="n">
        <v>46311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45621</v>
      </c>
      <c r="E365" s="1" t="n">
        <v>46311</v>
      </c>
      <c r="F365" t="inlineStr">
        <is>
          <t>NORRBOTTENS LÄN</t>
        </is>
      </c>
      <c r="G365" t="inlineStr">
        <is>
          <t>ÖVERKALIX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45593</v>
      </c>
      <c r="E366" s="1" t="n">
        <v>46311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8.199999999999999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45218</v>
      </c>
      <c r="E367" s="1" t="n">
        <v>46311</v>
      </c>
      <c r="F367" t="inlineStr">
        <is>
          <t>NORRBOTTENS LÄN</t>
        </is>
      </c>
      <c r="G367" t="inlineStr">
        <is>
          <t>ÖVERKALIX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46230</v>
      </c>
      <c r="E368" s="1" t="n">
        <v>46311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46311</v>
      </c>
      <c r="F369" t="inlineStr">
        <is>
          <t>NORRBOTTENS LÄN</t>
        </is>
      </c>
      <c r="G369" t="inlineStr">
        <is>
          <t>ÖVERKALIX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46311</v>
      </c>
      <c r="F370" t="inlineStr">
        <is>
          <t>NORRBOTTENS LÄN</t>
        </is>
      </c>
      <c r="G370" t="inlineStr">
        <is>
          <t>ÖVERKALIX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43173-2023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46311</v>
      </c>
      <c r="F371" t="inlineStr">
        <is>
          <t>NORRBOTTENS LÄN</t>
        </is>
      </c>
      <c r="G371" t="inlineStr">
        <is>
          <t>ÖVERKALIX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46311</v>
      </c>
      <c r="F372" t="inlineStr">
        <is>
          <t>NORRBOTTENS LÄN</t>
        </is>
      </c>
      <c r="G372" t="inlineStr">
        <is>
          <t>ÖVERKALIX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46311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46311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37683-2026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46278</v>
      </c>
      <c r="E375" s="1" t="n">
        <v>46311</v>
      </c>
      <c r="F375" t="inlineStr">
        <is>
          <t>NORRBOTTENS LÄN</t>
        </is>
      </c>
      <c r="G375" t="inlineStr">
        <is>
          <t>ÖVERKALIX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38102-2026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46281</v>
      </c>
      <c r="E376" s="1" t="n">
        <v>46311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46311</v>
      </c>
      <c r="F377" t="inlineStr">
        <is>
          <t>NORRBOTTENS LÄN</t>
        </is>
      </c>
      <c r="G377" t="inlineStr">
        <is>
          <t>ÖVERKALIX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46281</v>
      </c>
      <c r="E378" s="1" t="n">
        <v>46311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46281</v>
      </c>
      <c r="E379" s="1" t="n">
        <v>46311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20.1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32382-2026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46238</v>
      </c>
      <c r="E380" s="1" t="n">
        <v>46311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45610</v>
      </c>
      <c r="E381" s="1" t="n">
        <v>46311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45667</v>
      </c>
      <c r="E382" s="1" t="n">
        <v>46311</v>
      </c>
      <c r="F382" t="inlineStr">
        <is>
          <t>NORRBOTTENS LÄN</t>
        </is>
      </c>
      <c r="G382" t="inlineStr">
        <is>
          <t>ÖVERKALIX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45463</v>
      </c>
      <c r="E383" s="1" t="n">
        <v>46311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46311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46311</v>
      </c>
      <c r="F385" t="inlineStr">
        <is>
          <t>NORRBOTTENS LÄN</t>
        </is>
      </c>
      <c r="G385" t="inlineStr">
        <is>
          <t>ÖVERKALIX</t>
        </is>
      </c>
      <c r="I385" t="n">
        <v>12.5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46311</v>
      </c>
      <c r="F386" t="inlineStr">
        <is>
          <t>NORRBOTTENS LÄN</t>
        </is>
      </c>
      <c r="G386" t="inlineStr">
        <is>
          <t>ÖVERKALIX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45554</v>
      </c>
      <c r="E387" s="1" t="n">
        <v>46311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46288</v>
      </c>
      <c r="E388" s="1" t="n">
        <v>46311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46311</v>
      </c>
      <c r="F389" t="inlineStr">
        <is>
          <t>NORRBOTTENS LÄN</t>
        </is>
      </c>
      <c r="G389" t="inlineStr">
        <is>
          <t>ÖVERKALIX</t>
        </is>
      </c>
      <c r="I389" t="n">
        <v>12.9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46287</v>
      </c>
      <c r="E390" s="1" t="n">
        <v>46311</v>
      </c>
      <c r="F390" t="inlineStr">
        <is>
          <t>NORRBOTTENS LÄN</t>
        </is>
      </c>
      <c r="G390" t="inlineStr">
        <is>
          <t>ÖVERKALIX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57744-2025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45981</v>
      </c>
      <c r="E391" s="1" t="n">
        <v>46311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32962-2026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46311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46247</v>
      </c>
      <c r="E393" s="1" t="n">
        <v>46311</v>
      </c>
      <c r="F393" t="inlineStr">
        <is>
          <t>NORRBOTTENS LÄN</t>
        </is>
      </c>
      <c r="G393" t="inlineStr">
        <is>
          <t>ÖVERKALIX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45548</v>
      </c>
      <c r="E394" s="1" t="n">
        <v>46311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45986</v>
      </c>
      <c r="E395" s="1" t="n">
        <v>46311</v>
      </c>
      <c r="F395" t="inlineStr">
        <is>
          <t>NORRBOTTENS LÄN</t>
        </is>
      </c>
      <c r="G395" t="inlineStr">
        <is>
          <t>ÖVERKALIX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45986</v>
      </c>
      <c r="E396" s="1" t="n">
        <v>46311</v>
      </c>
      <c r="F396" t="inlineStr">
        <is>
          <t>NORRBOTTENS LÄN</t>
        </is>
      </c>
      <c r="G396" t="inlineStr">
        <is>
          <t>ÖVERKALIX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46311</v>
      </c>
      <c r="F397" t="inlineStr">
        <is>
          <t>NORRBOTTENS LÄN</t>
        </is>
      </c>
      <c r="G397" t="inlineStr">
        <is>
          <t>ÖVERKALIX</t>
        </is>
      </c>
      <c r="I397" t="n">
        <v>16.1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46290</v>
      </c>
      <c r="E398" s="1" t="n">
        <v>46311</v>
      </c>
      <c r="F398" t="inlineStr">
        <is>
          <t>NORRBOTTENS LÄN</t>
        </is>
      </c>
      <c r="G398" t="inlineStr">
        <is>
          <t>ÖVERKALIX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46311</v>
      </c>
      <c r="F399" t="inlineStr">
        <is>
          <t>NORRBOTTENS LÄN</t>
        </is>
      </c>
      <c r="G399" t="inlineStr">
        <is>
          <t>ÖVERKALIX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33284-2026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46246</v>
      </c>
      <c r="E400" s="1" t="n">
        <v>46311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39471-2026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46288</v>
      </c>
      <c r="E401" s="1" t="n">
        <v>46311</v>
      </c>
      <c r="F401" t="inlineStr">
        <is>
          <t>NORRBOTTENS LÄN</t>
        </is>
      </c>
      <c r="G401" t="inlineStr">
        <is>
          <t>ÖVERKALIX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46311</v>
      </c>
      <c r="F402" t="inlineStr">
        <is>
          <t>NORRBOTTENS LÄN</t>
        </is>
      </c>
      <c r="G402" t="inlineStr">
        <is>
          <t>ÖVERKALIX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45782</v>
      </c>
      <c r="E403" s="1" t="n">
        <v>46311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46311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13.3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40281-2022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44820</v>
      </c>
      <c r="E405" s="1" t="n">
        <v>46311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40619-2022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44823</v>
      </c>
      <c r="E406" s="1" t="n">
        <v>46311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46311</v>
      </c>
      <c r="F407" t="inlineStr">
        <is>
          <t>NORRBOTTENS LÄN</t>
        </is>
      </c>
      <c r="G407" t="inlineStr">
        <is>
          <t>ÖVERKALIX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46311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60215-2025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46311</v>
      </c>
      <c r="F409" t="inlineStr">
        <is>
          <t>NORRBOTTENS LÄN</t>
        </is>
      </c>
      <c r="G409" t="inlineStr">
        <is>
          <t>ÖVERKALIX</t>
        </is>
      </c>
      <c r="I409" t="n">
        <v>9.5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45996</v>
      </c>
      <c r="E410" s="1" t="n">
        <v>46311</v>
      </c>
      <c r="F410" t="inlineStr">
        <is>
          <t>NORRBOTTENS LÄN</t>
        </is>
      </c>
      <c r="G410" t="inlineStr">
        <is>
          <t>ÖVERKALIX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45785</v>
      </c>
      <c r="E411" s="1" t="n">
        <v>46311</v>
      </c>
      <c r="F411" t="inlineStr">
        <is>
          <t>NORRBOTTENS LÄN</t>
        </is>
      </c>
      <c r="G411" t="inlineStr">
        <is>
          <t>ÖVERKALIX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60815-2025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46311</v>
      </c>
      <c r="F412" t="inlineStr">
        <is>
          <t>NORRBOTTENS LÄN</t>
        </is>
      </c>
      <c r="G412" t="inlineStr">
        <is>
          <t>ÖVERKALIX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46311</v>
      </c>
      <c r="F413" t="inlineStr">
        <is>
          <t>NORRBOTTENS LÄN</t>
        </is>
      </c>
      <c r="G413" t="inlineStr">
        <is>
          <t>ÖVERKALIX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60890-2025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46311</v>
      </c>
      <c r="F414" t="inlineStr">
        <is>
          <t>NORRBOTTENS LÄN</t>
        </is>
      </c>
      <c r="G414" t="inlineStr">
        <is>
          <t>ÖVERKALIX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46311</v>
      </c>
      <c r="F415" t="inlineStr">
        <is>
          <t>NORRBOTTENS LÄN</t>
        </is>
      </c>
      <c r="G415" t="inlineStr">
        <is>
          <t>ÖVERKALIX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60809-2025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46311</v>
      </c>
      <c r="F416" t="inlineStr">
        <is>
          <t>NORRBOTTENS LÄN</t>
        </is>
      </c>
      <c r="G416" t="inlineStr">
        <is>
          <t>ÖVERKALIX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39658-2025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45890</v>
      </c>
      <c r="E417" s="1" t="n">
        <v>46311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13.4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46311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61706-2025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46002</v>
      </c>
      <c r="E419" s="1" t="n">
        <v>46311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46295</v>
      </c>
      <c r="E420" s="1" t="n">
        <v>46311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33927-2026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46311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46296</v>
      </c>
      <c r="E422" s="1" t="n">
        <v>46311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46296</v>
      </c>
      <c r="E423" s="1" t="n">
        <v>46311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27.1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26450-2025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46311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32933-2026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46244</v>
      </c>
      <c r="E425" s="1" t="n">
        <v>46311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46311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46311</v>
      </c>
      <c r="F427" t="inlineStr">
        <is>
          <t>NORRBOTTENS LÄN</t>
        </is>
      </c>
      <c r="G427" t="inlineStr">
        <is>
          <t>ÖVERKALIX</t>
        </is>
      </c>
      <c r="I427" t="n">
        <v>9.800000000000001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40980-2026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46297</v>
      </c>
      <c r="E428" s="1" t="n">
        <v>46311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46013</v>
      </c>
      <c r="E429" s="1" t="n">
        <v>46311</v>
      </c>
      <c r="F429" t="inlineStr">
        <is>
          <t>NORRBOTTENS LÄN</t>
        </is>
      </c>
      <c r="G429" t="inlineStr">
        <is>
          <t>ÖVERKALIX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63454-2025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46013</v>
      </c>
      <c r="E430" s="1" t="n">
        <v>46311</v>
      </c>
      <c r="F430" t="inlineStr">
        <is>
          <t>NORRBOTTENS LÄN</t>
        </is>
      </c>
      <c r="G430" t="inlineStr">
        <is>
          <t>ÖVERKALIX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46311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34239-2026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46253</v>
      </c>
      <c r="E432" s="1" t="n">
        <v>46311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63545-2025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46311</v>
      </c>
      <c r="F433" t="inlineStr">
        <is>
          <t>NORRBOTTENS LÄN</t>
        </is>
      </c>
      <c r="G433" t="inlineStr">
        <is>
          <t>ÖVERKALIX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45793</v>
      </c>
      <c r="E434" s="1" t="n">
        <v>46311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8.5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46311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33.7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46311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9.199999999999999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24144-2025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45796</v>
      </c>
      <c r="E437" s="1" t="n">
        <v>46311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24141-2025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45796</v>
      </c>
      <c r="E438" s="1" t="n">
        <v>46311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46311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46311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46311</v>
      </c>
      <c r="F441" t="inlineStr">
        <is>
          <t>NORRBOTTENS LÄN</t>
        </is>
      </c>
      <c r="G441" t="inlineStr">
        <is>
          <t>ÖVERKALIX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46311</v>
      </c>
      <c r="F442" t="inlineStr">
        <is>
          <t>NORRBOTTENS LÄN</t>
        </is>
      </c>
      <c r="G442" t="inlineStr">
        <is>
          <t>ÖVERKALIX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46311</v>
      </c>
      <c r="F443" t="inlineStr">
        <is>
          <t>NORRBOTTENS LÄN</t>
        </is>
      </c>
      <c r="G443" t="inlineStr">
        <is>
          <t>ÖVERKALIX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46311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46301</v>
      </c>
      <c r="E445" s="1" t="n">
        <v>46311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41508-2026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46301</v>
      </c>
      <c r="E446" s="1" t="n">
        <v>46311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46301</v>
      </c>
      <c r="E447" s="1" t="n">
        <v>46311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42152-2026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46304</v>
      </c>
      <c r="E448" s="1" t="n">
        <v>46311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46303</v>
      </c>
      <c r="E449" s="1" t="n">
        <v>46311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42151-2026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46304</v>
      </c>
      <c r="E450" s="1" t="n">
        <v>46311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35191-2026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46260</v>
      </c>
      <c r="E451" s="1" t="n">
        <v>46311</v>
      </c>
      <c r="F451" t="inlineStr">
        <is>
          <t>NORRBOTTENS LÄN</t>
        </is>
      </c>
      <c r="G451" t="inlineStr">
        <is>
          <t>ÖVERKALIX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46260</v>
      </c>
      <c r="E452" s="1" t="n">
        <v>46311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46311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35226-2026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46260</v>
      </c>
      <c r="E454" s="1" t="n">
        <v>46311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15491-2025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46311</v>
      </c>
      <c r="F455" t="inlineStr">
        <is>
          <t>NORRBOTTENS LÄN</t>
        </is>
      </c>
      <c r="G455" t="inlineStr">
        <is>
          <t>ÖVERKALIX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46260</v>
      </c>
      <c r="E456" s="1" t="n">
        <v>46311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46311</v>
      </c>
      <c r="F457" t="inlineStr">
        <is>
          <t>NORRBOTTENS LÄN</t>
        </is>
      </c>
      <c r="G457" t="inlineStr">
        <is>
          <t>ÖVERKALIX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46311</v>
      </c>
      <c r="F458" t="inlineStr">
        <is>
          <t>NORRBOTTENS LÄN</t>
        </is>
      </c>
      <c r="G458" t="inlineStr">
        <is>
          <t>ÖVERKALIX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45712</v>
      </c>
      <c r="E459" s="1" t="n">
        <v>46311</v>
      </c>
      <c r="F459" t="inlineStr">
        <is>
          <t>NORRBOTTENS LÄN</t>
        </is>
      </c>
      <c r="G459" t="inlineStr">
        <is>
          <t>ÖVERKALIX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42109-2026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46304</v>
      </c>
      <c r="E460" s="1" t="n">
        <v>46311</v>
      </c>
      <c r="F460" t="inlineStr">
        <is>
          <t>NORRBOTTENS LÄN</t>
        </is>
      </c>
      <c r="G460" t="inlineStr">
        <is>
          <t>ÖVERKALIX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46307</v>
      </c>
      <c r="E461" s="1" t="n">
        <v>46311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20.1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4678-2026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46311</v>
      </c>
      <c r="F462" t="inlineStr">
        <is>
          <t>NORRBOTTENS LÄN</t>
        </is>
      </c>
      <c r="G462" t="inlineStr">
        <is>
          <t>ÖVERKALIX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42490-2026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46308</v>
      </c>
      <c r="E463" s="1" t="n">
        <v>46311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46311</v>
      </c>
      <c r="F464" t="inlineStr">
        <is>
          <t>NORRBOTTENS LÄN</t>
        </is>
      </c>
      <c r="G464" t="inlineStr">
        <is>
          <t>ÖVERKALIX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46269</v>
      </c>
      <c r="E465" s="1" t="n">
        <v>46311</v>
      </c>
      <c r="F465" t="inlineStr">
        <is>
          <t>NORRBOTTENS LÄN</t>
        </is>
      </c>
      <c r="G465" t="inlineStr">
        <is>
          <t>ÖVERKALIX</t>
        </is>
      </c>
      <c r="I465" t="n">
        <v>8.300000000000001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46311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42642-2026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46309</v>
      </c>
      <c r="E467" s="1" t="n">
        <v>46311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42977-2026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46310</v>
      </c>
      <c r="E468" s="1" t="n">
        <v>46311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46311</v>
      </c>
      <c r="F469" t="inlineStr">
        <is>
          <t>NORRBOTTENS LÄN</t>
        </is>
      </c>
      <c r="G469" t="inlineStr">
        <is>
          <t>ÖVERKALIX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46266</v>
      </c>
      <c r="E470" s="1" t="n">
        <v>46311</v>
      </c>
      <c r="F470" t="inlineStr">
        <is>
          <t>NORRBOTTENS LÄN</t>
        </is>
      </c>
      <c r="G470" t="inlineStr">
        <is>
          <t>ÖVERKALIX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36141-2026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46311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46311</v>
      </c>
      <c r="F472" t="inlineStr">
        <is>
          <t>NORRBOTTENS LÄN</t>
        </is>
      </c>
      <c r="G472" t="inlineStr">
        <is>
          <t>ÖVERKALIX</t>
        </is>
      </c>
      <c r="I472" t="n">
        <v>10.8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28343-2025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45818</v>
      </c>
      <c r="E473" s="1" t="n">
        <v>46311</v>
      </c>
      <c r="F473" t="inlineStr">
        <is>
          <t>NORRBOTTENS LÄN</t>
        </is>
      </c>
      <c r="G473" t="inlineStr">
        <is>
          <t>ÖVERKALIX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46080</v>
      </c>
      <c r="E474" s="1" t="n">
        <v>46311</v>
      </c>
      <c r="F474" t="inlineStr">
        <is>
          <t>NORRBOTTENS LÄN</t>
        </is>
      </c>
      <c r="G474" t="inlineStr">
        <is>
          <t>ÖVERKALIX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46080</v>
      </c>
      <c r="E475" s="1" t="n">
        <v>46311</v>
      </c>
      <c r="F475" t="inlineStr">
        <is>
          <t>NORRBOTTENS LÄN</t>
        </is>
      </c>
      <c r="G475" t="inlineStr">
        <is>
          <t>ÖVERKALIX</t>
        </is>
      </c>
      <c r="I475" t="n">
        <v>9.800000000000001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46311</v>
      </c>
      <c r="F476" t="inlineStr">
        <is>
          <t>NORRBOTTENS LÄN</t>
        </is>
      </c>
      <c r="G476" t="inlineStr">
        <is>
          <t>ÖVERKALIX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46311</v>
      </c>
      <c r="F477" t="inlineStr">
        <is>
          <t>NORRBOTTENS LÄN</t>
        </is>
      </c>
      <c r="G477" t="inlineStr">
        <is>
          <t>ÖVERKALIX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46084</v>
      </c>
      <c r="E478" s="1" t="n">
        <v>46311</v>
      </c>
      <c r="F478" t="inlineStr">
        <is>
          <t>NORRBOTTENS LÄN</t>
        </is>
      </c>
      <c r="G478" t="inlineStr">
        <is>
          <t>ÖVERKALIX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46084</v>
      </c>
      <c r="E479" s="1" t="n">
        <v>46311</v>
      </c>
      <c r="F479" t="inlineStr">
        <is>
          <t>NORRBOTTENS LÄN</t>
        </is>
      </c>
      <c r="G479" t="inlineStr">
        <is>
          <t>ÖVERKALIX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46311</v>
      </c>
      <c r="F480" t="inlineStr">
        <is>
          <t>NORRBOTTENS LÄN</t>
        </is>
      </c>
      <c r="G480" t="inlineStr">
        <is>
          <t>ÖVERKALIX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46084</v>
      </c>
      <c r="E481" s="1" t="n">
        <v>46311</v>
      </c>
      <c r="F481" t="inlineStr">
        <is>
          <t>NORRBOTTENS LÄN</t>
        </is>
      </c>
      <c r="G481" t="inlineStr">
        <is>
          <t>ÖVERKALIX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12277-2026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46087</v>
      </c>
      <c r="E482" s="1" t="n">
        <v>46311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46311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SCA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3721-2022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44741</v>
      </c>
      <c r="E484" s="1" t="n">
        <v>46311</v>
      </c>
      <c r="F484" t="inlineStr">
        <is>
          <t>NORRBOTTENS LÄN</t>
        </is>
      </c>
      <c r="G484" t="inlineStr">
        <is>
          <t>ÖVERKALIX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2792-2024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45485</v>
      </c>
      <c r="E485" s="1" t="n">
        <v>46311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2700-2024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45482</v>
      </c>
      <c r="E486" s="1" t="n">
        <v>46311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4734-2024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45607</v>
      </c>
      <c r="E487" s="1" t="n">
        <v>46311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1178-2025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45756</v>
      </c>
      <c r="E488" s="1" t="n">
        <v>46311</v>
      </c>
      <c r="F488" t="inlineStr">
        <is>
          <t>NORRBOTTENS LÄN</t>
        </is>
      </c>
      <c r="G488" t="inlineStr">
        <is>
          <t>ÖVERKALIX</t>
        </is>
      </c>
      <c r="I488" t="n">
        <v>39.9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1667-2025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45800</v>
      </c>
      <c r="E489" s="1" t="n">
        <v>46311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SCA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50-2026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46030</v>
      </c>
      <c r="E490" s="1" t="n">
        <v>46311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2026-10-16T02:21:41Z</dcterms:created>
  <dcterms:modified xmlns:dcterms="http://purl.org/dc/terms/" xmlns:xsi="http://www.w3.org/2001/XMLSchema-instance" xsi:type="dcterms:W3CDTF">2026-10-16T02:21:41Z</dcterms:modified>
</cp:coreProperties>
</file>