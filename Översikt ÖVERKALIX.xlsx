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46303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46303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46303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46303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46303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46303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46303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46303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46303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46303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46303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46303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46303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46303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46303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46303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46303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46303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46303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30525-2025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45831</v>
      </c>
      <c r="E21" s="1" t="n">
        <v>46303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5.3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Gammelgransskål
Bollvitmossa
Järpe</t>
        </is>
      </c>
      <c r="W21">
        <f>HYPERLINK("https://klasma.github.io/Logging_2513/artfynd/A 30525-2025 artfynd.xlsx", "A 30525-2025")</f>
        <v/>
      </c>
      <c r="X21">
        <f>HYPERLINK("https://klasma.github.io/Logging_2513/kartor/A 30525-2025 karta.png", "A 30525-2025")</f>
        <v/>
      </c>
      <c r="Y21">
        <f>HYPERLINK("https://klasma.github.io/Logging_2513/kartor_geotiff/A 30525-2025 georefererad karta.tif", "A 30525-2025")</f>
        <v/>
      </c>
      <c r="AA21">
        <f>HYPERLINK("https://klasma.github.io/Logging_2513/klagomål/A 30525-2025 FSC-klagomål.docx", "A 30525-2025")</f>
        <v/>
      </c>
      <c r="AB21">
        <f>HYPERLINK("https://klasma.github.io/Logging_2513/klagomålsmail/A 30525-2025 FSC-klagomål mail.docx", "A 30525-2025")</f>
        <v/>
      </c>
      <c r="AC21">
        <f>HYPERLINK("https://klasma.github.io/Logging_2513/tillsyn/A 30525-2025 tillsynsbegäran.docx", "A 30525-2025")</f>
        <v/>
      </c>
      <c r="AD21">
        <f>HYPERLINK("https://klasma.github.io/Logging_2513/tillsynsmail/A 30525-2025 tillsynsbegäran mail.docx", "A 30525-2025")</f>
        <v/>
      </c>
      <c r="AE21">
        <f>HYPERLINK("https://klasma.github.io/Logging_2513/fåglar/A 30525-2025 prioriterade fågelarter.docx", "A 30525-2025")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46303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46303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17802-2025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45758</v>
      </c>
      <c r="E24" s="1" t="n">
        <v>46303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1.6</v>
      </c>
      <c r="J24" t="n">
        <v>2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Hökuggla
Älg
Tjäder</t>
        </is>
      </c>
      <c r="W24">
        <f>HYPERLINK("https://klasma.github.io/Logging_2513/artfynd/A 17802-2025 artfynd.xlsx", "A 17802-2025")</f>
        <v/>
      </c>
      <c r="X24">
        <f>HYPERLINK("https://klasma.github.io/Logging_2513/kartor/A 17802-2025 karta.png", "A 17802-2025")</f>
        <v/>
      </c>
      <c r="Y24">
        <f>HYPERLINK("https://klasma.github.io/Logging_2513/kartor_geotiff/A 17802-2025 georefererad karta.tif", "A 17802-2025")</f>
        <v/>
      </c>
      <c r="AA24">
        <f>HYPERLINK("https://klasma.github.io/Logging_2513/klagomål/A 17802-2025 FSC-klagomål.docx", "A 17802-2025")</f>
        <v/>
      </c>
      <c r="AB24">
        <f>HYPERLINK("https://klasma.github.io/Logging_2513/klagomålsmail/A 17802-2025 FSC-klagomål mail.docx", "A 17802-2025")</f>
        <v/>
      </c>
      <c r="AC24">
        <f>HYPERLINK("https://klasma.github.io/Logging_2513/tillsyn/A 17802-2025 tillsynsbegäran.docx", "A 17802-2025")</f>
        <v/>
      </c>
      <c r="AD24">
        <f>HYPERLINK("https://klasma.github.io/Logging_2513/tillsynsmail/A 17802-2025 tillsynsbegäran mail.docx", "A 17802-2025")</f>
        <v/>
      </c>
      <c r="AE24">
        <f>HYPERLINK("https://klasma.github.io/Logging_2513/fåglar/A 17802-2025 prioriterade fågelarter.docx", "A 17802-2025")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46303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46303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13467-2022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46303</v>
      </c>
      <c r="F27" t="inlineStr">
        <is>
          <t>NORRBOTTENS LÄN</t>
        </is>
      </c>
      <c r="G27" t="inlineStr">
        <is>
          <t>ÖVERKALIX</t>
        </is>
      </c>
      <c r="I27" t="n">
        <v>6.8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Jorduggla
Järpe
Revlummer</t>
        </is>
      </c>
      <c r="W27">
        <f>HYPERLINK("https://klasma.github.io/Logging_2513/artfynd/A 13467-2022 artfynd.xlsx", "A 13467-2022")</f>
        <v/>
      </c>
      <c r="X27">
        <f>HYPERLINK("https://klasma.github.io/Logging_2513/kartor/A 13467-2022 karta.png", "A 13467-2022")</f>
        <v/>
      </c>
      <c r="Y27">
        <f>HYPERLINK("https://klasma.github.io/Logging_2513/kartor_geotiff/A 13467-2022 georefererad karta.tif", "A 13467-2022")</f>
        <v/>
      </c>
      <c r="AA27">
        <f>HYPERLINK("https://klasma.github.io/Logging_2513/klagomål/A 13467-2022 FSC-klagomål.docx", "A 13467-2022")</f>
        <v/>
      </c>
      <c r="AB27">
        <f>HYPERLINK("https://klasma.github.io/Logging_2513/klagomålsmail/A 13467-2022 FSC-klagomål mail.docx", "A 13467-2022")</f>
        <v/>
      </c>
      <c r="AC27">
        <f>HYPERLINK("https://klasma.github.io/Logging_2513/tillsyn/A 13467-2022 tillsynsbegäran.docx", "A 13467-2022")</f>
        <v/>
      </c>
      <c r="AD27">
        <f>HYPERLINK("https://klasma.github.io/Logging_2513/tillsynsmail/A 13467-2022 tillsynsbegäran mail.docx", "A 13467-2022")</f>
        <v/>
      </c>
      <c r="AE27">
        <f>HYPERLINK("https://klasma.github.io/Logging_2513/fåglar/A 13467-2022 prioriterade fågelarter.docx", "A 13467-2022")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46303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46303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40706-2023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45170</v>
      </c>
      <c r="E30" s="1" t="n">
        <v>46303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7.1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Knärot
Dropptaggsvamp</t>
        </is>
      </c>
      <c r="W30">
        <f>HYPERLINK("https://klasma.github.io/Logging_2513/artfynd/A 40706-2023 artfynd.xlsx", "A 40706-2023")</f>
        <v/>
      </c>
      <c r="X30">
        <f>HYPERLINK("https://klasma.github.io/Logging_2513/kartor/A 40706-2023 karta.png", "A 40706-2023")</f>
        <v/>
      </c>
      <c r="Y30">
        <f>HYPERLINK("https://klasma.github.io/Logging_2513/kartor_geotiff/A 40706-2023 georefererad karta.tif", "A 40706-2023")</f>
        <v/>
      </c>
      <c r="Z30">
        <f>HYPERLINK("https://klasma.github.io/Logging_2513/knärot/A 40706-2023 karta knärot.png", "A 40706-2023")</f>
        <v/>
      </c>
      <c r="AA30">
        <f>HYPERLINK("https://klasma.github.io/Logging_2513/klagomål/A 40706-2023 FSC-klagomål.docx", "A 40706-2023")</f>
        <v/>
      </c>
      <c r="AB30">
        <f>HYPERLINK("https://klasma.github.io/Logging_2513/klagomålsmail/A 40706-2023 FSC-klagomål mail.docx", "A 40706-2023")</f>
        <v/>
      </c>
      <c r="AC30">
        <f>HYPERLINK("https://klasma.github.io/Logging_2513/tillsyn/A 40706-2023 tillsynsbegäran.docx", "A 40706-2023")</f>
        <v/>
      </c>
      <c r="AD30">
        <f>HYPERLINK("https://klasma.github.io/Logging_2513/tillsynsmail/A 40706-2023 tillsynsbegäran mail.docx", "A 40706-2023")</f>
        <v/>
      </c>
    </row>
    <row r="31" ht="15" customHeight="1">
      <c r="A31" t="inlineStr">
        <is>
          <t>A 5797-2022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46303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Skarp dropptaggsvamp
Violmussling</t>
        </is>
      </c>
      <c r="W31">
        <f>HYPERLINK("https://klasma.github.io/Logging_2513/artfynd/A 5797-2022 artfynd.xlsx", "A 5797-2022")</f>
        <v/>
      </c>
      <c r="X31">
        <f>HYPERLINK("https://klasma.github.io/Logging_2513/kartor/A 5797-2022 karta.png", "A 5797-2022")</f>
        <v/>
      </c>
      <c r="Y31">
        <f>HYPERLINK("https://klasma.github.io/Logging_2513/kartor_geotiff/A 5797-2022 georefererad karta.tif", "A 5797-2022")</f>
        <v/>
      </c>
      <c r="AA31">
        <f>HYPERLINK("https://klasma.github.io/Logging_2513/klagomål/A 5797-2022 FSC-klagomål.docx", "A 5797-2022")</f>
        <v/>
      </c>
      <c r="AB31">
        <f>HYPERLINK("https://klasma.github.io/Logging_2513/klagomålsmail/A 5797-2022 FSC-klagomål mail.docx", "A 5797-2022")</f>
        <v/>
      </c>
      <c r="AC31">
        <f>HYPERLINK("https://klasma.github.io/Logging_2513/tillsyn/A 5797-2022 tillsynsbegäran.docx", "A 5797-2022")</f>
        <v/>
      </c>
      <c r="AD31">
        <f>HYPERLINK("https://klasma.github.io/Logging_2513/tillsynsmail/A 5797-2022 tillsynsbegäran mail.docx", "A 5797-2022")</f>
        <v/>
      </c>
    </row>
    <row r="32" ht="15" customHeight="1">
      <c r="A32" t="inlineStr">
        <is>
          <t>A 36378-2024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46303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21.5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Lunglav
Fläcknycklar</t>
        </is>
      </c>
      <c r="W32">
        <f>HYPERLINK("https://klasma.github.io/Logging_2513/artfynd/A 36378-2024 artfynd.xlsx", "A 36378-2024")</f>
        <v/>
      </c>
      <c r="X32">
        <f>HYPERLINK("https://klasma.github.io/Logging_2513/kartor/A 36378-2024 karta.png", "A 36378-2024")</f>
        <v/>
      </c>
      <c r="Y32">
        <f>HYPERLINK("https://klasma.github.io/Logging_2513/kartor_geotiff/A 36378-2024 georefererad karta.tif", "A 36378-2024")</f>
        <v/>
      </c>
      <c r="AA32">
        <f>HYPERLINK("https://klasma.github.io/Logging_2513/klagomål/A 36378-2024 FSC-klagomål.docx", "A 36378-2024")</f>
        <v/>
      </c>
      <c r="AB32">
        <f>HYPERLINK("https://klasma.github.io/Logging_2513/klagomålsmail/A 36378-2024 FSC-klagomål mail.docx", "A 36378-2024")</f>
        <v/>
      </c>
      <c r="AC32">
        <f>HYPERLINK("https://klasma.github.io/Logging_2513/tillsyn/A 36378-2024 tillsynsbegäran.docx", "A 36378-2024")</f>
        <v/>
      </c>
      <c r="AD32">
        <f>HYPERLINK("https://klasma.github.io/Logging_2513/tillsynsmail/A 36378-2024 tillsynsbegäran mail.docx", "A 36378-2024")</f>
        <v/>
      </c>
    </row>
    <row r="33" ht="15" customHeight="1">
      <c r="A33" t="inlineStr">
        <is>
          <t>A 36381-2024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45534</v>
      </c>
      <c r="E33" s="1" t="n">
        <v>46303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26.7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Gammelgransskål
Orre</t>
        </is>
      </c>
      <c r="W33">
        <f>HYPERLINK("https://klasma.github.io/Logging_2513/artfynd/A 36381-2024 artfynd.xlsx", "A 36381-2024")</f>
        <v/>
      </c>
      <c r="X33">
        <f>HYPERLINK("https://klasma.github.io/Logging_2513/kartor/A 36381-2024 karta.png", "A 36381-2024")</f>
        <v/>
      </c>
      <c r="Y33">
        <f>HYPERLINK("https://klasma.github.io/Logging_2513/kartor_geotiff/A 36381-2024 georefererad karta.tif", "A 36381-2024")</f>
        <v/>
      </c>
      <c r="AA33">
        <f>HYPERLINK("https://klasma.github.io/Logging_2513/klagomål/A 36381-2024 FSC-klagomål.docx", "A 36381-2024")</f>
        <v/>
      </c>
      <c r="AB33">
        <f>HYPERLINK("https://klasma.github.io/Logging_2513/klagomålsmail/A 36381-2024 FSC-klagomål mail.docx", "A 36381-2024")</f>
        <v/>
      </c>
      <c r="AC33">
        <f>HYPERLINK("https://klasma.github.io/Logging_2513/tillsyn/A 36381-2024 tillsynsbegäran.docx", "A 36381-2024")</f>
        <v/>
      </c>
      <c r="AD33">
        <f>HYPERLINK("https://klasma.github.io/Logging_2513/tillsynsmail/A 36381-2024 tillsynsbegäran mail.docx", "A 36381-2024")</f>
        <v/>
      </c>
      <c r="AE33">
        <f>HYPERLINK("https://klasma.github.io/Logging_2513/fåglar/A 36381-2024 prioriterade fågelarter.docx", "A 36381-2024")</f>
        <v/>
      </c>
    </row>
    <row r="34" ht="15" customHeight="1">
      <c r="A34" t="inlineStr">
        <is>
          <t>A 60509-2021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44496</v>
      </c>
      <c r="E34" s="1" t="n">
        <v>46303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13.5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Stor aspticka
Vedticka</t>
        </is>
      </c>
      <c r="W34">
        <f>HYPERLINK("https://klasma.github.io/Logging_2513/artfynd/A 60509-2021 artfynd.xlsx", "A 60509-2021")</f>
        <v/>
      </c>
      <c r="X34">
        <f>HYPERLINK("https://klasma.github.io/Logging_2513/kartor/A 60509-2021 karta.png", "A 60509-2021")</f>
        <v/>
      </c>
      <c r="Y34">
        <f>HYPERLINK("https://klasma.github.io/Logging_2513/kartor_geotiff/A 60509-2021 georefererad karta.tif", "A 60509-2021")</f>
        <v/>
      </c>
      <c r="AA34">
        <f>HYPERLINK("https://klasma.github.io/Logging_2513/klagomål/A 60509-2021 FSC-klagomål.docx", "A 60509-2021")</f>
        <v/>
      </c>
      <c r="AB34">
        <f>HYPERLINK("https://klasma.github.io/Logging_2513/klagomålsmail/A 60509-2021 FSC-klagomål mail.docx", "A 60509-2021")</f>
        <v/>
      </c>
      <c r="AC34">
        <f>HYPERLINK("https://klasma.github.io/Logging_2513/tillsyn/A 60509-2021 tillsynsbegäran.docx", "A 60509-2021")</f>
        <v/>
      </c>
      <c r="AD34">
        <f>HYPERLINK("https://klasma.github.io/Logging_2513/tillsynsmail/A 60509-2021 tillsynsbegäran mail.docx", "A 60509-2021")</f>
        <v/>
      </c>
    </row>
    <row r="35" ht="15" customHeight="1">
      <c r="A35" t="inlineStr">
        <is>
          <t>A 40116-2025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46303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29.7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5</v>
      </c>
      <c r="U35" t="n">
        <v>3</v>
      </c>
      <c r="V35" s="2" t="inlineStr">
        <is>
          <t>Lunglav
Skrovellav</t>
        </is>
      </c>
      <c r="W35">
        <f>HYPERLINK("https://klasma.github.io/Logging_2513/artfynd/A 40116-2025 artfynd.xlsx", "A 40116-2025")</f>
        <v/>
      </c>
      <c r="X35">
        <f>HYPERLINK("https://klasma.github.io/Logging_2513/kartor/A 40116-2025 karta.png", "A 40116-2025")</f>
        <v/>
      </c>
      <c r="Y35">
        <f>HYPERLINK("https://klasma.github.io/Logging_2513/kartor_geotiff/A 40116-2025 georefererad karta.tif", "A 40116-2025")</f>
        <v/>
      </c>
      <c r="AA35">
        <f>HYPERLINK("https://klasma.github.io/Logging_2513/klagomål/A 40116-2025 FSC-klagomål.docx", "A 40116-2025")</f>
        <v/>
      </c>
      <c r="AB35">
        <f>HYPERLINK("https://klasma.github.io/Logging_2513/klagomålsmail/A 40116-2025 FSC-klagomål mail.docx", "A 40116-2025")</f>
        <v/>
      </c>
      <c r="AC35">
        <f>HYPERLINK("https://klasma.github.io/Logging_2513/tillsyn/A 40116-2025 tillsynsbegäran.docx", "A 40116-2025")</f>
        <v/>
      </c>
      <c r="AD35">
        <f>HYPERLINK("https://klasma.github.io/Logging_2513/tillsynsmail/A 40116-2025 tillsynsbegäran mail.docx", "A 40116-2025")</f>
        <v/>
      </c>
    </row>
    <row r="36" ht="15" customHeight="1">
      <c r="A36" t="inlineStr">
        <is>
          <t>A 42285-2025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45904</v>
      </c>
      <c r="E36" s="1" t="n">
        <v>46303</v>
      </c>
      <c r="F36" t="inlineStr">
        <is>
          <t>NORRBOTTENS LÄN</t>
        </is>
      </c>
      <c r="G36" t="inlineStr">
        <is>
          <t>ÖVERKALIX</t>
        </is>
      </c>
      <c r="I36" t="n">
        <v>0.3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Kungsfågel
Vanlig padda</t>
        </is>
      </c>
      <c r="W36">
        <f>HYPERLINK("https://klasma.github.io/Logging_2513/artfynd/A 42285-2025 artfynd.xlsx", "A 42285-2025")</f>
        <v/>
      </c>
      <c r="X36">
        <f>HYPERLINK("https://klasma.github.io/Logging_2513/kartor/A 42285-2025 karta.png", "A 42285-2025")</f>
        <v/>
      </c>
      <c r="Y36">
        <f>HYPERLINK("https://klasma.github.io/Logging_2513/kartor_geotiff/A 42285-2025 georefererad karta.tif", "A 42285-2025")</f>
        <v/>
      </c>
      <c r="AA36">
        <f>HYPERLINK("https://klasma.github.io/Logging_2513/klagomål/A 42285-2025 FSC-klagomål.docx", "A 42285-2025")</f>
        <v/>
      </c>
      <c r="AB36">
        <f>HYPERLINK("https://klasma.github.io/Logging_2513/klagomålsmail/A 42285-2025 FSC-klagomål mail.docx", "A 42285-2025")</f>
        <v/>
      </c>
      <c r="AC36">
        <f>HYPERLINK("https://klasma.github.io/Logging_2513/tillsyn/A 42285-2025 tillsynsbegäran.docx", "A 42285-2025")</f>
        <v/>
      </c>
      <c r="AD36">
        <f>HYPERLINK("https://klasma.github.io/Logging_2513/tillsynsmail/A 42285-2025 tillsynsbegäran mail.docx", "A 42285-2025")</f>
        <v/>
      </c>
    </row>
    <row r="37" ht="15" customHeight="1">
      <c r="A37" t="inlineStr">
        <is>
          <t>A 26452-2025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45807</v>
      </c>
      <c r="E37" s="1" t="n">
        <v>46303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1.2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Gammelgransskål
Stor aspticka</t>
        </is>
      </c>
      <c r="W37">
        <f>HYPERLINK("https://klasma.github.io/Logging_2513/artfynd/A 26452-2025 artfynd.xlsx", "A 26452-2025")</f>
        <v/>
      </c>
      <c r="X37">
        <f>HYPERLINK("https://klasma.github.io/Logging_2513/kartor/A 26452-2025 karta.png", "A 26452-2025")</f>
        <v/>
      </c>
      <c r="Y37">
        <f>HYPERLINK("https://klasma.github.io/Logging_2513/kartor_geotiff/A 26452-2025 georefererad karta.tif", "A 26452-2025")</f>
        <v/>
      </c>
      <c r="AA37">
        <f>HYPERLINK("https://klasma.github.io/Logging_2513/klagomål/A 26452-2025 FSC-klagomål.docx", "A 26452-2025")</f>
        <v/>
      </c>
      <c r="AB37">
        <f>HYPERLINK("https://klasma.github.io/Logging_2513/klagomålsmail/A 26452-2025 FSC-klagomål mail.docx", "A 26452-2025")</f>
        <v/>
      </c>
      <c r="AC37">
        <f>HYPERLINK("https://klasma.github.io/Logging_2513/tillsyn/A 26452-2025 tillsynsbegäran.docx", "A 26452-2025")</f>
        <v/>
      </c>
      <c r="AD37">
        <f>HYPERLINK("https://klasma.github.io/Logging_2513/tillsynsmail/A 26452-2025 tillsynsbegäran mail.docx", "A 26452-2025")</f>
        <v/>
      </c>
    </row>
    <row r="38" ht="15" customHeight="1">
      <c r="A38" t="inlineStr">
        <is>
          <t>A 34921-2025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46303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16.4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Lunglav</t>
        </is>
      </c>
      <c r="W38">
        <f>HYPERLINK("https://klasma.github.io/Logging_2513/artfynd/A 34921-2025 artfynd.xlsx", "A 34921-2025")</f>
        <v/>
      </c>
      <c r="X38">
        <f>HYPERLINK("https://klasma.github.io/Logging_2513/kartor/A 34921-2025 karta.png", "A 34921-2025")</f>
        <v/>
      </c>
      <c r="Y38">
        <f>HYPERLINK("https://klasma.github.io/Logging_2513/kartor_geotiff/A 34921-2025 georefererad karta.tif", "A 34921-2025")</f>
        <v/>
      </c>
      <c r="AA38">
        <f>HYPERLINK("https://klasma.github.io/Logging_2513/klagomål/A 34921-2025 FSC-klagomål.docx", "A 34921-2025")</f>
        <v/>
      </c>
      <c r="AB38">
        <f>HYPERLINK("https://klasma.github.io/Logging_2513/klagomålsmail/A 34921-2025 FSC-klagomål mail.docx", "A 34921-2025")</f>
        <v/>
      </c>
      <c r="AC38">
        <f>HYPERLINK("https://klasma.github.io/Logging_2513/tillsyn/A 34921-2025 tillsynsbegäran.docx", "A 34921-2025")</f>
        <v/>
      </c>
      <c r="AD38">
        <f>HYPERLINK("https://klasma.github.io/Logging_2513/tillsynsmail/A 34921-2025 tillsynsbegäran mail.docx", "A 34921-2025")</f>
        <v/>
      </c>
    </row>
    <row r="39" ht="15" customHeight="1">
      <c r="A39" t="inlineStr">
        <is>
          <t>A 7477-2023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46303</v>
      </c>
      <c r="F39" t="inlineStr">
        <is>
          <t>NORRBOTTENS LÄN</t>
        </is>
      </c>
      <c r="G39" t="inlineStr">
        <is>
          <t>ÖVERKALIX</t>
        </is>
      </c>
      <c r="I39" t="n">
        <v>2.6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Motaggsvamp
Skarp dropptaggsvamp</t>
        </is>
      </c>
      <c r="W39">
        <f>HYPERLINK("https://klasma.github.io/Logging_2513/artfynd/A 7477-2023 artfynd.xlsx", "A 7477-2023")</f>
        <v/>
      </c>
      <c r="X39">
        <f>HYPERLINK("https://klasma.github.io/Logging_2513/kartor/A 7477-2023 karta.png", "A 7477-2023")</f>
        <v/>
      </c>
      <c r="Y39">
        <f>HYPERLINK("https://klasma.github.io/Logging_2513/kartor_geotiff/A 7477-2023 georefererad karta.tif", "A 7477-2023")</f>
        <v/>
      </c>
      <c r="AA39">
        <f>HYPERLINK("https://klasma.github.io/Logging_2513/klagomål/A 7477-2023 FSC-klagomål.docx", "A 7477-2023")</f>
        <v/>
      </c>
      <c r="AB39">
        <f>HYPERLINK("https://klasma.github.io/Logging_2513/klagomålsmail/A 7477-2023 FSC-klagomål mail.docx", "A 7477-2023")</f>
        <v/>
      </c>
      <c r="AC39">
        <f>HYPERLINK("https://klasma.github.io/Logging_2513/tillsyn/A 7477-2023 tillsynsbegäran.docx", "A 7477-2023")</f>
        <v/>
      </c>
      <c r="AD39">
        <f>HYPERLINK("https://klasma.github.io/Logging_2513/tillsynsmail/A 7477-2023 tillsynsbegäran mail.docx", "A 7477-2023")</f>
        <v/>
      </c>
    </row>
    <row r="40" ht="15" customHeight="1">
      <c r="A40" t="inlineStr">
        <is>
          <t>A 36803-2023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45154</v>
      </c>
      <c r="E40" s="1" t="n">
        <v>46303</v>
      </c>
      <c r="F40" t="inlineStr">
        <is>
          <t>NORRBOTTENS LÄN</t>
        </is>
      </c>
      <c r="G40" t="inlineStr">
        <is>
          <t>ÖVERKALIX</t>
        </is>
      </c>
      <c r="I40" t="n">
        <v>3.1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6</v>
      </c>
      <c r="U40" t="n">
        <v>6</v>
      </c>
      <c r="V40" s="2" t="inlineStr">
        <is>
          <t>Knärot
Revlummer</t>
        </is>
      </c>
      <c r="W40">
        <f>HYPERLINK("https://klasma.github.io/Logging_2513/artfynd/A 36803-2023 artfynd.xlsx", "A 36803-2023")</f>
        <v/>
      </c>
      <c r="X40">
        <f>HYPERLINK("https://klasma.github.io/Logging_2513/kartor/A 36803-2023 karta.png", "A 36803-2023")</f>
        <v/>
      </c>
      <c r="Y40">
        <f>HYPERLINK("https://klasma.github.io/Logging_2513/kartor_geotiff/A 36803-2023 georefererad karta.tif", "A 36803-2023")</f>
        <v/>
      </c>
      <c r="Z40">
        <f>HYPERLINK("https://klasma.github.io/Logging_2513/knärot/A 36803-2023 karta knärot.png", "A 36803-2023")</f>
        <v/>
      </c>
      <c r="AA40">
        <f>HYPERLINK("https://klasma.github.io/Logging_2513/klagomål/A 36803-2023 FSC-klagomål.docx", "A 36803-2023")</f>
        <v/>
      </c>
      <c r="AB40">
        <f>HYPERLINK("https://klasma.github.io/Logging_2513/klagomålsmail/A 36803-2023 FSC-klagomål mail.docx", "A 36803-2023")</f>
        <v/>
      </c>
      <c r="AC40">
        <f>HYPERLINK("https://klasma.github.io/Logging_2513/tillsyn/A 36803-2023 tillsynsbegäran.docx", "A 36803-2023")</f>
        <v/>
      </c>
      <c r="AD40">
        <f>HYPERLINK("https://klasma.github.io/Logging_2513/tillsynsmail/A 36803-2023 tillsynsbegäran mail.docx", "A 36803-2023")</f>
        <v/>
      </c>
    </row>
    <row r="41" ht="15" customHeight="1">
      <c r="A41" t="inlineStr">
        <is>
          <t>A 50691-2024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45602</v>
      </c>
      <c r="E41" s="1" t="n">
        <v>46303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4.2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Gammelgransskål
Vedticka</t>
        </is>
      </c>
      <c r="W41">
        <f>HYPERLINK("https://klasma.github.io/Logging_2513/artfynd/A 50691-2024 artfynd.xlsx", "A 50691-2024")</f>
        <v/>
      </c>
      <c r="X41">
        <f>HYPERLINK("https://klasma.github.io/Logging_2513/kartor/A 50691-2024 karta.png", "A 50691-2024")</f>
        <v/>
      </c>
      <c r="Y41">
        <f>HYPERLINK("https://klasma.github.io/Logging_2513/kartor_geotiff/A 50691-2024 georefererad karta.tif", "A 50691-2024")</f>
        <v/>
      </c>
      <c r="AA41">
        <f>HYPERLINK("https://klasma.github.io/Logging_2513/klagomål/A 50691-2024 FSC-klagomål.docx", "A 50691-2024")</f>
        <v/>
      </c>
      <c r="AB41">
        <f>HYPERLINK("https://klasma.github.io/Logging_2513/klagomålsmail/A 50691-2024 FSC-klagomål mail.docx", "A 50691-2024")</f>
        <v/>
      </c>
      <c r="AC41">
        <f>HYPERLINK("https://klasma.github.io/Logging_2513/tillsyn/A 50691-2024 tillsynsbegäran.docx", "A 50691-2024")</f>
        <v/>
      </c>
      <c r="AD41">
        <f>HYPERLINK("https://klasma.github.io/Logging_2513/tillsynsmail/A 50691-2024 tillsynsbegäran mail.docx", "A 50691-2024")</f>
        <v/>
      </c>
    </row>
    <row r="42" ht="15" customHeight="1">
      <c r="A42" t="inlineStr">
        <is>
          <t>A 47680-2024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46303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Blå taggsvamp
Skarp dropptaggsvamp</t>
        </is>
      </c>
      <c r="W42">
        <f>HYPERLINK("https://klasma.github.io/Logging_2513/artfynd/A 47680-2024 artfynd.xlsx", "A 47680-2024")</f>
        <v/>
      </c>
      <c r="X42">
        <f>HYPERLINK("https://klasma.github.io/Logging_2513/kartor/A 47680-2024 karta.png", "A 47680-2024")</f>
        <v/>
      </c>
      <c r="Y42">
        <f>HYPERLINK("https://klasma.github.io/Logging_2513/kartor_geotiff/A 47680-2024 georefererad karta.tif", "A 47680-2024")</f>
        <v/>
      </c>
      <c r="AA42">
        <f>HYPERLINK("https://klasma.github.io/Logging_2513/klagomål/A 47680-2024 FSC-klagomål.docx", "A 47680-2024")</f>
        <v/>
      </c>
      <c r="AB42">
        <f>HYPERLINK("https://klasma.github.io/Logging_2513/klagomålsmail/A 47680-2024 FSC-klagomål mail.docx", "A 47680-2024")</f>
        <v/>
      </c>
      <c r="AC42">
        <f>HYPERLINK("https://klasma.github.io/Logging_2513/tillsyn/A 47680-2024 tillsynsbegäran.docx", "A 47680-2024")</f>
        <v/>
      </c>
      <c r="AD42">
        <f>HYPERLINK("https://klasma.github.io/Logging_2513/tillsynsmail/A 47680-2024 tillsynsbegäran mail.docx", "A 47680-2024")</f>
        <v/>
      </c>
    </row>
    <row r="43" ht="15" customHeight="1">
      <c r="A43" t="inlineStr">
        <is>
          <t>A 62951-2025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46303</v>
      </c>
      <c r="F43" t="inlineStr">
        <is>
          <t>NORRBOTTENS LÄN</t>
        </is>
      </c>
      <c r="G43" t="inlineStr">
        <is>
          <t>ÖVERKALIX</t>
        </is>
      </c>
      <c r="H43" t="inlineStr">
        <is>
          <t>SCA</t>
        </is>
      </c>
      <c r="I43" t="n">
        <v>4.2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Garnlav
Ullticka</t>
        </is>
      </c>
      <c r="W43">
        <f>HYPERLINK("https://klasma.github.io/Logging_2513/artfynd/A 62951-2025 artfynd.xlsx", "A 62951-2025")</f>
        <v/>
      </c>
      <c r="X43">
        <f>HYPERLINK("https://klasma.github.io/Logging_2513/kartor/A 62951-2025 karta.png", "A 62951-2025")</f>
        <v/>
      </c>
      <c r="Y43">
        <f>HYPERLINK("https://klasma.github.io/Logging_2513/kartor_geotiff/A 62951-2025 georefererad karta.tif", "A 62951-2025")</f>
        <v/>
      </c>
      <c r="AA43">
        <f>HYPERLINK("https://klasma.github.io/Logging_2513/klagomål/A 62951-2025 FSC-klagomål.docx", "A 62951-2025")</f>
        <v/>
      </c>
      <c r="AB43">
        <f>HYPERLINK("https://klasma.github.io/Logging_2513/klagomålsmail/A 62951-2025 FSC-klagomål mail.docx", "A 62951-2025")</f>
        <v/>
      </c>
      <c r="AC43">
        <f>HYPERLINK("https://klasma.github.io/Logging_2513/tillsyn/A 62951-2025 tillsynsbegäran.docx", "A 62951-2025")</f>
        <v/>
      </c>
      <c r="AD43">
        <f>HYPERLINK("https://klasma.github.io/Logging_2513/tillsynsmail/A 62951-2025 tillsynsbegäran mail.docx", "A 62951-2025")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46303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28929-2026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46303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3.9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5</v>
      </c>
      <c r="V45" s="2" t="inlineStr">
        <is>
          <t>Knärot
Fläcknycklar</t>
        </is>
      </c>
      <c r="W45">
        <f>HYPERLINK("https://klasma.github.io/Logging_2513/artfynd/A 28929-2026 artfynd.xlsx", "A 28929-2026")</f>
        <v/>
      </c>
      <c r="X45">
        <f>HYPERLINK("https://klasma.github.io/Logging_2513/kartor/A 28929-2026 karta.png", "A 28929-2026")</f>
        <v/>
      </c>
      <c r="Y45">
        <f>HYPERLINK("https://klasma.github.io/Logging_2513/kartor_geotiff/A 28929-2026 georefererad karta.tif", "A 28929-2026")</f>
        <v/>
      </c>
      <c r="Z45">
        <f>HYPERLINK("https://klasma.github.io/Logging_2513/knärot/A 28929-2026 karta knärot.png", "A 28929-2026")</f>
        <v/>
      </c>
      <c r="AA45">
        <f>HYPERLINK("https://klasma.github.io/Logging_2513/klagomål/A 28929-2026 FSC-klagomål.docx", "A 28929-2026")</f>
        <v/>
      </c>
      <c r="AB45">
        <f>HYPERLINK("https://klasma.github.io/Logging_2513/klagomålsmail/A 28929-2026 FSC-klagomål mail.docx", "A 28929-2026")</f>
        <v/>
      </c>
      <c r="AC45">
        <f>HYPERLINK("https://klasma.github.io/Logging_2513/tillsyn/A 28929-2026 tillsynsbegäran.docx", "A 28929-2026")</f>
        <v/>
      </c>
      <c r="AD45">
        <f>HYPERLINK("https://klasma.github.io/Logging_2513/tillsynsmail/A 28929-2026 tillsynsbegäran mail.docx", "A 28929-2026")</f>
        <v/>
      </c>
    </row>
    <row r="46" ht="15" customHeight="1">
      <c r="A46" t="inlineStr">
        <is>
          <t>A 14152-2026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46099</v>
      </c>
      <c r="E46" s="1" t="n">
        <v>46303</v>
      </c>
      <c r="F46" t="inlineStr">
        <is>
          <t>NORRBOTTENS LÄN</t>
        </is>
      </c>
      <c r="G46" t="inlineStr">
        <is>
          <t>ÖVERKALIX</t>
        </is>
      </c>
      <c r="I46" t="n">
        <v>4.6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Källpraktmossa
Spädstarr</t>
        </is>
      </c>
      <c r="W46">
        <f>HYPERLINK("https://klasma.github.io/Logging_2513/artfynd/A 14152-2026 artfynd.xlsx", "A 14152-2026")</f>
        <v/>
      </c>
      <c r="X46">
        <f>HYPERLINK("https://klasma.github.io/Logging_2513/kartor/A 14152-2026 karta.png", "A 14152-2026")</f>
        <v/>
      </c>
      <c r="Y46">
        <f>HYPERLINK("https://klasma.github.io/Logging_2513/kartor_geotiff/A 14152-2026 georefererad karta.tif", "A 14152-2026")</f>
        <v/>
      </c>
      <c r="AA46">
        <f>HYPERLINK("https://klasma.github.io/Logging_2513/klagomål/A 14152-2026 FSC-klagomål.docx", "A 14152-2026")</f>
        <v/>
      </c>
      <c r="AB46">
        <f>HYPERLINK("https://klasma.github.io/Logging_2513/klagomålsmail/A 14152-2026 FSC-klagomål mail.docx", "A 14152-2026")</f>
        <v/>
      </c>
      <c r="AC46">
        <f>HYPERLINK("https://klasma.github.io/Logging_2513/tillsyn/A 14152-2026 tillsynsbegäran.docx", "A 14152-2026")</f>
        <v/>
      </c>
      <c r="AD46">
        <f>HYPERLINK("https://klasma.github.io/Logging_2513/tillsynsmail/A 14152-2026 tillsynsbegäran mail.docx", "A 14152-2026")</f>
        <v/>
      </c>
    </row>
    <row r="47" ht="15" customHeight="1">
      <c r="A47" t="inlineStr">
        <is>
          <t>A 35594-2026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46262</v>
      </c>
      <c r="E47" s="1" t="n">
        <v>46303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40.3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7</v>
      </c>
      <c r="U47" t="n">
        <v>4</v>
      </c>
      <c r="V47" s="2" t="inlineStr">
        <is>
          <t>Dropptaggsvamp
Lunglav</t>
        </is>
      </c>
      <c r="W47">
        <f>HYPERLINK("https://klasma.github.io/Logging_2513/artfynd/A 35594-2026 artfynd.xlsx", "A 35594-2026")</f>
        <v/>
      </c>
      <c r="X47">
        <f>HYPERLINK("https://klasma.github.io/Logging_2513/kartor/A 35594-2026 karta.png", "A 35594-2026")</f>
        <v/>
      </c>
      <c r="Y47">
        <f>HYPERLINK("https://klasma.github.io/Logging_2513/kartor_geotiff/A 35594-2026 georefererad karta.tif", "A 35594-2026")</f>
        <v/>
      </c>
      <c r="AA47">
        <f>HYPERLINK("https://klasma.github.io/Logging_2513/klagomål/A 35594-2026 FSC-klagomål.docx", "A 35594-2026")</f>
        <v/>
      </c>
      <c r="AB47">
        <f>HYPERLINK("https://klasma.github.io/Logging_2513/klagomålsmail/A 35594-2026 FSC-klagomål mail.docx", "A 35594-2026")</f>
        <v/>
      </c>
      <c r="AC47">
        <f>HYPERLINK("https://klasma.github.io/Logging_2513/tillsyn/A 35594-2026 tillsynsbegäran.docx", "A 35594-2026")</f>
        <v/>
      </c>
      <c r="AD47">
        <f>HYPERLINK("https://klasma.github.io/Logging_2513/tillsynsmail/A 35594-2026 tillsynsbegäran mail.docx", "A 35594-2026")</f>
        <v/>
      </c>
    </row>
    <row r="48" ht="15" customHeight="1">
      <c r="A48" t="inlineStr">
        <is>
          <t>A 31704-2026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46226</v>
      </c>
      <c r="E48" s="1" t="n">
        <v>46303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2.2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Blå taggsvamp
Skarp dropptaggsvamp</t>
        </is>
      </c>
      <c r="W48">
        <f>HYPERLINK("https://klasma.github.io/Logging_2513/artfynd/A 31704-2026 artfynd.xlsx", "A 31704-2026")</f>
        <v/>
      </c>
      <c r="X48">
        <f>HYPERLINK("https://klasma.github.io/Logging_2513/kartor/A 31704-2026 karta.png", "A 31704-2026")</f>
        <v/>
      </c>
      <c r="Y48">
        <f>HYPERLINK("https://klasma.github.io/Logging_2513/kartor_geotiff/A 31704-2026 georefererad karta.tif", "A 31704-2026")</f>
        <v/>
      </c>
      <c r="AA48">
        <f>HYPERLINK("https://klasma.github.io/Logging_2513/klagomål/A 31704-2026 FSC-klagomål.docx", "A 31704-2026")</f>
        <v/>
      </c>
      <c r="AB48">
        <f>HYPERLINK("https://klasma.github.io/Logging_2513/klagomålsmail/A 31704-2026 FSC-klagomål mail.docx", "A 31704-2026")</f>
        <v/>
      </c>
      <c r="AC48">
        <f>HYPERLINK("https://klasma.github.io/Logging_2513/tillsyn/A 31704-2026 tillsynsbegäran.docx", "A 31704-2026")</f>
        <v/>
      </c>
      <c r="AD48">
        <f>HYPERLINK("https://klasma.github.io/Logging_2513/tillsynsmail/A 31704-2026 tillsynsbegäran mail.docx", "A 31704-2026")</f>
        <v/>
      </c>
    </row>
    <row r="49" ht="15" customHeight="1">
      <c r="A49" t="inlineStr">
        <is>
          <t>A 41591-2026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46302</v>
      </c>
      <c r="E49" s="1" t="n">
        <v>46303</v>
      </c>
      <c r="F49" t="inlineStr">
        <is>
          <t>NORRBOTTENS LÄN</t>
        </is>
      </c>
      <c r="G49" t="inlineStr">
        <is>
          <t>ÖVERKALIX</t>
        </is>
      </c>
      <c r="H49" t="inlineStr">
        <is>
          <t>SCA</t>
        </is>
      </c>
      <c r="I49" t="n">
        <v>1.8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Lunglav
Tallticka</t>
        </is>
      </c>
      <c r="W49">
        <f>HYPERLINK("https://klasma.github.io/Logging_2513/artfynd/A 41591-2026 artfynd.xlsx", "A 41591-2026")</f>
        <v/>
      </c>
      <c r="X49">
        <f>HYPERLINK("https://klasma.github.io/Logging_2513/kartor/A 41591-2026 karta.png", "A 41591-2026")</f>
        <v/>
      </c>
      <c r="Y49">
        <f>HYPERLINK("https://klasma.github.io/Logging_2513/kartor_geotiff/A 41591-2026 georefererad karta.tif", "A 41591-2026")</f>
        <v/>
      </c>
      <c r="AA49">
        <f>HYPERLINK("https://klasma.github.io/Logging_2513/klagomål/A 41591-2026 FSC-klagomål.docx", "A 41591-2026")</f>
        <v/>
      </c>
      <c r="AB49">
        <f>HYPERLINK("https://klasma.github.io/Logging_2513/klagomålsmail/A 41591-2026 FSC-klagomål mail.docx", "A 41591-2026")</f>
        <v/>
      </c>
      <c r="AC49">
        <f>HYPERLINK("https://klasma.github.io/Logging_2513/tillsyn/A 41591-2026 tillsynsbegäran.docx", "A 41591-2026")</f>
        <v/>
      </c>
      <c r="AD49">
        <f>HYPERLINK("https://klasma.github.io/Logging_2513/tillsynsmail/A 41591-2026 tillsynsbegäran mail.docx", "A 41591-2026")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46303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46303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37532-2022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44809</v>
      </c>
      <c r="E52" s="1" t="n">
        <v>46303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 taggsvamp</t>
        </is>
      </c>
      <c r="W52">
        <f>HYPERLINK("https://klasma.github.io/Logging_2513/artfynd/A 37532-2022 artfynd.xlsx", "A 37532-2022")</f>
        <v/>
      </c>
      <c r="X52">
        <f>HYPERLINK("https://klasma.github.io/Logging_2513/kartor/A 37532-2022 karta.png", "A 37532-2022")</f>
        <v/>
      </c>
      <c r="Y52">
        <f>HYPERLINK("https://klasma.github.io/Logging_2513/kartor_geotiff/A 37532-2022 georefererad karta.tif", "A 37532-2022")</f>
        <v/>
      </c>
      <c r="AA52">
        <f>HYPERLINK("https://klasma.github.io/Logging_2513/klagomål/A 37532-2022 FSC-klagomål.docx", "A 37532-2022")</f>
        <v/>
      </c>
      <c r="AB52">
        <f>HYPERLINK("https://klasma.github.io/Logging_2513/klagomålsmail/A 37532-2022 FSC-klagomål mail.docx", "A 37532-2022")</f>
        <v/>
      </c>
      <c r="AC52">
        <f>HYPERLINK("https://klasma.github.io/Logging_2513/tillsyn/A 37532-2022 tillsynsbegäran.docx", "A 37532-2022")</f>
        <v/>
      </c>
      <c r="AD52">
        <f>HYPERLINK("https://klasma.github.io/Logging_2513/tillsynsmail/A 37532-2022 tillsynsbegäran mail.docx", "A 37532-2022")</f>
        <v/>
      </c>
    </row>
    <row r="53" ht="15" customHeight="1">
      <c r="A53" t="inlineStr">
        <is>
          <t>A 21777-2024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45442</v>
      </c>
      <c r="E53" s="1" t="n">
        <v>46303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30.5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HYPERLINK("https://klasma.github.io/Logging_2513/artfynd/A 21777-2024 artfynd.xlsx", "A 21777-2024")</f>
        <v/>
      </c>
      <c r="X53">
        <f>HYPERLINK("https://klasma.github.io/Logging_2513/kartor/A 21777-2024 karta.png", "A 21777-2024")</f>
        <v/>
      </c>
      <c r="Y53">
        <f>HYPERLINK("https://klasma.github.io/Logging_2513/kartor_geotiff/A 21777-2024 georefererad karta.tif", "A 21777-2024")</f>
        <v/>
      </c>
      <c r="AA53">
        <f>HYPERLINK("https://klasma.github.io/Logging_2513/klagomål/A 21777-2024 FSC-klagomål.docx", "A 21777-2024")</f>
        <v/>
      </c>
      <c r="AB53">
        <f>HYPERLINK("https://klasma.github.io/Logging_2513/klagomålsmail/A 21777-2024 FSC-klagomål mail.docx", "A 21777-2024")</f>
        <v/>
      </c>
      <c r="AC53">
        <f>HYPERLINK("https://klasma.github.io/Logging_2513/tillsyn/A 21777-2024 tillsynsbegäran.docx", "A 21777-2024")</f>
        <v/>
      </c>
      <c r="AD53">
        <f>HYPERLINK("https://klasma.github.io/Logging_2513/tillsynsmail/A 21777-2024 tillsynsbegäran mail.docx", "A 21777-2024")</f>
        <v/>
      </c>
    </row>
    <row r="54" ht="15" customHeight="1">
      <c r="A54" t="inlineStr">
        <is>
          <t>A 26305-2025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46303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5.2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Luddlav</t>
        </is>
      </c>
      <c r="W54">
        <f>HYPERLINK("https://klasma.github.io/Logging_2513/artfynd/A 26305-2025 artfynd.xlsx", "A 26305-2025")</f>
        <v/>
      </c>
      <c r="X54">
        <f>HYPERLINK("https://klasma.github.io/Logging_2513/kartor/A 26305-2025 karta.png", "A 26305-2025")</f>
        <v/>
      </c>
      <c r="Y54">
        <f>HYPERLINK("https://klasma.github.io/Logging_2513/kartor_geotiff/A 26305-2025 georefererad karta.tif", "A 26305-2025")</f>
        <v/>
      </c>
      <c r="AA54">
        <f>HYPERLINK("https://klasma.github.io/Logging_2513/klagomål/A 26305-2025 FSC-klagomål.docx", "A 26305-2025")</f>
        <v/>
      </c>
      <c r="AB54">
        <f>HYPERLINK("https://klasma.github.io/Logging_2513/klagomålsmail/A 26305-2025 FSC-klagomål mail.docx", "A 26305-2025")</f>
        <v/>
      </c>
      <c r="AC54">
        <f>HYPERLINK("https://klasma.github.io/Logging_2513/tillsyn/A 26305-2025 tillsynsbegäran.docx", "A 26305-2025")</f>
        <v/>
      </c>
      <c r="AD54">
        <f>HYPERLINK("https://klasma.github.io/Logging_2513/tillsynsmail/A 26305-2025 tillsynsbegäran mail.docx", "A 26305-2025")</f>
        <v/>
      </c>
    </row>
    <row r="55" ht="15" customHeight="1">
      <c r="A55" t="inlineStr">
        <is>
          <t>A 27452-2025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45813</v>
      </c>
      <c r="E55" s="1" t="n">
        <v>46303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27452-2025 artfynd.xlsx", "A 27452-2025")</f>
        <v/>
      </c>
      <c r="X55">
        <f>HYPERLINK("https://klasma.github.io/Logging_2513/kartor/A 27452-2025 karta.png", "A 27452-2025")</f>
        <v/>
      </c>
      <c r="Y55">
        <f>HYPERLINK("https://klasma.github.io/Logging_2513/kartor_geotiff/A 27452-2025 georefererad karta.tif", "A 27452-2025")</f>
        <v/>
      </c>
      <c r="AA55">
        <f>HYPERLINK("https://klasma.github.io/Logging_2513/klagomål/A 27452-2025 FSC-klagomål.docx", "A 27452-2025")</f>
        <v/>
      </c>
      <c r="AB55">
        <f>HYPERLINK("https://klasma.github.io/Logging_2513/klagomålsmail/A 27452-2025 FSC-klagomål mail.docx", "A 27452-2025")</f>
        <v/>
      </c>
      <c r="AC55">
        <f>HYPERLINK("https://klasma.github.io/Logging_2513/tillsyn/A 27452-2025 tillsynsbegäran.docx", "A 27452-2025")</f>
        <v/>
      </c>
      <c r="AD55">
        <f>HYPERLINK("https://klasma.github.io/Logging_2513/tillsynsmail/A 27452-2025 tillsynsbegäran mail.docx", "A 27452-2025")</f>
        <v/>
      </c>
      <c r="AE55">
        <f>HYPERLINK("https://klasma.github.io/Logging_2513/fåglar/A 27452-2025 prioriterade fågelarter.docx", "A 27452-2025")</f>
        <v/>
      </c>
    </row>
    <row r="56" ht="15" customHeight="1">
      <c r="A56" t="inlineStr">
        <is>
          <t>A 35602-2025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45859</v>
      </c>
      <c r="E56" s="1" t="n">
        <v>46303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HYPERLINK("https://klasma.github.io/Logging_2513/artfynd/A 35602-2025 artfynd.xlsx", "A 35602-2025")</f>
        <v/>
      </c>
      <c r="X56">
        <f>HYPERLINK("https://klasma.github.io/Logging_2513/kartor/A 35602-2025 karta.png", "A 35602-2025")</f>
        <v/>
      </c>
      <c r="Y56">
        <f>HYPERLINK("https://klasma.github.io/Logging_2513/kartor_geotiff/A 35602-2025 georefererad karta.tif", "A 35602-2025")</f>
        <v/>
      </c>
      <c r="AA56">
        <f>HYPERLINK("https://klasma.github.io/Logging_2513/klagomål/A 35602-2025 FSC-klagomål.docx", "A 35602-2025")</f>
        <v/>
      </c>
      <c r="AB56">
        <f>HYPERLINK("https://klasma.github.io/Logging_2513/klagomålsmail/A 35602-2025 FSC-klagomål mail.docx", "A 35602-2025")</f>
        <v/>
      </c>
      <c r="AC56">
        <f>HYPERLINK("https://klasma.github.io/Logging_2513/tillsyn/A 35602-2025 tillsynsbegäran.docx", "A 35602-2025")</f>
        <v/>
      </c>
      <c r="AD56">
        <f>HYPERLINK("https://klasma.github.io/Logging_2513/tillsynsmail/A 35602-2025 tillsynsbegäran mail.docx", "A 35602-2025")</f>
        <v/>
      </c>
    </row>
    <row r="57" ht="15" customHeight="1">
      <c r="A57" t="inlineStr">
        <is>
          <t>A 22977-2022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44717</v>
      </c>
      <c r="E57" s="1" t="n">
        <v>46303</v>
      </c>
      <c r="F57" t="inlineStr">
        <is>
          <t>NORRBOTTENS LÄN</t>
        </is>
      </c>
      <c r="G57" t="inlineStr">
        <is>
          <t>ÖVERKALIX</t>
        </is>
      </c>
      <c r="I57" t="n">
        <v>19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Bivråk</t>
        </is>
      </c>
      <c r="W57">
        <f>HYPERLINK("https://klasma.github.io/Logging_2513/artfynd/A 22977-2022 artfynd.xlsx", "A 22977-2022")</f>
        <v/>
      </c>
      <c r="X57">
        <f>HYPERLINK("https://klasma.github.io/Logging_2513/kartor/A 22977-2022 karta.png", "A 22977-2022")</f>
        <v/>
      </c>
      <c r="Y57">
        <f>HYPERLINK("https://klasma.github.io/Logging_2513/kartor_geotiff/A 22977-2022 georefererad karta.tif", "A 22977-2022")</f>
        <v/>
      </c>
      <c r="AA57">
        <f>HYPERLINK("https://klasma.github.io/Logging_2513/klagomål/A 22977-2022 FSC-klagomål.docx", "A 22977-2022")</f>
        <v/>
      </c>
      <c r="AB57">
        <f>HYPERLINK("https://klasma.github.io/Logging_2513/klagomålsmail/A 22977-2022 FSC-klagomål mail.docx", "A 22977-2022")</f>
        <v/>
      </c>
      <c r="AC57">
        <f>HYPERLINK("https://klasma.github.io/Logging_2513/tillsyn/A 22977-2022 tillsynsbegäran.docx", "A 22977-2022")</f>
        <v/>
      </c>
      <c r="AD57">
        <f>HYPERLINK("https://klasma.github.io/Logging_2513/tillsynsmail/A 22977-2022 tillsynsbegäran mail.docx", "A 22977-2022")</f>
        <v/>
      </c>
      <c r="AE57">
        <f>HYPERLINK("https://klasma.github.io/Logging_2513/fåglar/A 22977-2022 prioriterade fågelarter.docx", "A 22977-2022")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46303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27087-2026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46187</v>
      </c>
      <c r="E59" s="1" t="n">
        <v>46303</v>
      </c>
      <c r="F59" t="inlineStr">
        <is>
          <t>NORRBOTTENS LÄN</t>
        </is>
      </c>
      <c r="G59" t="inlineStr">
        <is>
          <t>ÖVERKALIX</t>
        </is>
      </c>
      <c r="H59" t="inlineStr">
        <is>
          <t>SCA</t>
        </is>
      </c>
      <c r="I59" t="n">
        <v>5.1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HYPERLINK("https://klasma.github.io/Logging_2513/artfynd/A 27087-2026 artfynd.xlsx", "A 27087-2026")</f>
        <v/>
      </c>
      <c r="X59">
        <f>HYPERLINK("https://klasma.github.io/Logging_2513/kartor/A 27087-2026 karta.png", "A 27087-2026")</f>
        <v/>
      </c>
      <c r="Y59">
        <f>HYPERLINK("https://klasma.github.io/Logging_2513/kartor_geotiff/A 27087-2026 georefererad karta.tif", "A 27087-2026")</f>
        <v/>
      </c>
      <c r="AA59">
        <f>HYPERLINK("https://klasma.github.io/Logging_2513/klagomål/A 27087-2026 FSC-klagomål.docx", "A 27087-2026")</f>
        <v/>
      </c>
      <c r="AB59">
        <f>HYPERLINK("https://klasma.github.io/Logging_2513/klagomålsmail/A 27087-2026 FSC-klagomål mail.docx", "A 27087-2026")</f>
        <v/>
      </c>
      <c r="AC59">
        <f>HYPERLINK("https://klasma.github.io/Logging_2513/tillsyn/A 27087-2026 tillsynsbegäran.docx", "A 27087-2026")</f>
        <v/>
      </c>
      <c r="AD59">
        <f>HYPERLINK("https://klasma.github.io/Logging_2513/tillsynsmail/A 27087-2026 tillsynsbegäran mail.docx", "A 27087-2026")</f>
        <v/>
      </c>
      <c r="AE59">
        <f>HYPERLINK("https://klasma.github.io/Logging_2513/fåglar/A 27087-2026 prioriterade fågelarter.docx", "A 27087-2026")</f>
        <v/>
      </c>
    </row>
    <row r="60" ht="15" customHeight="1">
      <c r="A60" t="inlineStr">
        <is>
          <t>A 7234-2023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44970</v>
      </c>
      <c r="E60" s="1" t="n">
        <v>46303</v>
      </c>
      <c r="F60" t="inlineStr">
        <is>
          <t>NORRBOTTENS LÄN</t>
        </is>
      </c>
      <c r="G60" t="inlineStr">
        <is>
          <t>ÖVERKALIX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HYPERLINK("https://klasma.github.io/Logging_2513/artfynd/A 7234-2023 artfynd.xlsx", "A 7234-2023")</f>
        <v/>
      </c>
      <c r="X60">
        <f>HYPERLINK("https://klasma.github.io/Logging_2513/kartor/A 7234-2023 karta.png", "A 7234-2023")</f>
        <v/>
      </c>
      <c r="Y60">
        <f>HYPERLINK("https://klasma.github.io/Logging_2513/kartor_geotiff/A 7234-2023 georefererad karta.tif", "A 7234-2023")</f>
        <v/>
      </c>
      <c r="AA60">
        <f>HYPERLINK("https://klasma.github.io/Logging_2513/klagomål/A 7234-2023 FSC-klagomål.docx", "A 7234-2023")</f>
        <v/>
      </c>
      <c r="AB60">
        <f>HYPERLINK("https://klasma.github.io/Logging_2513/klagomålsmail/A 7234-2023 FSC-klagomål mail.docx", "A 7234-2023")</f>
        <v/>
      </c>
      <c r="AC60">
        <f>HYPERLINK("https://klasma.github.io/Logging_2513/tillsyn/A 7234-2023 tillsynsbegäran.docx", "A 7234-2023")</f>
        <v/>
      </c>
      <c r="AD60">
        <f>HYPERLINK("https://klasma.github.io/Logging_2513/tillsynsmail/A 7234-2023 tillsynsbegäran mail.docx", "A 7234-2023")</f>
        <v/>
      </c>
      <c r="AE60">
        <f>HYPERLINK("https://klasma.github.io/Logging_2513/fåglar/A 7234-2023 prioriterade fågelarter.docx", "A 7234-2023")</f>
        <v/>
      </c>
    </row>
    <row r="61" ht="15" customHeight="1">
      <c r="A61" t="inlineStr">
        <is>
          <t>A 46280-2024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45581</v>
      </c>
      <c r="E61" s="1" t="n">
        <v>46303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Spillkråka</t>
        </is>
      </c>
      <c r="W61">
        <f>HYPERLINK("https://klasma.github.io/Logging_2513/artfynd/A 46280-2024 artfynd.xlsx", "A 46280-2024")</f>
        <v/>
      </c>
      <c r="X61">
        <f>HYPERLINK("https://klasma.github.io/Logging_2513/kartor/A 46280-2024 karta.png", "A 46280-2024")</f>
        <v/>
      </c>
      <c r="Y61">
        <f>HYPERLINK("https://klasma.github.io/Logging_2513/kartor_geotiff/A 46280-2024 georefererad karta.tif", "A 46280-2024")</f>
        <v/>
      </c>
      <c r="AA61">
        <f>HYPERLINK("https://klasma.github.io/Logging_2513/klagomål/A 46280-2024 FSC-klagomål.docx", "A 46280-2024")</f>
        <v/>
      </c>
      <c r="AB61">
        <f>HYPERLINK("https://klasma.github.io/Logging_2513/klagomålsmail/A 46280-2024 FSC-klagomål mail.docx", "A 46280-2024")</f>
        <v/>
      </c>
      <c r="AC61">
        <f>HYPERLINK("https://klasma.github.io/Logging_2513/tillsyn/A 46280-2024 tillsynsbegäran.docx", "A 46280-2024")</f>
        <v/>
      </c>
      <c r="AD61">
        <f>HYPERLINK("https://klasma.github.io/Logging_2513/tillsynsmail/A 46280-2024 tillsynsbegäran mail.docx", "A 46280-2024")</f>
        <v/>
      </c>
      <c r="AE61">
        <f>HYPERLINK("https://klasma.github.io/Logging_2513/fåglar/A 46280-2024 prioriterade fågelarter.docx", "A 46280-2024")</f>
        <v/>
      </c>
    </row>
    <row r="62" ht="15" customHeight="1">
      <c r="A62" t="inlineStr">
        <is>
          <t>A 46281-2024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45581</v>
      </c>
      <c r="E62" s="1" t="n">
        <v>46303</v>
      </c>
      <c r="F62" t="inlineStr">
        <is>
          <t>NORRBOTTENS LÄN</t>
        </is>
      </c>
      <c r="G62" t="inlineStr">
        <is>
          <t>ÖVERKALIX</t>
        </is>
      </c>
      <c r="H62" t="inlineStr">
        <is>
          <t>SCA</t>
        </is>
      </c>
      <c r="I62" t="n">
        <v>1.2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 taggsvamp</t>
        </is>
      </c>
      <c r="W62">
        <f>HYPERLINK("https://klasma.github.io/Logging_2513/artfynd/A 46281-2024 artfynd.xlsx", "A 46281-2024")</f>
        <v/>
      </c>
      <c r="X62">
        <f>HYPERLINK("https://klasma.github.io/Logging_2513/kartor/A 46281-2024 karta.png", "A 46281-2024")</f>
        <v/>
      </c>
      <c r="Y62">
        <f>HYPERLINK("https://klasma.github.io/Logging_2513/kartor_geotiff/A 46281-2024 georefererad karta.tif", "A 46281-2024")</f>
        <v/>
      </c>
      <c r="AA62">
        <f>HYPERLINK("https://klasma.github.io/Logging_2513/klagomål/A 46281-2024 FSC-klagomål.docx", "A 46281-2024")</f>
        <v/>
      </c>
      <c r="AB62">
        <f>HYPERLINK("https://klasma.github.io/Logging_2513/klagomålsmail/A 46281-2024 FSC-klagomål mail.docx", "A 46281-2024")</f>
        <v/>
      </c>
      <c r="AC62">
        <f>HYPERLINK("https://klasma.github.io/Logging_2513/tillsyn/A 46281-2024 tillsynsbegäran.docx", "A 46281-2024")</f>
        <v/>
      </c>
      <c r="AD62">
        <f>HYPERLINK("https://klasma.github.io/Logging_2513/tillsynsmail/A 46281-2024 tillsynsbegäran mail.docx", "A 46281-2024")</f>
        <v/>
      </c>
    </row>
    <row r="63" ht="15" customHeight="1">
      <c r="A63" t="inlineStr">
        <is>
          <t>A 20949-2026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46303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9.1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HYPERLINK("https://klasma.github.io/Logging_2513/artfynd/A 20949-2026 artfynd.xlsx", "A 20949-2026")</f>
        <v/>
      </c>
      <c r="X63">
        <f>HYPERLINK("https://klasma.github.io/Logging_2513/kartor/A 20949-2026 karta.png", "A 20949-2026")</f>
        <v/>
      </c>
      <c r="Y63">
        <f>HYPERLINK("https://klasma.github.io/Logging_2513/kartor_geotiff/A 20949-2026 georefererad karta.tif", "A 20949-2026")</f>
        <v/>
      </c>
      <c r="AA63">
        <f>HYPERLINK("https://klasma.github.io/Logging_2513/klagomål/A 20949-2026 FSC-klagomål.docx", "A 20949-2026")</f>
        <v/>
      </c>
      <c r="AB63">
        <f>HYPERLINK("https://klasma.github.io/Logging_2513/klagomålsmail/A 20949-2026 FSC-klagomål mail.docx", "A 20949-2026")</f>
        <v/>
      </c>
      <c r="AC63">
        <f>HYPERLINK("https://klasma.github.io/Logging_2513/tillsyn/A 20949-2026 tillsynsbegäran.docx", "A 20949-2026")</f>
        <v/>
      </c>
      <c r="AD63">
        <f>HYPERLINK("https://klasma.github.io/Logging_2513/tillsynsmail/A 20949-2026 tillsynsbegäran mail.docx", "A 20949-2026")</f>
        <v/>
      </c>
    </row>
    <row r="64" ht="15" customHeight="1">
      <c r="A64" t="inlineStr">
        <is>
          <t>A 25335-2026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46176</v>
      </c>
      <c r="E64" s="1" t="n">
        <v>46303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46.9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Lunglav</t>
        </is>
      </c>
      <c r="W64">
        <f>HYPERLINK("https://klasma.github.io/Logging_2513/artfynd/A 25335-2026 artfynd.xlsx", "A 25335-2026")</f>
        <v/>
      </c>
      <c r="X64">
        <f>HYPERLINK("https://klasma.github.io/Logging_2513/kartor/A 25335-2026 karta.png", "A 25335-2026")</f>
        <v/>
      </c>
      <c r="Y64">
        <f>HYPERLINK("https://klasma.github.io/Logging_2513/kartor_geotiff/A 25335-2026 georefererad karta.tif", "A 25335-2026")</f>
        <v/>
      </c>
      <c r="AA64">
        <f>HYPERLINK("https://klasma.github.io/Logging_2513/klagomål/A 25335-2026 FSC-klagomål.docx", "A 25335-2026")</f>
        <v/>
      </c>
      <c r="AB64">
        <f>HYPERLINK("https://klasma.github.io/Logging_2513/klagomålsmail/A 25335-2026 FSC-klagomål mail.docx", "A 25335-2026")</f>
        <v/>
      </c>
      <c r="AC64">
        <f>HYPERLINK("https://klasma.github.io/Logging_2513/tillsyn/A 25335-2026 tillsynsbegäran.docx", "A 25335-2026")</f>
        <v/>
      </c>
      <c r="AD64">
        <f>HYPERLINK("https://klasma.github.io/Logging_2513/tillsynsmail/A 25335-2026 tillsynsbegäran mail.docx", "A 25335-2026")</f>
        <v/>
      </c>
    </row>
    <row r="65" ht="15" customHeight="1">
      <c r="A65" t="inlineStr">
        <is>
          <t>A 71902-2021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44539</v>
      </c>
      <c r="E65" s="1" t="n">
        <v>46303</v>
      </c>
      <c r="F65" t="inlineStr">
        <is>
          <t>NORRBOTTENS LÄN</t>
        </is>
      </c>
      <c r="G65" t="inlineStr">
        <is>
          <t>ÖVERKALIX</t>
        </is>
      </c>
      <c r="I65" t="n">
        <v>24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HYPERLINK("https://klasma.github.io/Logging_2513/artfynd/A 71902-2021 artfynd.xlsx", "A 71902-2021")</f>
        <v/>
      </c>
      <c r="X65">
        <f>HYPERLINK("https://klasma.github.io/Logging_2513/kartor/A 71902-2021 karta.png", "A 71902-2021")</f>
        <v/>
      </c>
      <c r="Y65">
        <f>HYPERLINK("https://klasma.github.io/Logging_2513/kartor_geotiff/A 71902-2021 georefererad karta.tif", "A 71902-2021")</f>
        <v/>
      </c>
      <c r="AA65">
        <f>HYPERLINK("https://klasma.github.io/Logging_2513/klagomål/A 71902-2021 FSC-klagomål.docx", "A 71902-2021")</f>
        <v/>
      </c>
      <c r="AB65">
        <f>HYPERLINK("https://klasma.github.io/Logging_2513/klagomålsmail/A 71902-2021 FSC-klagomål mail.docx", "A 71902-2021")</f>
        <v/>
      </c>
      <c r="AC65">
        <f>HYPERLINK("https://klasma.github.io/Logging_2513/tillsyn/A 71902-2021 tillsynsbegäran.docx", "A 71902-2021")</f>
        <v/>
      </c>
      <c r="AD65">
        <f>HYPERLINK("https://klasma.github.io/Logging_2513/tillsynsmail/A 71902-2021 tillsynsbegäran mail.docx", "A 71902-2021")</f>
        <v/>
      </c>
      <c r="AE65">
        <f>HYPERLINK("https://klasma.github.io/Logging_2513/fåglar/A 71902-2021 prioriterade fågelarter.docx", "A 71902-2021")</f>
        <v/>
      </c>
    </row>
    <row r="66" ht="15" customHeight="1">
      <c r="A66" t="inlineStr">
        <is>
          <t>A 31920-2026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46231</v>
      </c>
      <c r="E66" s="1" t="n">
        <v>46303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3.8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HYPERLINK("https://klasma.github.io/Logging_2513/artfynd/A 31920-2026 artfynd.xlsx", "A 31920-2026")</f>
        <v/>
      </c>
      <c r="X66">
        <f>HYPERLINK("https://klasma.github.io/Logging_2513/kartor/A 31920-2026 karta.png", "A 31920-2026")</f>
        <v/>
      </c>
      <c r="Y66">
        <f>HYPERLINK("https://klasma.github.io/Logging_2513/kartor_geotiff/A 31920-2026 georefererad karta.tif", "A 31920-2026")</f>
        <v/>
      </c>
      <c r="AA66">
        <f>HYPERLINK("https://klasma.github.io/Logging_2513/klagomål/A 31920-2026 FSC-klagomål.docx", "A 31920-2026")</f>
        <v/>
      </c>
      <c r="AB66">
        <f>HYPERLINK("https://klasma.github.io/Logging_2513/klagomålsmail/A 31920-2026 FSC-klagomål mail.docx", "A 31920-2026")</f>
        <v/>
      </c>
      <c r="AC66">
        <f>HYPERLINK("https://klasma.github.io/Logging_2513/tillsyn/A 31920-2026 tillsynsbegäran.docx", "A 31920-2026")</f>
        <v/>
      </c>
      <c r="AD66">
        <f>HYPERLINK("https://klasma.github.io/Logging_2513/tillsynsmail/A 31920-2026 tillsynsbegäran mail.docx", "A 31920-2026")</f>
        <v/>
      </c>
    </row>
    <row r="67" ht="15" customHeight="1">
      <c r="A67" t="inlineStr">
        <is>
          <t>A 41569-2026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46301</v>
      </c>
      <c r="E67" s="1" t="n">
        <v>46303</v>
      </c>
      <c r="F67" t="inlineStr">
        <is>
          <t>NORRBOTTENS LÄN</t>
        </is>
      </c>
      <c r="G67" t="inlineStr">
        <is>
          <t>ÖVERKALIX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HYPERLINK("https://klasma.github.io/Logging_2513/artfynd/A 41569-2026 artfynd.xlsx", "A 41569-2026")</f>
        <v/>
      </c>
      <c r="X67">
        <f>HYPERLINK("https://klasma.github.io/Logging_2513/kartor/A 41569-2026 karta.png", "A 41569-2026")</f>
        <v/>
      </c>
      <c r="Y67">
        <f>HYPERLINK("https://klasma.github.io/Logging_2513/kartor_geotiff/A 41569-2026 georefererad karta.tif", "A 41569-2026")</f>
        <v/>
      </c>
      <c r="AA67">
        <f>HYPERLINK("https://klasma.github.io/Logging_2513/klagomål/A 41569-2026 FSC-klagomål.docx", "A 41569-2026")</f>
        <v/>
      </c>
      <c r="AB67">
        <f>HYPERLINK("https://klasma.github.io/Logging_2513/klagomålsmail/A 41569-2026 FSC-klagomål mail.docx", "A 41569-2026")</f>
        <v/>
      </c>
      <c r="AC67">
        <f>HYPERLINK("https://klasma.github.io/Logging_2513/tillsyn/A 41569-2026 tillsynsbegäran.docx", "A 41569-2026")</f>
        <v/>
      </c>
      <c r="AD67">
        <f>HYPERLINK("https://klasma.github.io/Logging_2513/tillsynsmail/A 41569-2026 tillsynsbegäran mail.docx", "A 41569-2026")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46303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46303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46303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46303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46303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46303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46303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46303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46303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46303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46303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46303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46303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46303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46303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46303</v>
      </c>
      <c r="F83" t="inlineStr">
        <is>
          <t>NORRBOTTENS LÄN</t>
        </is>
      </c>
      <c r="G83" t="inlineStr">
        <is>
          <t>ÖVERKALIX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46303</v>
      </c>
      <c r="F84" t="inlineStr">
        <is>
          <t>NORRBOTTENS LÄN</t>
        </is>
      </c>
      <c r="G84" t="inlineStr">
        <is>
          <t>ÖVERKALIX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44530</v>
      </c>
      <c r="E85" s="1" t="n">
        <v>46303</v>
      </c>
      <c r="F85" t="inlineStr">
        <is>
          <t>NORRBOTTENS LÄN</t>
        </is>
      </c>
      <c r="G85" t="inlineStr">
        <is>
          <t>ÖVERKALIX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60417-2024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45643</v>
      </c>
      <c r="E86" s="1" t="n">
        <v>46303</v>
      </c>
      <c r="F86" t="inlineStr">
        <is>
          <t>NORRBOTTENS LÄN</t>
        </is>
      </c>
      <c r="G86" t="inlineStr">
        <is>
          <t>ÖVERKALIX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48577-2023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45208</v>
      </c>
      <c r="E87" s="1" t="n">
        <v>46303</v>
      </c>
      <c r="F87" t="inlineStr">
        <is>
          <t>NORRBOTTENS LÄN</t>
        </is>
      </c>
      <c r="G87" t="inlineStr">
        <is>
          <t>ÖVERKALIX</t>
        </is>
      </c>
      <c r="H87" t="inlineStr">
        <is>
          <t>Sveaskog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6916-2022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44602</v>
      </c>
      <c r="E88" s="1" t="n">
        <v>46303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15.6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45709</v>
      </c>
      <c r="E89" s="1" t="n">
        <v>46303</v>
      </c>
      <c r="F89" t="inlineStr">
        <is>
          <t>NORRBOTTENS LÄN</t>
        </is>
      </c>
      <c r="G89" t="inlineStr">
        <is>
          <t>ÖVERKALIX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45671</v>
      </c>
      <c r="E90" s="1" t="n">
        <v>46303</v>
      </c>
      <c r="F90" t="inlineStr">
        <is>
          <t>NORRBOTTENS LÄN</t>
        </is>
      </c>
      <c r="G90" t="inlineStr">
        <is>
          <t>ÖVERKALIX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46303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19985-2025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45771</v>
      </c>
      <c r="E92" s="1" t="n">
        <v>46303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46303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15365-2025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46303</v>
      </c>
      <c r="F94" t="inlineStr">
        <is>
          <t>NORRBOTTENS LÄN</t>
        </is>
      </c>
      <c r="G94" t="inlineStr">
        <is>
          <t>ÖVERKALIX</t>
        </is>
      </c>
      <c r="I94" t="n">
        <v>10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45548</v>
      </c>
      <c r="E95" s="1" t="n">
        <v>46303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39405-2022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46303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45782</v>
      </c>
      <c r="E97" s="1" t="n">
        <v>46303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45238</v>
      </c>
      <c r="E98" s="1" t="n">
        <v>46303</v>
      </c>
      <c r="F98" t="inlineStr">
        <is>
          <t>NORRBOTTENS LÄN</t>
        </is>
      </c>
      <c r="G98" t="inlineStr">
        <is>
          <t>ÖVERKALIX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45231</v>
      </c>
      <c r="E99" s="1" t="n">
        <v>46303</v>
      </c>
      <c r="F99" t="inlineStr">
        <is>
          <t>NORRBOTTENS LÄN</t>
        </is>
      </c>
      <c r="G99" t="inlineStr">
        <is>
          <t>ÖVERKALIX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45086</v>
      </c>
      <c r="E100" s="1" t="n">
        <v>46303</v>
      </c>
      <c r="F100" t="inlineStr">
        <is>
          <t>NORRBOTTENS LÄN</t>
        </is>
      </c>
      <c r="G100" t="inlineStr">
        <is>
          <t>ÖVERKALIX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45785</v>
      </c>
      <c r="E101" s="1" t="n">
        <v>46303</v>
      </c>
      <c r="F101" t="inlineStr">
        <is>
          <t>NORRBOTTENS LÄN</t>
        </is>
      </c>
      <c r="G101" t="inlineStr">
        <is>
          <t>ÖVERKALIX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19541-2024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45429</v>
      </c>
      <c r="E102" s="1" t="n">
        <v>46303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22.7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44890</v>
      </c>
      <c r="E103" s="1" t="n">
        <v>46303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SCA</t>
        </is>
      </c>
      <c r="I103" t="n">
        <v>13.8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11535-2024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46303</v>
      </c>
      <c r="F104" t="inlineStr">
        <is>
          <t>NORRBOTTENS LÄN</t>
        </is>
      </c>
      <c r="G104" t="inlineStr">
        <is>
          <t>ÖVERKALIX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12580-2024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45379</v>
      </c>
      <c r="E105" s="1" t="n">
        <v>46303</v>
      </c>
      <c r="F105" t="inlineStr">
        <is>
          <t>NORRBOTTENS LÄN</t>
        </is>
      </c>
      <c r="G105" t="inlineStr">
        <is>
          <t>ÖVERKALIX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49473-2023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46303</v>
      </c>
      <c r="F106" t="inlineStr">
        <is>
          <t>NORRBOTTENS LÄN</t>
        </is>
      </c>
      <c r="G106" t="inlineStr">
        <is>
          <t>ÖVERKALIX</t>
        </is>
      </c>
      <c r="I106" t="n">
        <v>9.300000000000001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45315</v>
      </c>
      <c r="E107" s="1" t="n">
        <v>46303</v>
      </c>
      <c r="F107" t="inlineStr">
        <is>
          <t>NORRBOTTENS LÄN</t>
        </is>
      </c>
      <c r="G107" t="inlineStr">
        <is>
          <t>ÖVERKALIX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45443</v>
      </c>
      <c r="E108" s="1" t="n">
        <v>46303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25510-2024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45463</v>
      </c>
      <c r="E109" s="1" t="n">
        <v>46303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42119-2024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45562</v>
      </c>
      <c r="E110" s="1" t="n">
        <v>46303</v>
      </c>
      <c r="F110" t="inlineStr">
        <is>
          <t>NORRBOTTENS LÄN</t>
        </is>
      </c>
      <c r="G110" t="inlineStr">
        <is>
          <t>ÖVERKALIX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45793</v>
      </c>
      <c r="E111" s="1" t="n">
        <v>46303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44797</v>
      </c>
      <c r="E112" s="1" t="n">
        <v>46303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46303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10.9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24144-2025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45796</v>
      </c>
      <c r="E114" s="1" t="n">
        <v>46303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44886</v>
      </c>
      <c r="E115" s="1" t="n">
        <v>46303</v>
      </c>
      <c r="F115" t="inlineStr">
        <is>
          <t>NORRBOTTENS LÄN</t>
        </is>
      </c>
      <c r="G115" t="inlineStr">
        <is>
          <t>ÖVERKALIX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46303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23302-2023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45075</v>
      </c>
      <c r="E117" s="1" t="n">
        <v>46303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SCA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72809-2021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44546</v>
      </c>
      <c r="E118" s="1" t="n">
        <v>46303</v>
      </c>
      <c r="F118" t="inlineStr">
        <is>
          <t>NORRBOTTENS LÄN</t>
        </is>
      </c>
      <c r="G118" t="inlineStr">
        <is>
          <t>ÖVERKALIX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45796</v>
      </c>
      <c r="E119" s="1" t="n">
        <v>46303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45807</v>
      </c>
      <c r="E120" s="1" t="n">
        <v>46303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37.4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23867-2025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45793</v>
      </c>
      <c r="E121" s="1" t="n">
        <v>46303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45793</v>
      </c>
      <c r="E122" s="1" t="n">
        <v>46303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72623-2021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44546</v>
      </c>
      <c r="E123" s="1" t="n">
        <v>46303</v>
      </c>
      <c r="F123" t="inlineStr">
        <is>
          <t>NORRBOTTENS LÄN</t>
        </is>
      </c>
      <c r="G123" t="inlineStr">
        <is>
          <t>ÖVERKALIX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46303</v>
      </c>
      <c r="F124" t="inlineStr">
        <is>
          <t>NORRBOTTENS LÄN</t>
        </is>
      </c>
      <c r="G124" t="inlineStr">
        <is>
          <t>ÖVERKALIX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44966</v>
      </c>
      <c r="E125" s="1" t="n">
        <v>46303</v>
      </c>
      <c r="F125" t="inlineStr">
        <is>
          <t>NORRBOTTENS LÄN</t>
        </is>
      </c>
      <c r="G125" t="inlineStr">
        <is>
          <t>ÖVERKALIX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25692-2024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45463</v>
      </c>
      <c r="E126" s="1" t="n">
        <v>46303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45377</v>
      </c>
      <c r="E127" s="1" t="n">
        <v>46303</v>
      </c>
      <c r="F127" t="inlineStr">
        <is>
          <t>NORRBOTTENS LÄN</t>
        </is>
      </c>
      <c r="G127" t="inlineStr">
        <is>
          <t>ÖVERKALIX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30993-2025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46303</v>
      </c>
      <c r="F128" t="inlineStr">
        <is>
          <t>NORRBOTTENS LÄN</t>
        </is>
      </c>
      <c r="G128" t="inlineStr">
        <is>
          <t>ÖVERKALIX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45323</v>
      </c>
      <c r="E129" s="1" t="n">
        <v>46303</v>
      </c>
      <c r="F129" t="inlineStr">
        <is>
          <t>NORRBOTTENS LÄN</t>
        </is>
      </c>
      <c r="G129" t="inlineStr">
        <is>
          <t>ÖVERKALIX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45820</v>
      </c>
      <c r="E130" s="1" t="n">
        <v>46303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Sveaskog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45803</v>
      </c>
      <c r="E131" s="1" t="n">
        <v>46303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Sveaskog</t>
        </is>
      </c>
      <c r="I131" t="n">
        <v>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46303</v>
      </c>
      <c r="F132" t="inlineStr">
        <is>
          <t>NORRBOTTENS LÄN</t>
        </is>
      </c>
      <c r="G132" t="inlineStr">
        <is>
          <t>ÖVERKALIX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46303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46303</v>
      </c>
      <c r="F134" t="inlineStr">
        <is>
          <t>NORRBOTTENS LÄN</t>
        </is>
      </c>
      <c r="G134" t="inlineStr">
        <is>
          <t>ÖVERKALIX</t>
        </is>
      </c>
      <c r="I134" t="n">
        <v>21.7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46303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17.5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73216-2021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44547</v>
      </c>
      <c r="E136" s="1" t="n">
        <v>46303</v>
      </c>
      <c r="F136" t="inlineStr">
        <is>
          <t>NORRBOTTENS LÄN</t>
        </is>
      </c>
      <c r="G136" t="inlineStr">
        <is>
          <t>ÖVERKALIX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26945-2025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46303</v>
      </c>
      <c r="F137" t="inlineStr">
        <is>
          <t>NORRBOTTENS LÄN</t>
        </is>
      </c>
      <c r="G137" t="inlineStr">
        <is>
          <t>ÖVERKALIX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45767-2023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46303</v>
      </c>
      <c r="F138" t="inlineStr">
        <is>
          <t>NORRBOTTENS LÄN</t>
        </is>
      </c>
      <c r="G138" t="inlineStr">
        <is>
          <t>ÖVERKALIX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44754-2025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45917</v>
      </c>
      <c r="E139" s="1" t="n">
        <v>46303</v>
      </c>
      <c r="F139" t="inlineStr">
        <is>
          <t>NORRBOTTENS LÄN</t>
        </is>
      </c>
      <c r="G139" t="inlineStr">
        <is>
          <t>ÖVERKALIX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26944-2025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46303</v>
      </c>
      <c r="F140" t="inlineStr">
        <is>
          <t>NORRBOTTENS LÄN</t>
        </is>
      </c>
      <c r="G140" t="inlineStr">
        <is>
          <t>ÖVERKALIX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45535-2025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45922</v>
      </c>
      <c r="E141" s="1" t="n">
        <v>46303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45813</v>
      </c>
      <c r="E142" s="1" t="n">
        <v>46303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8.699999999999999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46303</v>
      </c>
      <c r="F143" t="inlineStr">
        <is>
          <t>NORRBOTTENS LÄN</t>
        </is>
      </c>
      <c r="G143" t="inlineStr">
        <is>
          <t>ÖVERKALIX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45813</v>
      </c>
      <c r="E144" s="1" t="n">
        <v>46303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27456-2025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45813</v>
      </c>
      <c r="E145" s="1" t="n">
        <v>46303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SCA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45813</v>
      </c>
      <c r="E146" s="1" t="n">
        <v>46303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45813</v>
      </c>
      <c r="E147" s="1" t="n">
        <v>46303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45813</v>
      </c>
      <c r="E148" s="1" t="n">
        <v>46303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45334</v>
      </c>
      <c r="E149" s="1" t="n">
        <v>46303</v>
      </c>
      <c r="F149" t="inlineStr">
        <is>
          <t>NORRBOTTENS LÄN</t>
        </is>
      </c>
      <c r="G149" t="inlineStr">
        <is>
          <t>ÖVERKALIX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44938</v>
      </c>
      <c r="E150" s="1" t="n">
        <v>46303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45379</v>
      </c>
      <c r="E151" s="1" t="n">
        <v>46303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46303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9.699999999999999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46303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45820</v>
      </c>
      <c r="E154" s="1" t="n">
        <v>46303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45820</v>
      </c>
      <c r="E155" s="1" t="n">
        <v>46303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6.7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46303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46303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45821</v>
      </c>
      <c r="E158" s="1" t="n">
        <v>46303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17.2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29464-2025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46303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44964</v>
      </c>
      <c r="E160" s="1" t="n">
        <v>46303</v>
      </c>
      <c r="F160" t="inlineStr">
        <is>
          <t>NORRBOTTENS LÄN</t>
        </is>
      </c>
      <c r="G160" t="inlineStr">
        <is>
          <t>ÖVERKALIX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29147-2025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45821</v>
      </c>
      <c r="E161" s="1" t="n">
        <v>46303</v>
      </c>
      <c r="F161" t="inlineStr">
        <is>
          <t>NORRBOTTENS LÄN</t>
        </is>
      </c>
      <c r="G161" t="inlineStr">
        <is>
          <t>ÖVERKALIX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29213-2025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46303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45824</v>
      </c>
      <c r="E163" s="1" t="n">
        <v>46303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Sveaskog</t>
        </is>
      </c>
      <c r="I163" t="n">
        <v>24.4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29463-2025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46303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45826</v>
      </c>
      <c r="E165" s="1" t="n">
        <v>46303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45826</v>
      </c>
      <c r="E166" s="1" t="n">
        <v>46303</v>
      </c>
      <c r="F166" t="inlineStr">
        <is>
          <t>NORRBOTTENS LÄN</t>
        </is>
      </c>
      <c r="G166" t="inlineStr">
        <is>
          <t>ÖVERKALIX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29532-2025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46303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45469</v>
      </c>
      <c r="E168" s="1" t="n">
        <v>46303</v>
      </c>
      <c r="F168" t="inlineStr">
        <is>
          <t>NORRBOTTENS LÄN</t>
        </is>
      </c>
      <c r="G168" t="inlineStr">
        <is>
          <t>ÖVERKALIX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45404</v>
      </c>
      <c r="E169" s="1" t="n">
        <v>46303</v>
      </c>
      <c r="F169" t="inlineStr">
        <is>
          <t>NORRBOTTENS LÄN</t>
        </is>
      </c>
      <c r="G169" t="inlineStr">
        <is>
          <t>ÖVERKALIX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46303</v>
      </c>
      <c r="F170" t="inlineStr">
        <is>
          <t>NORRBOTTENS LÄN</t>
        </is>
      </c>
      <c r="G170" t="inlineStr">
        <is>
          <t>ÖVERKALIX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48667-2025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45936</v>
      </c>
      <c r="E171" s="1" t="n">
        <v>46303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24548-2024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45460</v>
      </c>
      <c r="E172" s="1" t="n">
        <v>46303</v>
      </c>
      <c r="F172" t="inlineStr">
        <is>
          <t>NORRBOTTENS LÄN</t>
        </is>
      </c>
      <c r="G172" t="inlineStr">
        <is>
          <t>ÖVERKALIX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44899</v>
      </c>
      <c r="E173" s="1" t="n">
        <v>46303</v>
      </c>
      <c r="F173" t="inlineStr">
        <is>
          <t>NORRBOTTENS LÄN</t>
        </is>
      </c>
      <c r="G173" t="inlineStr">
        <is>
          <t>ÖVERKALIX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45834</v>
      </c>
      <c r="E174" s="1" t="n">
        <v>46303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31744-2025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45834</v>
      </c>
      <c r="E175" s="1" t="n">
        <v>46303</v>
      </c>
      <c r="F175" t="inlineStr">
        <is>
          <t>NORRBOTTENS LÄN</t>
        </is>
      </c>
      <c r="G175" t="inlineStr">
        <is>
          <t>ÖVERKALIX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45436</v>
      </c>
      <c r="E176" s="1" t="n">
        <v>46303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29.9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45838</v>
      </c>
      <c r="E177" s="1" t="n">
        <v>46303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46303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45460</v>
      </c>
      <c r="E179" s="1" t="n">
        <v>46303</v>
      </c>
      <c r="F179" t="inlineStr">
        <is>
          <t>NORRBOTTENS LÄN</t>
        </is>
      </c>
      <c r="G179" t="inlineStr">
        <is>
          <t>ÖVERKALIX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45429</v>
      </c>
      <c r="E180" s="1" t="n">
        <v>46303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45940</v>
      </c>
      <c r="E181" s="1" t="n">
        <v>46303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14255-2023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45009</v>
      </c>
      <c r="E182" s="1" t="n">
        <v>46303</v>
      </c>
      <c r="F182" t="inlineStr">
        <is>
          <t>NORRBOTTENS LÄN</t>
        </is>
      </c>
      <c r="G182" t="inlineStr">
        <is>
          <t>ÖVERKALIX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45837</v>
      </c>
      <c r="E183" s="1" t="n">
        <v>46303</v>
      </c>
      <c r="F183" t="inlineStr">
        <is>
          <t>NORRBOTTENS LÄN</t>
        </is>
      </c>
      <c r="G183" t="inlineStr">
        <is>
          <t>ÖVERKALIX</t>
        </is>
      </c>
      <c r="I183" t="n">
        <v>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46303</v>
      </c>
      <c r="F184" t="inlineStr">
        <is>
          <t>NORRBOTTENS LÄN</t>
        </is>
      </c>
      <c r="G184" t="inlineStr">
        <is>
          <t>ÖVERKALIX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45835</v>
      </c>
      <c r="E185" s="1" t="n">
        <v>46303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32370-2025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45837</v>
      </c>
      <c r="E186" s="1" t="n">
        <v>46303</v>
      </c>
      <c r="F186" t="inlineStr">
        <is>
          <t>NORRBOTTENS LÄN</t>
        </is>
      </c>
      <c r="G186" t="inlineStr">
        <is>
          <t>ÖVERKALIX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45837</v>
      </c>
      <c r="E187" s="1" t="n">
        <v>46303</v>
      </c>
      <c r="F187" t="inlineStr">
        <is>
          <t>NORRBOTTENS LÄN</t>
        </is>
      </c>
      <c r="G187" t="inlineStr">
        <is>
          <t>ÖVERKALIX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46303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33865-2023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45133</v>
      </c>
      <c r="E189" s="1" t="n">
        <v>46303</v>
      </c>
      <c r="F189" t="inlineStr">
        <is>
          <t>NORRBOTTENS LÄN</t>
        </is>
      </c>
      <c r="G189" t="inlineStr">
        <is>
          <t>ÖVERKALIX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45539</v>
      </c>
      <c r="E190" s="1" t="n">
        <v>46303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46303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10.5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50720-2025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45946</v>
      </c>
      <c r="E192" s="1" t="n">
        <v>46303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33266-2025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45840</v>
      </c>
      <c r="E193" s="1" t="n">
        <v>46303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45840</v>
      </c>
      <c r="E194" s="1" t="n">
        <v>46303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47734-2024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45588</v>
      </c>
      <c r="E195" s="1" t="n">
        <v>46303</v>
      </c>
      <c r="F195" t="inlineStr">
        <is>
          <t>NORRBOTTENS LÄN</t>
        </is>
      </c>
      <c r="G195" t="inlineStr">
        <is>
          <t>ÖVERKALIX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50983-2025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46303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45947</v>
      </c>
      <c r="E197" s="1" t="n">
        <v>46303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45949</v>
      </c>
      <c r="E198" s="1" t="n">
        <v>46303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37429-2024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45540</v>
      </c>
      <c r="E199" s="1" t="n">
        <v>46303</v>
      </c>
      <c r="F199" t="inlineStr">
        <is>
          <t>NORRBOTTENS LÄN</t>
        </is>
      </c>
      <c r="G199" t="inlineStr">
        <is>
          <t>ÖVERKALIX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34128-2025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45845</v>
      </c>
      <c r="E200" s="1" t="n">
        <v>46303</v>
      </c>
      <c r="F200" t="inlineStr">
        <is>
          <t>NORRBOTTENS LÄN</t>
        </is>
      </c>
      <c r="G200" t="inlineStr">
        <is>
          <t>ÖVERKALIX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45070</v>
      </c>
      <c r="E201" s="1" t="n">
        <v>46303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45141</v>
      </c>
      <c r="E202" s="1" t="n">
        <v>46303</v>
      </c>
      <c r="F202" t="inlineStr">
        <is>
          <t>NORRBOTTENS LÄN</t>
        </is>
      </c>
      <c r="G202" t="inlineStr">
        <is>
          <t>ÖVERKALIX</t>
        </is>
      </c>
      <c r="I202" t="n">
        <v>8.6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45518</v>
      </c>
      <c r="E203" s="1" t="n">
        <v>46303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33315-2024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45518</v>
      </c>
      <c r="E204" s="1" t="n">
        <v>46303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51634-2025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45951</v>
      </c>
      <c r="E205" s="1" t="n">
        <v>46303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46303</v>
      </c>
      <c r="F206" t="inlineStr">
        <is>
          <t>NORRBOTTENS LÄN</t>
        </is>
      </c>
      <c r="G206" t="inlineStr">
        <is>
          <t>ÖVERKALIX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72364-2021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44543</v>
      </c>
      <c r="E207" s="1" t="n">
        <v>46303</v>
      </c>
      <c r="F207" t="inlineStr">
        <is>
          <t>NORRBOTTENS LÄN</t>
        </is>
      </c>
      <c r="G207" t="inlineStr">
        <is>
          <t>ÖVERKALIX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5653-2022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44595</v>
      </c>
      <c r="E208" s="1" t="n">
        <v>46303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52591-2025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45954</v>
      </c>
      <c r="E209" s="1" t="n">
        <v>46303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53091-2025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45958</v>
      </c>
      <c r="E210" s="1" t="n">
        <v>46303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32615-2024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45513</v>
      </c>
      <c r="E211" s="1" t="n">
        <v>46303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9.800000000000001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32477-2024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45513</v>
      </c>
      <c r="E212" s="1" t="n">
        <v>46303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52973-2025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45957</v>
      </c>
      <c r="E213" s="1" t="n">
        <v>46303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9.9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45622</v>
      </c>
      <c r="E214" s="1" t="n">
        <v>46303</v>
      </c>
      <c r="F214" t="inlineStr">
        <is>
          <t>NORRBOTTENS LÄN</t>
        </is>
      </c>
      <c r="G214" t="inlineStr">
        <is>
          <t>ÖVERKALIX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54118-2025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46303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7039-2022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44603</v>
      </c>
      <c r="E216" s="1" t="n">
        <v>46303</v>
      </c>
      <c r="F216" t="inlineStr">
        <is>
          <t>NORRBOTTENS LÄN</t>
        </is>
      </c>
      <c r="G216" t="inlineStr">
        <is>
          <t>ÖVERKALIX</t>
        </is>
      </c>
      <c r="H216" t="inlineStr">
        <is>
          <t>Övriga statliga verk och myndigheter</t>
        </is>
      </c>
      <c r="I216" t="n">
        <v>10.3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46303</v>
      </c>
      <c r="F217" t="inlineStr">
        <is>
          <t>NORRBOTTENS LÄN</t>
        </is>
      </c>
      <c r="G217" t="inlineStr">
        <is>
          <t>ÖVERKALIX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36486-2025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45869</v>
      </c>
      <c r="E218" s="1" t="n">
        <v>46303</v>
      </c>
      <c r="F218" t="inlineStr">
        <is>
          <t>NORRBOTTENS LÄN</t>
        </is>
      </c>
      <c r="G218" t="inlineStr">
        <is>
          <t>ÖVERKALIX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36620-2025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45870</v>
      </c>
      <c r="E219" s="1" t="n">
        <v>46303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45870</v>
      </c>
      <c r="E220" s="1" t="n">
        <v>46303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36501-2025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45869</v>
      </c>
      <c r="E221" s="1" t="n">
        <v>46303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45321</v>
      </c>
      <c r="E222" s="1" t="n">
        <v>46303</v>
      </c>
      <c r="F222" t="inlineStr">
        <is>
          <t>NORRBOTTENS LÄN</t>
        </is>
      </c>
      <c r="G222" t="inlineStr">
        <is>
          <t>ÖVERKALIX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45967</v>
      </c>
      <c r="E223" s="1" t="n">
        <v>46303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45873</v>
      </c>
      <c r="E224" s="1" t="n">
        <v>46303</v>
      </c>
      <c r="F224" t="inlineStr">
        <is>
          <t>NORRBOTTENS LÄN</t>
        </is>
      </c>
      <c r="G224" t="inlineStr">
        <is>
          <t>ÖVERKALIX</t>
        </is>
      </c>
      <c r="I224" t="n">
        <v>6.9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46303</v>
      </c>
      <c r="F225" t="inlineStr">
        <is>
          <t>NORRBOTTENS LÄN</t>
        </is>
      </c>
      <c r="G225" t="inlineStr">
        <is>
          <t>ÖVERKALIX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45882</v>
      </c>
      <c r="E226" s="1" t="n">
        <v>46303</v>
      </c>
      <c r="F226" t="inlineStr">
        <is>
          <t>NORRBOTTENS LÄN</t>
        </is>
      </c>
      <c r="G226" t="inlineStr">
        <is>
          <t>ÖVERKALIX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46303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13.4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45882</v>
      </c>
      <c r="E228" s="1" t="n">
        <v>46303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44950</v>
      </c>
      <c r="E229" s="1" t="n">
        <v>46303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2723-2025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45677</v>
      </c>
      <c r="E230" s="1" t="n">
        <v>46303</v>
      </c>
      <c r="F230" t="inlineStr">
        <is>
          <t>NORRBOTTENS LÄN</t>
        </is>
      </c>
      <c r="G230" t="inlineStr">
        <is>
          <t>ÖVERKALIX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45371</v>
      </c>
      <c r="E231" s="1" t="n">
        <v>46303</v>
      </c>
      <c r="F231" t="inlineStr">
        <is>
          <t>NORRBOTTENS LÄN</t>
        </is>
      </c>
      <c r="G231" t="inlineStr">
        <is>
          <t>ÖVERKALIX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45588</v>
      </c>
      <c r="E232" s="1" t="n">
        <v>46303</v>
      </c>
      <c r="F232" t="inlineStr">
        <is>
          <t>NORRBOTTENS LÄN</t>
        </is>
      </c>
      <c r="G232" t="inlineStr">
        <is>
          <t>ÖVERKALIX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46303</v>
      </c>
      <c r="F233" t="inlineStr">
        <is>
          <t>NORRBOTTENS LÄN</t>
        </is>
      </c>
      <c r="G233" t="inlineStr">
        <is>
          <t>ÖVERKALIX</t>
        </is>
      </c>
      <c r="I233" t="n">
        <v>8.6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45548</v>
      </c>
      <c r="E234" s="1" t="n">
        <v>46303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27681-2023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45097</v>
      </c>
      <c r="E235" s="1" t="n">
        <v>46303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45429</v>
      </c>
      <c r="E236" s="1" t="n">
        <v>46303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15546-2024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45401</v>
      </c>
      <c r="E237" s="1" t="n">
        <v>46303</v>
      </c>
      <c r="F237" t="inlineStr">
        <is>
          <t>NORRBOTTENS LÄN</t>
        </is>
      </c>
      <c r="G237" t="inlineStr">
        <is>
          <t>ÖVERKALIX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57744-2025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45981</v>
      </c>
      <c r="E238" s="1" t="n">
        <v>46303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15301-2022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44659</v>
      </c>
      <c r="E239" s="1" t="n">
        <v>46303</v>
      </c>
      <c r="F239" t="inlineStr">
        <is>
          <t>NORRBOTTENS LÄN</t>
        </is>
      </c>
      <c r="G239" t="inlineStr">
        <is>
          <t>ÖVERKALIX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28208-2025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45818</v>
      </c>
      <c r="E240" s="1" t="n">
        <v>46303</v>
      </c>
      <c r="F240" t="inlineStr">
        <is>
          <t>NORRBOTTENS LÄN</t>
        </is>
      </c>
      <c r="G240" t="inlineStr">
        <is>
          <t>ÖVERKALIX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45748-2023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45189</v>
      </c>
      <c r="E241" s="1" t="n">
        <v>46303</v>
      </c>
      <c r="F241" t="inlineStr">
        <is>
          <t>NORRBOTTENS LÄN</t>
        </is>
      </c>
      <c r="G241" t="inlineStr">
        <is>
          <t>ÖVERKALIX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46303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13717-2022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44648</v>
      </c>
      <c r="E243" s="1" t="n">
        <v>46303</v>
      </c>
      <c r="F243" t="inlineStr">
        <is>
          <t>NORRBOTTENS LÄN</t>
        </is>
      </c>
      <c r="G243" t="inlineStr">
        <is>
          <t>ÖVERKALIX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58644-2025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45986</v>
      </c>
      <c r="E244" s="1" t="n">
        <v>46303</v>
      </c>
      <c r="F244" t="inlineStr">
        <is>
          <t>NORRBOTTENS LÄN</t>
        </is>
      </c>
      <c r="G244" t="inlineStr">
        <is>
          <t>ÖVERKALIX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46303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46303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45986</v>
      </c>
      <c r="E247" s="1" t="n">
        <v>46303</v>
      </c>
      <c r="F247" t="inlineStr">
        <is>
          <t>NORRBOTTENS LÄN</t>
        </is>
      </c>
      <c r="G247" t="inlineStr">
        <is>
          <t>ÖVERKALIX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46303</v>
      </c>
      <c r="F248" t="inlineStr">
        <is>
          <t>NORRBOTTENS LÄN</t>
        </is>
      </c>
      <c r="G248" t="inlineStr">
        <is>
          <t>ÖVERKALIX</t>
        </is>
      </c>
      <c r="I248" t="n">
        <v>16.1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45622</v>
      </c>
      <c r="E249" s="1" t="n">
        <v>46303</v>
      </c>
      <c r="F249" t="inlineStr">
        <is>
          <t>NORRBOTTENS LÄN</t>
        </is>
      </c>
      <c r="G249" t="inlineStr">
        <is>
          <t>ÖVERKALIX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55857-2024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45622</v>
      </c>
      <c r="E250" s="1" t="n">
        <v>46303</v>
      </c>
      <c r="F250" t="inlineStr">
        <is>
          <t>NORRBOTTENS LÄN</t>
        </is>
      </c>
      <c r="G250" t="inlineStr">
        <is>
          <t>ÖVERKALIX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21419-2026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46148</v>
      </c>
      <c r="E251" s="1" t="n">
        <v>46303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21423-2026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46148</v>
      </c>
      <c r="E252" s="1" t="n">
        <v>46303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Sveaskog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21424-2026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46148</v>
      </c>
      <c r="E253" s="1" t="n">
        <v>46303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21425-2026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46148</v>
      </c>
      <c r="E254" s="1" t="n">
        <v>46303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Sveaskog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21411-2026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46148</v>
      </c>
      <c r="E255" s="1" t="n">
        <v>46303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21417-2026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46148</v>
      </c>
      <c r="E256" s="1" t="n">
        <v>46303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Sveaskog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21427-2026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46148</v>
      </c>
      <c r="E257" s="1" t="n">
        <v>46303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Sveaskog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46148</v>
      </c>
      <c r="E258" s="1" t="n">
        <v>46303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11.5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46148</v>
      </c>
      <c r="E259" s="1" t="n">
        <v>46303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Sveaskog</t>
        </is>
      </c>
      <c r="I259" t="n">
        <v>18.8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46303</v>
      </c>
      <c r="F260" t="inlineStr">
        <is>
          <t>NORRBOTTENS LÄN</t>
        </is>
      </c>
      <c r="G260" t="inlineStr">
        <is>
          <t>ÖVERKALIX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59202-2025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46303</v>
      </c>
      <c r="F261" t="inlineStr">
        <is>
          <t>NORRBOTTENS LÄN</t>
        </is>
      </c>
      <c r="G261" t="inlineStr">
        <is>
          <t>ÖVERKALIX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55227-2024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45621</v>
      </c>
      <c r="E262" s="1" t="n">
        <v>46303</v>
      </c>
      <c r="F262" t="inlineStr">
        <is>
          <t>NORRBOTTENS LÄN</t>
        </is>
      </c>
      <c r="G262" t="inlineStr">
        <is>
          <t>ÖVERKALIX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46303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SCA</t>
        </is>
      </c>
      <c r="I263" t="n">
        <v>23.2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62561-2023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45268</v>
      </c>
      <c r="E264" s="1" t="n">
        <v>46303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48221-2025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46303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41830-2024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45561</v>
      </c>
      <c r="E266" s="1" t="n">
        <v>46303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45992</v>
      </c>
      <c r="E267" s="1" t="n">
        <v>46303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13.3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8417-2025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45709</v>
      </c>
      <c r="E268" s="1" t="n">
        <v>46303</v>
      </c>
      <c r="F268" t="inlineStr">
        <is>
          <t>NORRBOTTENS LÄN</t>
        </is>
      </c>
      <c r="G268" t="inlineStr">
        <is>
          <t>ÖVERKALIX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45076</v>
      </c>
      <c r="E269" s="1" t="n">
        <v>46303</v>
      </c>
      <c r="F269" t="inlineStr">
        <is>
          <t>NORRBOTTENS LÄN</t>
        </is>
      </c>
      <c r="G269" t="inlineStr">
        <is>
          <t>ÖVERKALIX</t>
        </is>
      </c>
      <c r="H269" t="inlineStr">
        <is>
          <t>Övriga statliga verk och myndigheter</t>
        </is>
      </c>
      <c r="I269" t="n">
        <v>38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40281-2022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44820</v>
      </c>
      <c r="E270" s="1" t="n">
        <v>46303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40619-2022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44823</v>
      </c>
      <c r="E271" s="1" t="n">
        <v>46303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45744</v>
      </c>
      <c r="E272" s="1" t="n">
        <v>46303</v>
      </c>
      <c r="F272" t="inlineStr">
        <is>
          <t>NORRBOTTENS LÄN</t>
        </is>
      </c>
      <c r="G272" t="inlineStr">
        <is>
          <t>ÖVERKALIX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45993</v>
      </c>
      <c r="E273" s="1" t="n">
        <v>46303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45693</v>
      </c>
      <c r="E274" s="1" t="n">
        <v>46303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45994</v>
      </c>
      <c r="E275" s="1" t="n">
        <v>46303</v>
      </c>
      <c r="F275" t="inlineStr">
        <is>
          <t>NORRBOTTENS LÄN</t>
        </is>
      </c>
      <c r="G275" t="inlineStr">
        <is>
          <t>ÖVERKALIX</t>
        </is>
      </c>
      <c r="I275" t="n">
        <v>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22945-2026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46160</v>
      </c>
      <c r="E276" s="1" t="n">
        <v>46303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55853-2024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46303</v>
      </c>
      <c r="F277" t="inlineStr">
        <is>
          <t>NORRBOTTENS LÄN</t>
        </is>
      </c>
      <c r="G277" t="inlineStr">
        <is>
          <t>ÖVERKALIX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45996</v>
      </c>
      <c r="E278" s="1" t="n">
        <v>46303</v>
      </c>
      <c r="F278" t="inlineStr">
        <is>
          <t>NORRBOTTENS LÄN</t>
        </is>
      </c>
      <c r="G278" t="inlineStr">
        <is>
          <t>ÖVERKALIX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45702</v>
      </c>
      <c r="E279" s="1" t="n">
        <v>46303</v>
      </c>
      <c r="F279" t="inlineStr">
        <is>
          <t>NORRBOTTENS LÄN</t>
        </is>
      </c>
      <c r="G279" t="inlineStr">
        <is>
          <t>ÖVERKALIX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60815-2025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46303</v>
      </c>
      <c r="F280" t="inlineStr">
        <is>
          <t>NORRBOTTENS LÄN</t>
        </is>
      </c>
      <c r="G280" t="inlineStr">
        <is>
          <t>ÖVERKALIX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60834-2025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45999</v>
      </c>
      <c r="E281" s="1" t="n">
        <v>46303</v>
      </c>
      <c r="F281" t="inlineStr">
        <is>
          <t>NORRBOTTENS LÄN</t>
        </is>
      </c>
      <c r="G281" t="inlineStr">
        <is>
          <t>ÖVERKALIX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60890-2025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46303</v>
      </c>
      <c r="F282" t="inlineStr">
        <is>
          <t>NORRBOTTENS LÄN</t>
        </is>
      </c>
      <c r="G282" t="inlineStr">
        <is>
          <t>ÖVERKALIX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58764-2023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45251</v>
      </c>
      <c r="E283" s="1" t="n">
        <v>46303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60909-2025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46303</v>
      </c>
      <c r="F284" t="inlineStr">
        <is>
          <t>NORRBOTTENS LÄN</t>
        </is>
      </c>
      <c r="G284" t="inlineStr">
        <is>
          <t>ÖVERKALIX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45999</v>
      </c>
      <c r="E285" s="1" t="n">
        <v>46303</v>
      </c>
      <c r="F285" t="inlineStr">
        <is>
          <t>NORRBOTTENS LÄN</t>
        </is>
      </c>
      <c r="G285" t="inlineStr">
        <is>
          <t>ÖVERKALIX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22955-2026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46160</v>
      </c>
      <c r="E286" s="1" t="n">
        <v>46303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61406-2025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46303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25506-2024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45463</v>
      </c>
      <c r="E288" s="1" t="n">
        <v>46303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Sveaskog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60463-2024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45643</v>
      </c>
      <c r="E289" s="1" t="n">
        <v>46303</v>
      </c>
      <c r="F289" t="inlineStr">
        <is>
          <t>NORRBOTTENS LÄN</t>
        </is>
      </c>
      <c r="G289" t="inlineStr">
        <is>
          <t>ÖVERKALIX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46303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58037-2024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45631</v>
      </c>
      <c r="E291" s="1" t="n">
        <v>46303</v>
      </c>
      <c r="F291" t="inlineStr">
        <is>
          <t>NORRBOTTENS LÄN</t>
        </is>
      </c>
      <c r="G291" t="inlineStr">
        <is>
          <t>ÖVERKALIX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46303</v>
      </c>
      <c r="F292" t="inlineStr">
        <is>
          <t>NORRBOTTENS LÄN</t>
        </is>
      </c>
      <c r="G292" t="inlineStr">
        <is>
          <t>ÖVERKALIX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5526-2025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45693</v>
      </c>
      <c r="E293" s="1" t="n">
        <v>46303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23360-2026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46162</v>
      </c>
      <c r="E294" s="1" t="n">
        <v>46303</v>
      </c>
      <c r="F294" t="inlineStr">
        <is>
          <t>NORRBOTTENS LÄN</t>
        </is>
      </c>
      <c r="G294" t="inlineStr">
        <is>
          <t>ÖVERKALIX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46162</v>
      </c>
      <c r="E295" s="1" t="n">
        <v>46303</v>
      </c>
      <c r="F295" t="inlineStr">
        <is>
          <t>NORRBOTTENS LÄN</t>
        </is>
      </c>
      <c r="G295" t="inlineStr">
        <is>
          <t>ÖVERKALIX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42721-2023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45181</v>
      </c>
      <c r="E296" s="1" t="n">
        <v>46303</v>
      </c>
      <c r="F296" t="inlineStr">
        <is>
          <t>NORRBOTTENS LÄN</t>
        </is>
      </c>
      <c r="G296" t="inlineStr">
        <is>
          <t>ÖVERKALIX</t>
        </is>
      </c>
      <c r="I296" t="n">
        <v>13.1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11919-2023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44993</v>
      </c>
      <c r="E297" s="1" t="n">
        <v>46303</v>
      </c>
      <c r="F297" t="inlineStr">
        <is>
          <t>NORRBOTTENS LÄN</t>
        </is>
      </c>
      <c r="G297" t="inlineStr">
        <is>
          <t>ÖVERKALIX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45807</v>
      </c>
      <c r="E298" s="1" t="n">
        <v>46303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44952-2024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45575</v>
      </c>
      <c r="E299" s="1" t="n">
        <v>46303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51561-2024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45604</v>
      </c>
      <c r="E300" s="1" t="n">
        <v>46303</v>
      </c>
      <c r="F300" t="inlineStr">
        <is>
          <t>NORRBOTTENS LÄN</t>
        </is>
      </c>
      <c r="G300" t="inlineStr">
        <is>
          <t>ÖVERKALIX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52976-2024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45611</v>
      </c>
      <c r="E301" s="1" t="n">
        <v>46303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23588-2026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46303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9.9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46164</v>
      </c>
      <c r="E303" s="1" t="n">
        <v>46303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45950</v>
      </c>
      <c r="E304" s="1" t="n">
        <v>46303</v>
      </c>
      <c r="F304" t="inlineStr">
        <is>
          <t>NORRBOTTENS LÄN</t>
        </is>
      </c>
      <c r="G304" t="inlineStr">
        <is>
          <t>ÖVERKALIX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46303</v>
      </c>
      <c r="F305" t="inlineStr">
        <is>
          <t>NORRBOTTENS LÄN</t>
        </is>
      </c>
      <c r="G305" t="inlineStr">
        <is>
          <t>ÖVERKALIX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63087-2025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46303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28372-2025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45818</v>
      </c>
      <c r="E307" s="1" t="n">
        <v>46303</v>
      </c>
      <c r="F307" t="inlineStr">
        <is>
          <t>NORRBOTTENS LÄN</t>
        </is>
      </c>
      <c r="G307" t="inlineStr">
        <is>
          <t>ÖVERKALIX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45699</v>
      </c>
      <c r="E308" s="1" t="n">
        <v>46303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18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46303</v>
      </c>
      <c r="F309" t="inlineStr">
        <is>
          <t>NORRBOTTENS LÄN</t>
        </is>
      </c>
      <c r="G309" t="inlineStr">
        <is>
          <t>ÖVERKALIX</t>
        </is>
      </c>
      <c r="I309" t="n">
        <v>9.800000000000001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46167</v>
      </c>
      <c r="E310" s="1" t="n">
        <v>46303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46168</v>
      </c>
      <c r="E311" s="1" t="n">
        <v>46303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14.2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64524-2023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45281</v>
      </c>
      <c r="E312" s="1" t="n">
        <v>46303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46013</v>
      </c>
      <c r="E313" s="1" t="n">
        <v>46303</v>
      </c>
      <c r="F313" t="inlineStr">
        <is>
          <t>NORRBOTTENS LÄN</t>
        </is>
      </c>
      <c r="G313" t="inlineStr">
        <is>
          <t>ÖVERKALIX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63454-2025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46013</v>
      </c>
      <c r="E314" s="1" t="n">
        <v>46303</v>
      </c>
      <c r="F314" t="inlineStr">
        <is>
          <t>NORRBOTTENS LÄN</t>
        </is>
      </c>
      <c r="G314" t="inlineStr">
        <is>
          <t>ÖVERKALIX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23949-2026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46303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23953-2026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46303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23942-2026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46167</v>
      </c>
      <c r="E317" s="1" t="n">
        <v>46303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63545-2025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46303</v>
      </c>
      <c r="F318" t="inlineStr">
        <is>
          <t>NORRBOTTENS LÄN</t>
        </is>
      </c>
      <c r="G318" t="inlineStr">
        <is>
          <t>ÖVERKALIX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23935-2026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46303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46303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45699</v>
      </c>
      <c r="E321" s="1" t="n">
        <v>46303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28.8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50392-2025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45944</v>
      </c>
      <c r="E322" s="1" t="n">
        <v>46303</v>
      </c>
      <c r="F322" t="inlineStr">
        <is>
          <t>NORRBOTTENS LÄN</t>
        </is>
      </c>
      <c r="G322" t="inlineStr">
        <is>
          <t>ÖVERKALIX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46303</v>
      </c>
      <c r="F323" t="inlineStr">
        <is>
          <t>NORRBOTTENS LÄN</t>
        </is>
      </c>
      <c r="G323" t="inlineStr">
        <is>
          <t>ÖVERKALIX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46303</v>
      </c>
      <c r="F324" t="inlineStr">
        <is>
          <t>NORRBOTTENS LÄN</t>
        </is>
      </c>
      <c r="G324" t="inlineStr">
        <is>
          <t>ÖVERKALIX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46303</v>
      </c>
      <c r="F325" t="inlineStr">
        <is>
          <t>NORRBOTTENS LÄN</t>
        </is>
      </c>
      <c r="G325" t="inlineStr">
        <is>
          <t>ÖVERKALIX</t>
        </is>
      </c>
      <c r="I325" t="n">
        <v>10.1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25546-2026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46177</v>
      </c>
      <c r="E326" s="1" t="n">
        <v>46303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46177</v>
      </c>
      <c r="E327" s="1" t="n">
        <v>46303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26554-2023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45092</v>
      </c>
      <c r="E328" s="1" t="n">
        <v>46303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1944-2022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44575</v>
      </c>
      <c r="E329" s="1" t="n">
        <v>46303</v>
      </c>
      <c r="F329" t="inlineStr">
        <is>
          <t>NORRBOTTENS LÄN</t>
        </is>
      </c>
      <c r="G329" t="inlineStr">
        <is>
          <t>ÖVERKALIX</t>
        </is>
      </c>
      <c r="I329" t="n">
        <v>10.4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15491-2025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45747</v>
      </c>
      <c r="E330" s="1" t="n">
        <v>46303</v>
      </c>
      <c r="F330" t="inlineStr">
        <is>
          <t>NORRBOTTENS LÄN</t>
        </is>
      </c>
      <c r="G330" t="inlineStr">
        <is>
          <t>ÖVERKALIX</t>
        </is>
      </c>
      <c r="I330" t="n">
        <v>10.4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45693</v>
      </c>
      <c r="E331" s="1" t="n">
        <v>46303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45631</v>
      </c>
      <c r="E332" s="1" t="n">
        <v>46303</v>
      </c>
      <c r="F332" t="inlineStr">
        <is>
          <t>NORRBOTTENS LÄN</t>
        </is>
      </c>
      <c r="G332" t="inlineStr">
        <is>
          <t>ÖVERKALIX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25822-2026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46178</v>
      </c>
      <c r="E333" s="1" t="n">
        <v>46303</v>
      </c>
      <c r="F333" t="inlineStr">
        <is>
          <t>NORRBOTTENS LÄN</t>
        </is>
      </c>
      <c r="G333" t="inlineStr">
        <is>
          <t>ÖVERKALIX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46303</v>
      </c>
      <c r="F334" t="inlineStr">
        <is>
          <t>NORRBOTTENS LÄN</t>
        </is>
      </c>
      <c r="G334" t="inlineStr">
        <is>
          <t>ÖVERKALIX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38975-2024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45548</v>
      </c>
      <c r="E335" s="1" t="n">
        <v>46303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46303</v>
      </c>
      <c r="F336" t="inlineStr">
        <is>
          <t>NORRBOTTENS LÄN</t>
        </is>
      </c>
      <c r="G336" t="inlineStr">
        <is>
          <t>ÖVERKALIX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8672-2025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45712</v>
      </c>
      <c r="E337" s="1" t="n">
        <v>46303</v>
      </c>
      <c r="F337" t="inlineStr">
        <is>
          <t>NORRBOTTENS LÄN</t>
        </is>
      </c>
      <c r="G337" t="inlineStr">
        <is>
          <t>ÖVERKALIX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46303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25970-2026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46303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46183</v>
      </c>
      <c r="E340" s="1" t="n">
        <v>46303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8.5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54026-2023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45231</v>
      </c>
      <c r="E341" s="1" t="n">
        <v>46303</v>
      </c>
      <c r="F341" t="inlineStr">
        <is>
          <t>NORRBOTTENS LÄN</t>
        </is>
      </c>
      <c r="G341" t="inlineStr">
        <is>
          <t>ÖVERKALIX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46183</v>
      </c>
      <c r="E342" s="1" t="n">
        <v>46303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13.8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46183</v>
      </c>
      <c r="E343" s="1" t="n">
        <v>46303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17.7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72212-2021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44543</v>
      </c>
      <c r="E344" s="1" t="n">
        <v>46303</v>
      </c>
      <c r="F344" t="inlineStr">
        <is>
          <t>NORRBOTTENS LÄN</t>
        </is>
      </c>
      <c r="G344" t="inlineStr">
        <is>
          <t>ÖVERKALIX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46303</v>
      </c>
      <c r="F345" t="inlineStr">
        <is>
          <t>NORRBOTTENS LÄN</t>
        </is>
      </c>
      <c r="G345" t="inlineStr">
        <is>
          <t>ÖVERKALIX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45471</v>
      </c>
      <c r="E346" s="1" t="n">
        <v>46303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45471</v>
      </c>
      <c r="E347" s="1" t="n">
        <v>46303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Sveaskog</t>
        </is>
      </c>
      <c r="I347" t="n">
        <v>32.6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46055</v>
      </c>
      <c r="E348" s="1" t="n">
        <v>46303</v>
      </c>
      <c r="F348" t="inlineStr">
        <is>
          <t>NORRBOTTENS LÄN</t>
        </is>
      </c>
      <c r="G348" t="inlineStr">
        <is>
          <t>ÖVERKALIX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46059</v>
      </c>
      <c r="E349" s="1" t="n">
        <v>46303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46059</v>
      </c>
      <c r="E350" s="1" t="n">
        <v>46303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53732-2022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44880</v>
      </c>
      <c r="E351" s="1" t="n">
        <v>46303</v>
      </c>
      <c r="F351" t="inlineStr">
        <is>
          <t>NORRBOTTENS LÄN</t>
        </is>
      </c>
      <c r="G351" t="inlineStr">
        <is>
          <t>ÖVERKALIX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42407-2022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44830</v>
      </c>
      <c r="E352" s="1" t="n">
        <v>46303</v>
      </c>
      <c r="F352" t="inlineStr">
        <is>
          <t>NORRBOTTENS LÄN</t>
        </is>
      </c>
      <c r="G352" t="inlineStr">
        <is>
          <t>ÖVERKALIX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28038-2026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46195</v>
      </c>
      <c r="E353" s="1" t="n">
        <v>46303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28210-2026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46196</v>
      </c>
      <c r="E354" s="1" t="n">
        <v>46303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46303</v>
      </c>
      <c r="F355" t="inlineStr">
        <is>
          <t>NORRBOTTENS LÄN</t>
        </is>
      </c>
      <c r="G355" t="inlineStr">
        <is>
          <t>ÖVERKALIX</t>
        </is>
      </c>
      <c r="I355" t="n">
        <v>10.8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5703-2023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44960</v>
      </c>
      <c r="E356" s="1" t="n">
        <v>46303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28343-2025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45818</v>
      </c>
      <c r="E357" s="1" t="n">
        <v>46303</v>
      </c>
      <c r="F357" t="inlineStr">
        <is>
          <t>NORRBOTTENS LÄN</t>
        </is>
      </c>
      <c r="G357" t="inlineStr">
        <is>
          <t>ÖVERKALIX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46080</v>
      </c>
      <c r="E358" s="1" t="n">
        <v>46303</v>
      </c>
      <c r="F358" t="inlineStr">
        <is>
          <t>NORRBOTTENS LÄN</t>
        </is>
      </c>
      <c r="G358" t="inlineStr">
        <is>
          <t>ÖVERKALIX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11179-2026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46080</v>
      </c>
      <c r="E359" s="1" t="n">
        <v>46303</v>
      </c>
      <c r="F359" t="inlineStr">
        <is>
          <t>NORRBOTTENS LÄN</t>
        </is>
      </c>
      <c r="G359" t="inlineStr">
        <is>
          <t>ÖVERKALIX</t>
        </is>
      </c>
      <c r="I359" t="n">
        <v>9.800000000000001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40329-2023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46303</v>
      </c>
      <c r="F360" t="inlineStr">
        <is>
          <t>NORRBOTTENS LÄN</t>
        </is>
      </c>
      <c r="G360" t="inlineStr">
        <is>
          <t>ÖVERKALIX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2009-2024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45308</v>
      </c>
      <c r="E361" s="1" t="n">
        <v>46303</v>
      </c>
      <c r="F361" t="inlineStr">
        <is>
          <t>NORRBOTTENS LÄN</t>
        </is>
      </c>
      <c r="G361" t="inlineStr">
        <is>
          <t>ÖVERKALIX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46084</v>
      </c>
      <c r="E362" s="1" t="n">
        <v>46303</v>
      </c>
      <c r="F362" t="inlineStr">
        <is>
          <t>NORRBOTTENS LÄN</t>
        </is>
      </c>
      <c r="G362" t="inlineStr">
        <is>
          <t>ÖVERKALIX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11770-2026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46084</v>
      </c>
      <c r="E363" s="1" t="n">
        <v>46303</v>
      </c>
      <c r="F363" t="inlineStr">
        <is>
          <t>NORRBOTTENS LÄN</t>
        </is>
      </c>
      <c r="G363" t="inlineStr">
        <is>
          <t>ÖVERKALIX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46303</v>
      </c>
      <c r="F364" t="inlineStr">
        <is>
          <t>NORRBOTTENS LÄN</t>
        </is>
      </c>
      <c r="G364" t="inlineStr">
        <is>
          <t>ÖVERKALIX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46084</v>
      </c>
      <c r="E365" s="1" t="n">
        <v>46303</v>
      </c>
      <c r="F365" t="inlineStr">
        <is>
          <t>NORRBOTTENS LÄN</t>
        </is>
      </c>
      <c r="G365" t="inlineStr">
        <is>
          <t>ÖVERKALIX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46303</v>
      </c>
      <c r="F366" t="inlineStr">
        <is>
          <t>NORRBOTTENS LÄN</t>
        </is>
      </c>
      <c r="G366" t="inlineStr">
        <is>
          <t>ÖVERKALIX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11768-2026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46084</v>
      </c>
      <c r="E367" s="1" t="n">
        <v>46303</v>
      </c>
      <c r="F367" t="inlineStr">
        <is>
          <t>NORRBOTTENS LÄN</t>
        </is>
      </c>
      <c r="G367" t="inlineStr">
        <is>
          <t>ÖVERKALIX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46303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46198</v>
      </c>
      <c r="E369" s="1" t="n">
        <v>46303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45308</v>
      </c>
      <c r="E370" s="1" t="n">
        <v>46303</v>
      </c>
      <c r="F370" t="inlineStr">
        <is>
          <t>NORRBOTTENS LÄN</t>
        </is>
      </c>
      <c r="G370" t="inlineStr">
        <is>
          <t>ÖVERKALIX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46087</v>
      </c>
      <c r="E371" s="1" t="n">
        <v>46303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46303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46199</v>
      </c>
      <c r="E373" s="1" t="n">
        <v>46303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9849-2024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45363</v>
      </c>
      <c r="E374" s="1" t="n">
        <v>46303</v>
      </c>
      <c r="F374" t="inlineStr">
        <is>
          <t>NORRBOTTENS LÄN</t>
        </is>
      </c>
      <c r="G374" t="inlineStr">
        <is>
          <t>ÖVERKALIX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51058-2024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45603</v>
      </c>
      <c r="E375" s="1" t="n">
        <v>46303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43314-2022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44834</v>
      </c>
      <c r="E376" s="1" t="n">
        <v>46303</v>
      </c>
      <c r="F376" t="inlineStr">
        <is>
          <t>NORRBOTTENS LÄN</t>
        </is>
      </c>
      <c r="G376" t="inlineStr">
        <is>
          <t>ÖVERKALIX</t>
        </is>
      </c>
      <c r="I376" t="n">
        <v>13.1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29827-2026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46303</v>
      </c>
      <c r="F377" t="inlineStr">
        <is>
          <t>NORRBOTTENS LÄN</t>
        </is>
      </c>
      <c r="G377" t="inlineStr">
        <is>
          <t>ÖVERKALIX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29927-2026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46205</v>
      </c>
      <c r="E378" s="1" t="n">
        <v>46303</v>
      </c>
      <c r="F378" t="inlineStr">
        <is>
          <t>NORRBOTTENS LÄN</t>
        </is>
      </c>
      <c r="G378" t="inlineStr">
        <is>
          <t>ÖVERKALIX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30881-2024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45498</v>
      </c>
      <c r="E379" s="1" t="n">
        <v>46303</v>
      </c>
      <c r="F379" t="inlineStr">
        <is>
          <t>NORRBOTTENS LÄN</t>
        </is>
      </c>
      <c r="G379" t="inlineStr">
        <is>
          <t>ÖVERKALIX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44930</v>
      </c>
      <c r="E380" s="1" t="n">
        <v>46303</v>
      </c>
      <c r="F380" t="inlineStr">
        <is>
          <t>NORRBOTTENS LÄN</t>
        </is>
      </c>
      <c r="G380" t="inlineStr">
        <is>
          <t>ÖVERKALIX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29937-2026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46205</v>
      </c>
      <c r="E381" s="1" t="n">
        <v>46303</v>
      </c>
      <c r="F381" t="inlineStr">
        <is>
          <t>NORRBOTTENS LÄN</t>
        </is>
      </c>
      <c r="G381" t="inlineStr">
        <is>
          <t>ÖVERKALIX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62269-2021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44502</v>
      </c>
      <c r="E382" s="1" t="n">
        <v>46303</v>
      </c>
      <c r="F382" t="inlineStr">
        <is>
          <t>NORRBOTTENS LÄN</t>
        </is>
      </c>
      <c r="G382" t="inlineStr">
        <is>
          <t>ÖVERKALIX</t>
        </is>
      </c>
      <c r="I382" t="n">
        <v>9.199999999999999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30326-2026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46207</v>
      </c>
      <c r="E383" s="1" t="n">
        <v>46303</v>
      </c>
      <c r="F383" t="inlineStr">
        <is>
          <t>NORRBOTTENS LÄN</t>
        </is>
      </c>
      <c r="G383" t="inlineStr">
        <is>
          <t>ÖVERKALIX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30327-2026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46207</v>
      </c>
      <c r="E384" s="1" t="n">
        <v>46303</v>
      </c>
      <c r="F384" t="inlineStr">
        <is>
          <t>NORRBOTTENS LÄN</t>
        </is>
      </c>
      <c r="G384" t="inlineStr">
        <is>
          <t>ÖVERKALIX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30039-2026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46206</v>
      </c>
      <c r="E385" s="1" t="n">
        <v>46303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30037-2026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46303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46303</v>
      </c>
      <c r="F387" t="inlineStr">
        <is>
          <t>NORRBOTTENS LÄN</t>
        </is>
      </c>
      <c r="G387" t="inlineStr">
        <is>
          <t>ÖVERKALIX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30241-2026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46206</v>
      </c>
      <c r="E388" s="1" t="n">
        <v>46303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13372-2023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45005</v>
      </c>
      <c r="E389" s="1" t="n">
        <v>46303</v>
      </c>
      <c r="F389" t="inlineStr">
        <is>
          <t>NORRBOTTENS LÄN</t>
        </is>
      </c>
      <c r="G389" t="inlineStr">
        <is>
          <t>ÖVERKALIX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15011-2026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46104</v>
      </c>
      <c r="E390" s="1" t="n">
        <v>46303</v>
      </c>
      <c r="F390" t="inlineStr">
        <is>
          <t>NORRBOTTENS LÄN</t>
        </is>
      </c>
      <c r="G390" t="inlineStr">
        <is>
          <t>ÖVERKALIX</t>
        </is>
      </c>
      <c r="I390" t="n">
        <v>9.4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15358-2026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46303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22.8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36839-2023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45153</v>
      </c>
      <c r="E392" s="1" t="n">
        <v>46303</v>
      </c>
      <c r="F392" t="inlineStr">
        <is>
          <t>NORRBOTTENS LÄN</t>
        </is>
      </c>
      <c r="G392" t="inlineStr">
        <is>
          <t>ÖVERKALIX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46303</v>
      </c>
      <c r="F393" t="inlineStr">
        <is>
          <t>NORRBOTTENS LÄN</t>
        </is>
      </c>
      <c r="G393" t="inlineStr">
        <is>
          <t>ÖVERKALIX</t>
        </is>
      </c>
      <c r="I393" t="n">
        <v>22.3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30328-2026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46207</v>
      </c>
      <c r="E394" s="1" t="n">
        <v>46303</v>
      </c>
      <c r="F394" t="inlineStr">
        <is>
          <t>NORRBOTTENS LÄN</t>
        </is>
      </c>
      <c r="G394" t="inlineStr">
        <is>
          <t>ÖVERKALIX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59832-2024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45639</v>
      </c>
      <c r="E395" s="1" t="n">
        <v>46303</v>
      </c>
      <c r="F395" t="inlineStr">
        <is>
          <t>NORRBOTTENS LÄN</t>
        </is>
      </c>
      <c r="G395" t="inlineStr">
        <is>
          <t>ÖVERKALIX</t>
        </is>
      </c>
      <c r="I395" t="n">
        <v>6.9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16794-2026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46303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27681-2026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46190</v>
      </c>
      <c r="E397" s="1" t="n">
        <v>46303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Sveaskog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46112</v>
      </c>
      <c r="E398" s="1" t="n">
        <v>46303</v>
      </c>
      <c r="F398" t="inlineStr">
        <is>
          <t>NORRBOTTENS LÄN</t>
        </is>
      </c>
      <c r="G398" t="inlineStr">
        <is>
          <t>ÖVERKALIX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23364-2026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46303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17.6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44601</v>
      </c>
      <c r="E400" s="1" t="n">
        <v>46303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17690-2026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46121</v>
      </c>
      <c r="E401" s="1" t="n">
        <v>46303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17516-2026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46303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17469-2026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46303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49091-2024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45594</v>
      </c>
      <c r="E404" s="1" t="n">
        <v>46303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8026-2023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44973</v>
      </c>
      <c r="E405" s="1" t="n">
        <v>46303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36797-2023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45154</v>
      </c>
      <c r="E406" s="1" t="n">
        <v>46303</v>
      </c>
      <c r="F406" t="inlineStr">
        <is>
          <t>NORRBOTTENS LÄN</t>
        </is>
      </c>
      <c r="G406" t="inlineStr">
        <is>
          <t>ÖVERKALIX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18522-2026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46303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18523-2026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46303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5382-2025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45692</v>
      </c>
      <c r="E409" s="1" t="n">
        <v>46303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10.1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32616-2024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45513</v>
      </c>
      <c r="E410" s="1" t="n">
        <v>46303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60400-2022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44910</v>
      </c>
      <c r="E411" s="1" t="n">
        <v>46303</v>
      </c>
      <c r="F411" t="inlineStr">
        <is>
          <t>NORRBOTTENS LÄN</t>
        </is>
      </c>
      <c r="G411" t="inlineStr">
        <is>
          <t>ÖVERKALIX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38088-2023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45160</v>
      </c>
      <c r="E412" s="1" t="n">
        <v>46303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46132</v>
      </c>
      <c r="E413" s="1" t="n">
        <v>46303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19410-2026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46133</v>
      </c>
      <c r="E414" s="1" t="n">
        <v>46303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19375-2026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46133</v>
      </c>
      <c r="E415" s="1" t="n">
        <v>46303</v>
      </c>
      <c r="F415" t="inlineStr">
        <is>
          <t>NORRBOTTENS LÄN</t>
        </is>
      </c>
      <c r="G415" t="inlineStr">
        <is>
          <t>ÖVERKALIX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19616-2026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46134</v>
      </c>
      <c r="E416" s="1" t="n">
        <v>46303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55226-2024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45621</v>
      </c>
      <c r="E417" s="1" t="n">
        <v>46303</v>
      </c>
      <c r="F417" t="inlineStr">
        <is>
          <t>NORRBOTTENS LÄN</t>
        </is>
      </c>
      <c r="G417" t="inlineStr">
        <is>
          <t>ÖVERKALIX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59911-2024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45641</v>
      </c>
      <c r="E418" s="1" t="n">
        <v>46303</v>
      </c>
      <c r="F418" t="inlineStr">
        <is>
          <t>NORRBOTTENS LÄN</t>
        </is>
      </c>
      <c r="G418" t="inlineStr">
        <is>
          <t>ÖVERKALIX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35966-2026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46266</v>
      </c>
      <c r="E419" s="1" t="n">
        <v>46303</v>
      </c>
      <c r="F419" t="inlineStr">
        <is>
          <t>NORRBOTTENS LÄN</t>
        </is>
      </c>
      <c r="G419" t="inlineStr">
        <is>
          <t>ÖVERKALIX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48561-2024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45593</v>
      </c>
      <c r="E420" s="1" t="n">
        <v>46303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8.199999999999999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50862-2023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45218</v>
      </c>
      <c r="E421" s="1" t="n">
        <v>46303</v>
      </c>
      <c r="F421" t="inlineStr">
        <is>
          <t>NORRBOTTENS LÄN</t>
        </is>
      </c>
      <c r="G421" t="inlineStr">
        <is>
          <t>ÖVERKALIX</t>
        </is>
      </c>
      <c r="I421" t="n">
        <v>8.199999999999999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35950-2026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46266</v>
      </c>
      <c r="E422" s="1" t="n">
        <v>46303</v>
      </c>
      <c r="F422" t="inlineStr">
        <is>
          <t>NORRBOTTENS LÄN</t>
        </is>
      </c>
      <c r="G422" t="inlineStr">
        <is>
          <t>ÖVERKALIX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52075-2023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45223</v>
      </c>
      <c r="E423" s="1" t="n">
        <v>46303</v>
      </c>
      <c r="F423" t="inlineStr">
        <is>
          <t>NORRBOTTENS LÄN</t>
        </is>
      </c>
      <c r="G423" t="inlineStr">
        <is>
          <t>ÖVERKALIX</t>
        </is>
      </c>
      <c r="I423" t="n">
        <v>8.6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43173-2023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45180</v>
      </c>
      <c r="E424" s="1" t="n">
        <v>46303</v>
      </c>
      <c r="F424" t="inlineStr">
        <is>
          <t>NORRBOTTENS LÄN</t>
        </is>
      </c>
      <c r="G424" t="inlineStr">
        <is>
          <t>ÖVERKALIX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2993-2024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45315</v>
      </c>
      <c r="E425" s="1" t="n">
        <v>46303</v>
      </c>
      <c r="F425" t="inlineStr">
        <is>
          <t>NORRBOTTENS LÄN</t>
        </is>
      </c>
      <c r="G425" t="inlineStr">
        <is>
          <t>ÖVERKALIX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43042-2025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45909</v>
      </c>
      <c r="E426" s="1" t="n">
        <v>46303</v>
      </c>
      <c r="F426" t="inlineStr">
        <is>
          <t>NORRBOTTENS LÄN</t>
        </is>
      </c>
      <c r="G426" t="inlineStr">
        <is>
          <t>ÖVERKALIX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21299-2024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45440</v>
      </c>
      <c r="E427" s="1" t="n">
        <v>46303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31628-2026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46225</v>
      </c>
      <c r="E428" s="1" t="n">
        <v>46303</v>
      </c>
      <c r="F428" t="inlineStr">
        <is>
          <t>NORRBOTTENS LÄN</t>
        </is>
      </c>
      <c r="G428" t="inlineStr">
        <is>
          <t>ÖVERKALIX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3704-2024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45321</v>
      </c>
      <c r="E429" s="1" t="n">
        <v>46303</v>
      </c>
      <c r="F429" t="inlineStr">
        <is>
          <t>NORRBOTTENS LÄN</t>
        </is>
      </c>
      <c r="G429" t="inlineStr">
        <is>
          <t>ÖVERKALIX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36141-2026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46267</v>
      </c>
      <c r="E430" s="1" t="n">
        <v>46303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36683-2026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46303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20.5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52647-2024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45610</v>
      </c>
      <c r="E432" s="1" t="n">
        <v>46303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46269</v>
      </c>
      <c r="E433" s="1" t="n">
        <v>46303</v>
      </c>
      <c r="F433" t="inlineStr">
        <is>
          <t>NORRBOTTENS LÄN</t>
        </is>
      </c>
      <c r="G433" t="inlineStr">
        <is>
          <t>ÖVERKALIX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45667</v>
      </c>
      <c r="E434" s="1" t="n">
        <v>46303</v>
      </c>
      <c r="F434" t="inlineStr">
        <is>
          <t>NORRBOTTENS LÄN</t>
        </is>
      </c>
      <c r="G434" t="inlineStr">
        <is>
          <t>ÖVERKALIX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25697-2024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45463</v>
      </c>
      <c r="E435" s="1" t="n">
        <v>46303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44964</v>
      </c>
      <c r="E436" s="1" t="n">
        <v>46303</v>
      </c>
      <c r="F436" t="inlineStr">
        <is>
          <t>NORRBOTTENS LÄN</t>
        </is>
      </c>
      <c r="G436" t="inlineStr">
        <is>
          <t>ÖVERKALIX</t>
        </is>
      </c>
      <c r="I436" t="n">
        <v>9.4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40155-2024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45554</v>
      </c>
      <c r="E437" s="1" t="n">
        <v>46303</v>
      </c>
      <c r="F437" t="inlineStr">
        <is>
          <t>NORRBOTTENS LÄN</t>
        </is>
      </c>
      <c r="G437" t="inlineStr">
        <is>
          <t>ÖVERKALIX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31832-2026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46230</v>
      </c>
      <c r="E438" s="1" t="n">
        <v>46303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46029</v>
      </c>
      <c r="E439" s="1" t="n">
        <v>46303</v>
      </c>
      <c r="F439" t="inlineStr">
        <is>
          <t>NORRBOTTENS LÄN</t>
        </is>
      </c>
      <c r="G439" t="inlineStr">
        <is>
          <t>ÖVERKALIX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46280</v>
      </c>
      <c r="E440" s="1" t="n">
        <v>46303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12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37683-2026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46278</v>
      </c>
      <c r="E441" s="1" t="n">
        <v>46303</v>
      </c>
      <c r="F441" t="inlineStr">
        <is>
          <t>NORRBOTTENS LÄN</t>
        </is>
      </c>
      <c r="G441" t="inlineStr">
        <is>
          <t>ÖVERKALIX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46281</v>
      </c>
      <c r="E442" s="1" t="n">
        <v>46303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38218-2026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46281</v>
      </c>
      <c r="E443" s="1" t="n">
        <v>46303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8.9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38134-2026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46281</v>
      </c>
      <c r="E444" s="1" t="n">
        <v>46303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20.1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32382-2026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46238</v>
      </c>
      <c r="E445" s="1" t="n">
        <v>46303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25698-2024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45463</v>
      </c>
      <c r="E446" s="1" t="n">
        <v>46303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13058-2026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46093</v>
      </c>
      <c r="E447" s="1" t="n">
        <v>46303</v>
      </c>
      <c r="F447" t="inlineStr">
        <is>
          <t>NORRBOTTENS LÄN</t>
        </is>
      </c>
      <c r="G447" t="inlineStr">
        <is>
          <t>ÖVERKALIX</t>
        </is>
      </c>
      <c r="I447" t="n">
        <v>12.5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39371-2026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46288</v>
      </c>
      <c r="E448" s="1" t="n">
        <v>46303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39119-2026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46287</v>
      </c>
      <c r="E449" s="1" t="n">
        <v>46303</v>
      </c>
      <c r="F449" t="inlineStr">
        <is>
          <t>NORRBOTTENS LÄN</t>
        </is>
      </c>
      <c r="G449" t="inlineStr">
        <is>
          <t>ÖVERKALIX</t>
        </is>
      </c>
      <c r="I449" t="n">
        <v>12.9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39203-2026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46287</v>
      </c>
      <c r="E450" s="1" t="n">
        <v>46303</v>
      </c>
      <c r="F450" t="inlineStr">
        <is>
          <t>NORRBOTTENS LÄN</t>
        </is>
      </c>
      <c r="G450" t="inlineStr">
        <is>
          <t>ÖVERKALIX</t>
        </is>
      </c>
      <c r="I450" t="n">
        <v>9.5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32962-2026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46244</v>
      </c>
      <c r="E451" s="1" t="n">
        <v>46303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33408-2026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46247</v>
      </c>
      <c r="E452" s="1" t="n">
        <v>46303</v>
      </c>
      <c r="F452" t="inlineStr">
        <is>
          <t>NORRBOTTENS LÄN</t>
        </is>
      </c>
      <c r="G452" t="inlineStr">
        <is>
          <t>ÖVERKALIX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39710-2026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46290</v>
      </c>
      <c r="E453" s="1" t="n">
        <v>46303</v>
      </c>
      <c r="F453" t="inlineStr">
        <is>
          <t>NORRBOTTENS LÄN</t>
        </is>
      </c>
      <c r="G453" t="inlineStr">
        <is>
          <t>ÖVERKALIX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46303</v>
      </c>
      <c r="F454" t="inlineStr">
        <is>
          <t>NORRBOTTENS LÄN</t>
        </is>
      </c>
      <c r="G454" t="inlineStr">
        <is>
          <t>ÖVERKALIX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33284-2026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46246</v>
      </c>
      <c r="E455" s="1" t="n">
        <v>46303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39471-2026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46288</v>
      </c>
      <c r="E456" s="1" t="n">
        <v>46303</v>
      </c>
      <c r="F456" t="inlineStr">
        <is>
          <t>NORRBOTTENS LÄN</t>
        </is>
      </c>
      <c r="G456" t="inlineStr">
        <is>
          <t>ÖVERKALIX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40155-2026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46293</v>
      </c>
      <c r="E457" s="1" t="n">
        <v>46303</v>
      </c>
      <c r="F457" t="inlineStr">
        <is>
          <t>NORRBOTTENS LÄN</t>
        </is>
      </c>
      <c r="G457" t="inlineStr">
        <is>
          <t>ÖVERKALIX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39658-2025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45890</v>
      </c>
      <c r="E458" s="1" t="n">
        <v>46303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13.4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40590-2026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46295</v>
      </c>
      <c r="E459" s="1" t="n">
        <v>46303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33927-2026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46252</v>
      </c>
      <c r="E460" s="1" t="n">
        <v>46303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7.2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40726-2026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46296</v>
      </c>
      <c r="E461" s="1" t="n">
        <v>46303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Sveaskog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40659-2026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46296</v>
      </c>
      <c r="E462" s="1" t="n">
        <v>46303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Sveaskog</t>
        </is>
      </c>
      <c r="I462" t="n">
        <v>27.1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32933-2026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46244</v>
      </c>
      <c r="E463" s="1" t="n">
        <v>46303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40980-2026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46297</v>
      </c>
      <c r="E464" s="1" t="n">
        <v>46303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34423-2026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46254</v>
      </c>
      <c r="E465" s="1" t="n">
        <v>46303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34239-2026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46253</v>
      </c>
      <c r="E466" s="1" t="n">
        <v>46303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34358-2026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46254</v>
      </c>
      <c r="E467" s="1" t="n">
        <v>46303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33.7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34362-2026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46254</v>
      </c>
      <c r="E468" s="1" t="n">
        <v>46303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9.199999999999999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35228-2026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46260</v>
      </c>
      <c r="E469" s="1" t="n">
        <v>46303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35235-2026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46260</v>
      </c>
      <c r="E470" s="1" t="n">
        <v>46303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46260</v>
      </c>
      <c r="E471" s="1" t="n">
        <v>46303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SCA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35191-2026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46260</v>
      </c>
      <c r="E472" s="1" t="n">
        <v>46303</v>
      </c>
      <c r="F472" t="inlineStr">
        <is>
          <t>NORRBOTTENS LÄN</t>
        </is>
      </c>
      <c r="G472" t="inlineStr">
        <is>
          <t>ÖVERKALIX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34838-2026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46303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41497-2026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46301</v>
      </c>
      <c r="E474" s="1" t="n">
        <v>46303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SCA</t>
        </is>
      </c>
      <c r="I474" t="n">
        <v>10.3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41508-2026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46301</v>
      </c>
      <c r="E475" s="1" t="n">
        <v>46303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41530-2026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46301</v>
      </c>
      <c r="E476" s="1" t="n">
        <v>46303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3721-2022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44741</v>
      </c>
      <c r="E477" s="1" t="n">
        <v>46303</v>
      </c>
      <c r="F477" t="inlineStr">
        <is>
          <t>NORRBOTTENS LÄN</t>
        </is>
      </c>
      <c r="G477" t="inlineStr">
        <is>
          <t>ÖVERKALIX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2792-2024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45485</v>
      </c>
      <c r="E478" s="1" t="n">
        <v>46303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2700-2024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45482</v>
      </c>
      <c r="E479" s="1" t="n">
        <v>46303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Sveaskog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4734-2024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45607</v>
      </c>
      <c r="E480" s="1" t="n">
        <v>46303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1178-2025</t>
        </is>
      </c>
      <c r="B481" t="inlineStr">
        <is>
          <t>samrådsanmälan</t>
        </is>
      </c>
      <c r="C481" t="inlineStr">
        <is>
          <t>Skogsgödsling</t>
        </is>
      </c>
      <c r="D481" s="1" t="n">
        <v>45756</v>
      </c>
      <c r="E481" s="1" t="n">
        <v>46303</v>
      </c>
      <c r="F481" t="inlineStr">
        <is>
          <t>NORRBOTTENS LÄN</t>
        </is>
      </c>
      <c r="G481" t="inlineStr">
        <is>
          <t>ÖVERKALIX</t>
        </is>
      </c>
      <c r="I481" t="n">
        <v>39.9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1667-2025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45800</v>
      </c>
      <c r="E482" s="1" t="n">
        <v>46303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SCA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50-2026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46030</v>
      </c>
      <c r="E483" s="1" t="n">
        <v>46303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Sveaskog</t>
        </is>
      </c>
      <c r="I483" t="n">
        <v>9.800000000000001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2026-10-08T02:05:34Z</dcterms:created>
  <dcterms:modified xmlns:dcterms="http://purl.org/dc/terms/" xmlns:xsi="http://www.w3.org/2001/XMLSchema-instance" xsi:type="dcterms:W3CDTF">2026-10-08T02:05:35Z</dcterms:modified>
</cp:coreProperties>
</file>