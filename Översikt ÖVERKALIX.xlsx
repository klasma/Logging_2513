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46279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46279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46279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63242-2025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46010</v>
      </c>
      <c r="E5" s="1" t="n">
        <v>46279</v>
      </c>
      <c r="F5" t="inlineStr">
        <is>
          <t>NORRBOTTENS LÄN</t>
        </is>
      </c>
      <c r="G5" t="inlineStr">
        <is>
          <t>ÖVERKALIX</t>
        </is>
      </c>
      <c r="I5" t="n">
        <v>9.5</v>
      </c>
      <c r="J5" t="n">
        <v>3</v>
      </c>
      <c r="K5" t="n">
        <v>2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13</v>
      </c>
      <c r="T5" t="n">
        <v>45</v>
      </c>
      <c r="U5" t="n">
        <v>45</v>
      </c>
      <c r="V5" s="2" t="inlineStr">
        <is>
          <t>Garnlav
Dropptaggsvamp
Kolflarnlav
Nordtagging
Orange taggsvamp
Skarp dropptaggsvamp
Tallriska
Talltagel
Talltita
Vaddporing
Nästlav
Plattlummer
Tjäder</t>
        </is>
      </c>
      <c r="W5">
        <f>HYPERLINK("https://klasma.github.io/Logging_2513/artfynd/A 63242-2025 artfynd.xlsx", "A 63242-2025")</f>
        <v/>
      </c>
      <c r="X5">
        <f>HYPERLINK("https://klasma.github.io/Logging_2513/kartor/A 63242-2025 karta.png", "A 63242-2025")</f>
        <v/>
      </c>
      <c r="Y5">
        <f>HYPERLINK("https://klasma.github.io/Logging_2513/kartor_geotiff/A 63242-2025 georefererad karta.tif", "A 63242-2025")</f>
        <v/>
      </c>
      <c r="AA5">
        <f>HYPERLINK("https://klasma.github.io/Logging_2513/klagomål/A 63242-2025 FSC-klagomål.docx", "A 63242-2025")</f>
        <v/>
      </c>
      <c r="AB5">
        <f>HYPERLINK("https://klasma.github.io/Logging_2513/klagomålsmail/A 63242-2025 FSC-klagomål mail.docx", "A 63242-2025")</f>
        <v/>
      </c>
      <c r="AC5">
        <f>HYPERLINK("https://klasma.github.io/Logging_2513/tillsyn/A 63242-2025 tillsynsbegäran.docx", "A 63242-2025")</f>
        <v/>
      </c>
      <c r="AD5">
        <f>HYPERLINK("https://klasma.github.io/Logging_2513/tillsynsmail/A 63242-2025 tillsynsbegäran mail.docx", "A 63242-2025")</f>
        <v/>
      </c>
      <c r="AE5">
        <f>HYPERLINK("https://klasma.github.io/Logging_2513/fåglar/A 63242-2025 prioriterade fågelarter.docx", "A 63242-2025")</f>
        <v/>
      </c>
    </row>
    <row r="6" ht="15" customHeight="1">
      <c r="A6" t="inlineStr">
        <is>
          <t>A 43065-2025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45909</v>
      </c>
      <c r="E6" s="1" t="n">
        <v>46279</v>
      </c>
      <c r="F6" t="inlineStr">
        <is>
          <t>NORRBOTTENS LÄN</t>
        </is>
      </c>
      <c r="G6" t="inlineStr">
        <is>
          <t>ÖVERKALIX</t>
        </is>
      </c>
      <c r="I6" t="n">
        <v>8.9</v>
      </c>
      <c r="J6" t="n">
        <v>3</v>
      </c>
      <c r="K6" t="n">
        <v>2</v>
      </c>
      <c r="L6" t="n">
        <v>8</v>
      </c>
      <c r="M6" t="n">
        <v>2</v>
      </c>
      <c r="N6" t="n">
        <v>0</v>
      </c>
      <c r="O6" t="n">
        <v>0</v>
      </c>
      <c r="P6" t="n">
        <v>0</v>
      </c>
      <c r="Q6" t="n">
        <v>10</v>
      </c>
      <c r="R6" t="n">
        <v>2</v>
      </c>
      <c r="S6" t="n">
        <v>13</v>
      </c>
      <c r="T6" t="n">
        <v>39</v>
      </c>
      <c r="U6" t="n">
        <v>39</v>
      </c>
      <c r="V6" s="2" t="inlineStr">
        <is>
          <t>Garnlav
Smalfotad taggsvamp
Dropptaggsvamp
Nordtagging
Orange taggsvamp
Skarp dropptaggsvamp
Tallriska
Talltagel
Talltita
Vedskivlav
Nästlav
Plattlummer
Tjäder</t>
        </is>
      </c>
      <c r="W6">
        <f>HYPERLINK("https://klasma.github.io/Logging_2513/artfynd/A 43065-2025 artfynd.xlsx", "A 43065-2025")</f>
        <v/>
      </c>
      <c r="X6">
        <f>HYPERLINK("https://klasma.github.io/Logging_2513/kartor/A 43065-2025 karta.png", "A 43065-2025")</f>
        <v/>
      </c>
      <c r="Y6">
        <f>HYPERLINK("https://klasma.github.io/Logging_2513/kartor_geotiff/A 43065-2025 georefererad karta.tif", "A 43065-2025")</f>
        <v/>
      </c>
      <c r="AA6">
        <f>HYPERLINK("https://klasma.github.io/Logging_2513/klagomål/A 43065-2025 FSC-klagomål.docx", "A 43065-2025")</f>
        <v/>
      </c>
      <c r="AB6">
        <f>HYPERLINK("https://klasma.github.io/Logging_2513/klagomålsmail/A 43065-2025 FSC-klagomål mail.docx", "A 43065-2025")</f>
        <v/>
      </c>
      <c r="AC6">
        <f>HYPERLINK("https://klasma.github.io/Logging_2513/tillsyn/A 43065-2025 tillsynsbegäran.docx", "A 43065-2025")</f>
        <v/>
      </c>
      <c r="AD6">
        <f>HYPERLINK("https://klasma.github.io/Logging_2513/tillsynsmail/A 43065-2025 tillsynsbegäran mail.docx", "A 43065-2025")</f>
        <v/>
      </c>
      <c r="AE6">
        <f>HYPERLINK("https://klasma.github.io/Logging_2513/fåglar/A 43065-2025 prioriterade fågelarter.docx", "A 43065-2025")</f>
        <v/>
      </c>
    </row>
    <row r="7" ht="15" customHeight="1">
      <c r="A7" t="inlineStr">
        <is>
          <t>A 23383-2026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46162</v>
      </c>
      <c r="E7" s="1" t="n">
        <v>46279</v>
      </c>
      <c r="F7" t="inlineStr">
        <is>
          <t>NORRBOTTENS LÄN</t>
        </is>
      </c>
      <c r="G7" t="inlineStr">
        <is>
          <t>ÖVERKALIX</t>
        </is>
      </c>
      <c r="I7" t="n">
        <v>2.6</v>
      </c>
      <c r="J7" t="n">
        <v>4</v>
      </c>
      <c r="K7" t="n">
        <v>5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13</v>
      </c>
      <c r="T7" t="n">
        <v>26</v>
      </c>
      <c r="U7" t="n">
        <v>26</v>
      </c>
      <c r="V7" s="2" t="inlineStr">
        <is>
          <t>Garnlav
Knärot
Myskmåra
Tretåig hackspett
Björksplintborre
Nästlav
Sotlav
Trådticka
Vågbandad barkbock
Järpe
Liljekonvalj
Sälg
Tjäder</t>
        </is>
      </c>
      <c r="W7">
        <f>HYPERLINK("https://klasma.github.io/Logging_2513/artfynd/A 23383-2026 artfynd.xlsx", "A 23383-2026")</f>
        <v/>
      </c>
      <c r="X7">
        <f>HYPERLINK("https://klasma.github.io/Logging_2513/kartor/A 23383-2026 karta.png", "A 23383-2026")</f>
        <v/>
      </c>
      <c r="Y7">
        <f>HYPERLINK("https://klasma.github.io/Logging_2513/kartor_geotiff/A 23383-2026 georefererad karta.tif", "A 23383-2026")</f>
        <v/>
      </c>
      <c r="Z7">
        <f>HYPERLINK("https://klasma.github.io/Logging_2513/knärot/A 23383-2026 karta knärot.png", "A 23383-2026")</f>
        <v/>
      </c>
      <c r="AA7">
        <f>HYPERLINK("https://klasma.github.io/Logging_2513/klagomål/A 23383-2026 FSC-klagomål.docx", "A 23383-2026")</f>
        <v/>
      </c>
      <c r="AB7">
        <f>HYPERLINK("https://klasma.github.io/Logging_2513/klagomålsmail/A 23383-2026 FSC-klagomål mail.docx", "A 23383-2026")</f>
        <v/>
      </c>
      <c r="AC7">
        <f>HYPERLINK("https://klasma.github.io/Logging_2513/tillsyn/A 23383-2026 tillsynsbegäran.docx", "A 23383-2026")</f>
        <v/>
      </c>
      <c r="AD7">
        <f>HYPERLINK("https://klasma.github.io/Logging_2513/tillsynsmail/A 23383-2026 tillsynsbegäran mail.docx", "A 23383-2026")</f>
        <v/>
      </c>
      <c r="AE7">
        <f>HYPERLINK("https://klasma.github.io/Logging_2513/fåglar/A 23383-2026 prioriterade fågelarter.docx", "A 23383-2026")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46279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46279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16</v>
      </c>
      <c r="U9" t="n">
        <v>16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46279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46279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46279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49422-2023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45211</v>
      </c>
      <c r="E13" s="1" t="n">
        <v>46279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5.6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6</v>
      </c>
      <c r="U13" t="n">
        <v>6</v>
      </c>
      <c r="V13" s="2" t="inlineStr">
        <is>
          <t>Tallgråticka
Blå taggsvamp
Dropptaggsvamp
Orange taggsvamp
Svartvit taggsvamp</t>
        </is>
      </c>
      <c r="W13">
        <f>HYPERLINK("https://klasma.github.io/Logging_2513/artfynd/A 49422-2023 artfynd.xlsx", "A 49422-2023")</f>
        <v/>
      </c>
      <c r="X13">
        <f>HYPERLINK("https://klasma.github.io/Logging_2513/kartor/A 49422-2023 karta.png", "A 49422-2023")</f>
        <v/>
      </c>
      <c r="Y13">
        <f>HYPERLINK("https://klasma.github.io/Logging_2513/kartor_geotiff/A 49422-2023 georefererad karta.tif", "A 49422-2023")</f>
        <v/>
      </c>
      <c r="AA13">
        <f>HYPERLINK("https://klasma.github.io/Logging_2513/klagomål/A 49422-2023 FSC-klagomål.docx", "A 49422-2023")</f>
        <v/>
      </c>
      <c r="AB13">
        <f>HYPERLINK("https://klasma.github.io/Logging_2513/klagomålsmail/A 49422-2023 FSC-klagomål mail.docx", "A 49422-2023")</f>
        <v/>
      </c>
      <c r="AC13">
        <f>HYPERLINK("https://klasma.github.io/Logging_2513/tillsyn/A 49422-2023 tillsynsbegäran.docx", "A 49422-2023")</f>
        <v/>
      </c>
      <c r="AD13">
        <f>HYPERLINK("https://klasma.github.io/Logging_2513/tillsynsmail/A 49422-2023 tillsynsbegäran mail.docx", "A 49422-2023")</f>
        <v/>
      </c>
    </row>
    <row r="14" ht="15" customHeight="1">
      <c r="A14" t="inlineStr">
        <is>
          <t>A 31751-2025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45834</v>
      </c>
      <c r="E14" s="1" t="n">
        <v>46279</v>
      </c>
      <c r="F14" t="inlineStr">
        <is>
          <t>NORRBOTTENS LÄN</t>
        </is>
      </c>
      <c r="G14" t="inlineStr">
        <is>
          <t>ÖVERKALIX</t>
        </is>
      </c>
      <c r="I14" t="n">
        <v>0.9</v>
      </c>
      <c r="J14" t="n">
        <v>0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Blå taggsvamp
Orange taggsvamp
Skarp dropptaggsvamp
Tallfingersvamp
Vaxspindling</t>
        </is>
      </c>
      <c r="W14">
        <f>HYPERLINK("https://klasma.github.io/Logging_2513/artfynd/A 31751-2025 artfynd.xlsx", "A 31751-2025")</f>
        <v/>
      </c>
      <c r="X14">
        <f>HYPERLINK("https://klasma.github.io/Logging_2513/kartor/A 31751-2025 karta.png", "A 31751-2025")</f>
        <v/>
      </c>
      <c r="Y14">
        <f>HYPERLINK("https://klasma.github.io/Logging_2513/kartor_geotiff/A 31751-2025 georefererad karta.tif", "A 31751-2025")</f>
        <v/>
      </c>
      <c r="AA14">
        <f>HYPERLINK("https://klasma.github.io/Logging_2513/klagomål/A 31751-2025 FSC-klagomål.docx", "A 31751-2025")</f>
        <v/>
      </c>
      <c r="AB14">
        <f>HYPERLINK("https://klasma.github.io/Logging_2513/klagomålsmail/A 31751-2025 FSC-klagomål mail.docx", "A 31751-2025")</f>
        <v/>
      </c>
      <c r="AC14">
        <f>HYPERLINK("https://klasma.github.io/Logging_2513/tillsyn/A 31751-2025 tillsynsbegäran.docx", "A 31751-2025")</f>
        <v/>
      </c>
      <c r="AD14">
        <f>HYPERLINK("https://klasma.github.io/Logging_2513/tillsynsmail/A 31751-2025 tillsynsbegäran mail.docx", "A 31751-2025")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46279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46279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46279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46279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30525-2025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45831</v>
      </c>
      <c r="E19" s="1" t="n">
        <v>46279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5.3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Gammelgransskål
Bollvitmossa
Järpe</t>
        </is>
      </c>
      <c r="W19">
        <f>HYPERLINK("https://klasma.github.io/Logging_2513/artfynd/A 30525-2025 artfynd.xlsx", "A 30525-2025")</f>
        <v/>
      </c>
      <c r="X19">
        <f>HYPERLINK("https://klasma.github.io/Logging_2513/kartor/A 30525-2025 karta.png", "A 30525-2025")</f>
        <v/>
      </c>
      <c r="Y19">
        <f>HYPERLINK("https://klasma.github.io/Logging_2513/kartor_geotiff/A 30525-2025 georefererad karta.tif", "A 30525-2025")</f>
        <v/>
      </c>
      <c r="AA19">
        <f>HYPERLINK("https://klasma.github.io/Logging_2513/klagomål/A 30525-2025 FSC-klagomål.docx", "A 30525-2025")</f>
        <v/>
      </c>
      <c r="AB19">
        <f>HYPERLINK("https://klasma.github.io/Logging_2513/klagomålsmail/A 30525-2025 FSC-klagomål mail.docx", "A 30525-2025")</f>
        <v/>
      </c>
      <c r="AC19">
        <f>HYPERLINK("https://klasma.github.io/Logging_2513/tillsyn/A 30525-2025 tillsynsbegäran.docx", "A 30525-2025")</f>
        <v/>
      </c>
      <c r="AD19">
        <f>HYPERLINK("https://klasma.github.io/Logging_2513/tillsynsmail/A 30525-2025 tillsynsbegäran mail.docx", "A 30525-2025")</f>
        <v/>
      </c>
      <c r="AE19">
        <f>HYPERLINK("https://klasma.github.io/Logging_2513/fåglar/A 30525-2025 prioriterade fågelarter.docx", "A 30525-2025")</f>
        <v/>
      </c>
    </row>
    <row r="20" ht="15" customHeight="1">
      <c r="A20" t="inlineStr">
        <is>
          <t>A 42861-2025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46279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3.7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Blå taggsvamp
Dropptaggsvamp
Skarp dropptaggsvamp</t>
        </is>
      </c>
      <c r="W20">
        <f>HYPERLINK("https://klasma.github.io/Logging_2513/artfynd/A 42861-2025 artfynd.xlsx", "A 42861-2025")</f>
        <v/>
      </c>
      <c r="X20">
        <f>HYPERLINK("https://klasma.github.io/Logging_2513/kartor/A 42861-2025 karta.png", "A 42861-2025")</f>
        <v/>
      </c>
      <c r="Y20">
        <f>HYPERLINK("https://klasma.github.io/Logging_2513/kartor_geotiff/A 42861-2025 georefererad karta.tif", "A 42861-2025")</f>
        <v/>
      </c>
      <c r="AA20">
        <f>HYPERLINK("https://klasma.github.io/Logging_2513/klagomål/A 42861-2025 FSC-klagomål.docx", "A 42861-2025")</f>
        <v/>
      </c>
      <c r="AB20">
        <f>HYPERLINK("https://klasma.github.io/Logging_2513/klagomålsmail/A 42861-2025 FSC-klagomål mail.docx", "A 42861-2025")</f>
        <v/>
      </c>
      <c r="AC20">
        <f>HYPERLINK("https://klasma.github.io/Logging_2513/tillsyn/A 42861-2025 tillsynsbegäran.docx", "A 42861-2025")</f>
        <v/>
      </c>
      <c r="AD20">
        <f>HYPERLINK("https://klasma.github.io/Logging_2513/tillsynsmail/A 42861-2025 tillsynsbegäran mail.docx", "A 42861-2025")</f>
        <v/>
      </c>
    </row>
    <row r="21" ht="15" customHeight="1">
      <c r="A21" t="inlineStr">
        <is>
          <t>A 42872-2025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46279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Blå taggsvamp
Dropptaggsvamp
Skarp dropptaggsvamp</t>
        </is>
      </c>
      <c r="W21">
        <f>HYPERLINK("https://klasma.github.io/Logging_2513/artfynd/A 42872-2025 artfynd.xlsx", "A 42872-2025")</f>
        <v/>
      </c>
      <c r="X21">
        <f>HYPERLINK("https://klasma.github.io/Logging_2513/kartor/A 42872-2025 karta.png", "A 42872-2025")</f>
        <v/>
      </c>
      <c r="Y21">
        <f>HYPERLINK("https://klasma.github.io/Logging_2513/kartor_geotiff/A 42872-2025 georefererad karta.tif", "A 42872-2025")</f>
        <v/>
      </c>
      <c r="AA21">
        <f>HYPERLINK("https://klasma.github.io/Logging_2513/klagomål/A 42872-2025 FSC-klagomål.docx", "A 42872-2025")</f>
        <v/>
      </c>
      <c r="AB21">
        <f>HYPERLINK("https://klasma.github.io/Logging_2513/klagomålsmail/A 42872-2025 FSC-klagomål mail.docx", "A 42872-2025")</f>
        <v/>
      </c>
      <c r="AC21">
        <f>HYPERLINK("https://klasma.github.io/Logging_2513/tillsyn/A 42872-2025 tillsynsbegäran.docx", "A 42872-2025")</f>
        <v/>
      </c>
      <c r="AD21">
        <f>HYPERLINK("https://klasma.github.io/Logging_2513/tillsynsmail/A 42872-2025 tillsynsbegäran mail.docx", "A 42872-2025")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46279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46279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46279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46279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46279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46279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46279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46279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46279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46279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46279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46279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40116-2025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46279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29.7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5</v>
      </c>
      <c r="U34" t="n">
        <v>3</v>
      </c>
      <c r="V34" s="2" t="inlineStr">
        <is>
          <t>Lunglav
Skrovellav</t>
        </is>
      </c>
      <c r="W34">
        <f>HYPERLINK("https://klasma.github.io/Logging_2513/artfynd/A 40116-2025 artfynd.xlsx", "A 40116-2025")</f>
        <v/>
      </c>
      <c r="X34">
        <f>HYPERLINK("https://klasma.github.io/Logging_2513/kartor/A 40116-2025 karta.png", "A 40116-2025")</f>
        <v/>
      </c>
      <c r="Y34">
        <f>HYPERLINK("https://klasma.github.io/Logging_2513/kartor_geotiff/A 40116-2025 georefererad karta.tif", "A 40116-2025")</f>
        <v/>
      </c>
      <c r="AA34">
        <f>HYPERLINK("https://klasma.github.io/Logging_2513/klagomål/A 40116-2025 FSC-klagomål.docx", "A 40116-2025")</f>
        <v/>
      </c>
      <c r="AB34">
        <f>HYPERLINK("https://klasma.github.io/Logging_2513/klagomålsmail/A 40116-2025 FSC-klagomål mail.docx", "A 40116-2025")</f>
        <v/>
      </c>
      <c r="AC34">
        <f>HYPERLINK("https://klasma.github.io/Logging_2513/tillsyn/A 40116-2025 tillsynsbegäran.docx", "A 40116-2025")</f>
        <v/>
      </c>
      <c r="AD34">
        <f>HYPERLINK("https://klasma.github.io/Logging_2513/tillsynsmail/A 40116-2025 tillsynsbegäran mail.docx", "A 40116-2025")</f>
        <v/>
      </c>
    </row>
    <row r="35" ht="15" customHeight="1">
      <c r="A35" t="inlineStr">
        <is>
          <t>A 34921-2025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46279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16.4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Gammelgransskål
Lunglav</t>
        </is>
      </c>
      <c r="W35">
        <f>HYPERLINK("https://klasma.github.io/Logging_2513/artfynd/A 34921-2025 artfynd.xlsx", "A 34921-2025")</f>
        <v/>
      </c>
      <c r="X35">
        <f>HYPERLINK("https://klasma.github.io/Logging_2513/kartor/A 34921-2025 karta.png", "A 34921-2025")</f>
        <v/>
      </c>
      <c r="Y35">
        <f>HYPERLINK("https://klasma.github.io/Logging_2513/kartor_geotiff/A 34921-2025 georefererad karta.tif", "A 34921-2025")</f>
        <v/>
      </c>
      <c r="AA35">
        <f>HYPERLINK("https://klasma.github.io/Logging_2513/klagomål/A 34921-2025 FSC-klagomål.docx", "A 34921-2025")</f>
        <v/>
      </c>
      <c r="AB35">
        <f>HYPERLINK("https://klasma.github.io/Logging_2513/klagomålsmail/A 34921-2025 FSC-klagomål mail.docx", "A 34921-2025")</f>
        <v/>
      </c>
      <c r="AC35">
        <f>HYPERLINK("https://klasma.github.io/Logging_2513/tillsyn/A 34921-2025 tillsynsbegäran.docx", "A 34921-2025")</f>
        <v/>
      </c>
      <c r="AD35">
        <f>HYPERLINK("https://klasma.github.io/Logging_2513/tillsynsmail/A 34921-2025 tillsynsbegäran mail.docx", "A 34921-2025")</f>
        <v/>
      </c>
    </row>
    <row r="36" ht="15" customHeight="1">
      <c r="A36" t="inlineStr">
        <is>
          <t>A 50691-2024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46279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4.2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Vedticka</t>
        </is>
      </c>
      <c r="W36">
        <f>HYPERLINK("https://klasma.github.io/Logging_2513/artfynd/A 50691-2024 artfynd.xlsx", "A 50691-2024")</f>
        <v/>
      </c>
      <c r="X36">
        <f>HYPERLINK("https://klasma.github.io/Logging_2513/kartor/A 50691-2024 karta.png", "A 50691-2024")</f>
        <v/>
      </c>
      <c r="Y36">
        <f>HYPERLINK("https://klasma.github.io/Logging_2513/kartor_geotiff/A 50691-2024 georefererad karta.tif", "A 50691-2024")</f>
        <v/>
      </c>
      <c r="AA36">
        <f>HYPERLINK("https://klasma.github.io/Logging_2513/klagomål/A 50691-2024 FSC-klagomål.docx", "A 50691-2024")</f>
        <v/>
      </c>
      <c r="AB36">
        <f>HYPERLINK("https://klasma.github.io/Logging_2513/klagomålsmail/A 50691-2024 FSC-klagomål mail.docx", "A 50691-2024")</f>
        <v/>
      </c>
      <c r="AC36">
        <f>HYPERLINK("https://klasma.github.io/Logging_2513/tillsyn/A 50691-2024 tillsynsbegäran.docx", "A 50691-2024")</f>
        <v/>
      </c>
      <c r="AD36">
        <f>HYPERLINK("https://klasma.github.io/Logging_2513/tillsynsmail/A 50691-2024 tillsynsbegäran mail.docx", "A 50691-2024")</f>
        <v/>
      </c>
    </row>
    <row r="37" ht="15" customHeight="1">
      <c r="A37" t="inlineStr">
        <is>
          <t>A 42285-2025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45904</v>
      </c>
      <c r="E37" s="1" t="n">
        <v>46279</v>
      </c>
      <c r="F37" t="inlineStr">
        <is>
          <t>NORRBOTTENS LÄN</t>
        </is>
      </c>
      <c r="G37" t="inlineStr">
        <is>
          <t>ÖVERKALIX</t>
        </is>
      </c>
      <c r="I37" t="n">
        <v>0.3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Kungsfågel
Vanlig padda</t>
        </is>
      </c>
      <c r="W37">
        <f>HYPERLINK("https://klasma.github.io/Logging_2513/artfynd/A 42285-2025 artfynd.xlsx", "A 42285-2025")</f>
        <v/>
      </c>
      <c r="X37">
        <f>HYPERLINK("https://klasma.github.io/Logging_2513/kartor/A 42285-2025 karta.png", "A 42285-2025")</f>
        <v/>
      </c>
      <c r="Y37">
        <f>HYPERLINK("https://klasma.github.io/Logging_2513/kartor_geotiff/A 42285-2025 georefererad karta.tif", "A 42285-2025")</f>
        <v/>
      </c>
      <c r="AA37">
        <f>HYPERLINK("https://klasma.github.io/Logging_2513/klagomål/A 42285-2025 FSC-klagomål.docx", "A 42285-2025")</f>
        <v/>
      </c>
      <c r="AB37">
        <f>HYPERLINK("https://klasma.github.io/Logging_2513/klagomålsmail/A 42285-2025 FSC-klagomål mail.docx", "A 42285-2025")</f>
        <v/>
      </c>
      <c r="AC37">
        <f>HYPERLINK("https://klasma.github.io/Logging_2513/tillsyn/A 42285-2025 tillsynsbegäran.docx", "A 42285-2025")</f>
        <v/>
      </c>
      <c r="AD37">
        <f>HYPERLINK("https://klasma.github.io/Logging_2513/tillsynsmail/A 42285-2025 tillsynsbegäran mail.docx", "A 42285-2025")</f>
        <v/>
      </c>
    </row>
    <row r="38" ht="15" customHeight="1">
      <c r="A38" t="inlineStr">
        <is>
          <t>A 14152-2026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46279</v>
      </c>
      <c r="F38" t="inlineStr">
        <is>
          <t>NORRBOTTENS LÄN</t>
        </is>
      </c>
      <c r="G38" t="inlineStr">
        <is>
          <t>ÖVERKALIX</t>
        </is>
      </c>
      <c r="I38" t="n">
        <v>4.6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Källpraktmossa
Spädstarr</t>
        </is>
      </c>
      <c r="W38">
        <f>HYPERLINK("https://klasma.github.io/Logging_2513/artfynd/A 14152-2026 artfynd.xlsx", "A 14152-2026")</f>
        <v/>
      </c>
      <c r="X38">
        <f>HYPERLINK("https://klasma.github.io/Logging_2513/kartor/A 14152-2026 karta.png", "A 14152-2026")</f>
        <v/>
      </c>
      <c r="Y38">
        <f>HYPERLINK("https://klasma.github.io/Logging_2513/kartor_geotiff/A 14152-2026 georefererad karta.tif", "A 14152-2026")</f>
        <v/>
      </c>
      <c r="AA38">
        <f>HYPERLINK("https://klasma.github.io/Logging_2513/klagomål/A 14152-2026 FSC-klagomål.docx", "A 14152-2026")</f>
        <v/>
      </c>
      <c r="AB38">
        <f>HYPERLINK("https://klasma.github.io/Logging_2513/klagomålsmail/A 14152-2026 FSC-klagomål mail.docx", "A 14152-2026")</f>
        <v/>
      </c>
      <c r="AC38">
        <f>HYPERLINK("https://klasma.github.io/Logging_2513/tillsyn/A 14152-2026 tillsynsbegäran.docx", "A 14152-2026")</f>
        <v/>
      </c>
      <c r="AD38">
        <f>HYPERLINK("https://klasma.github.io/Logging_2513/tillsynsmail/A 14152-2026 tillsynsbegäran mail.docx", "A 14152-2026")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46279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46279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47680-2024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46279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2.1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Blå taggsvamp
Skarp dropptaggsvamp</t>
        </is>
      </c>
      <c r="W41">
        <f>HYPERLINK("https://klasma.github.io/Logging_2513/artfynd/A 47680-2024 artfynd.xlsx", "A 47680-2024")</f>
        <v/>
      </c>
      <c r="X41">
        <f>HYPERLINK("https://klasma.github.io/Logging_2513/kartor/A 47680-2024 karta.png", "A 47680-2024")</f>
        <v/>
      </c>
      <c r="Y41">
        <f>HYPERLINK("https://klasma.github.io/Logging_2513/kartor_geotiff/A 47680-2024 georefererad karta.tif", "A 47680-2024")</f>
        <v/>
      </c>
      <c r="AA41">
        <f>HYPERLINK("https://klasma.github.io/Logging_2513/klagomål/A 47680-2024 FSC-klagomål.docx", "A 47680-2024")</f>
        <v/>
      </c>
      <c r="AB41">
        <f>HYPERLINK("https://klasma.github.io/Logging_2513/klagomålsmail/A 47680-2024 FSC-klagomål mail.docx", "A 47680-2024")</f>
        <v/>
      </c>
      <c r="AC41">
        <f>HYPERLINK("https://klasma.github.io/Logging_2513/tillsyn/A 47680-2024 tillsynsbegäran.docx", "A 47680-2024")</f>
        <v/>
      </c>
      <c r="AD41">
        <f>HYPERLINK("https://klasma.github.io/Logging_2513/tillsynsmail/A 47680-2024 tillsynsbegäran mail.docx", "A 47680-2024")</f>
        <v/>
      </c>
    </row>
    <row r="42" ht="15" customHeight="1">
      <c r="A42" t="inlineStr">
        <is>
          <t>A 36803-2023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45154</v>
      </c>
      <c r="E42" s="1" t="n">
        <v>46279</v>
      </c>
      <c r="F42" t="inlineStr">
        <is>
          <t>NORRBOTTENS LÄN</t>
        </is>
      </c>
      <c r="G42" t="inlineStr">
        <is>
          <t>ÖVERKALIX</t>
        </is>
      </c>
      <c r="I42" t="n">
        <v>3.1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6</v>
      </c>
      <c r="U42" t="n">
        <v>6</v>
      </c>
      <c r="V42" s="2" t="inlineStr">
        <is>
          <t>Knärot
Revlummer</t>
        </is>
      </c>
      <c r="W42">
        <f>HYPERLINK("https://klasma.github.io/Logging_2513/artfynd/A 36803-2023 artfynd.xlsx", "A 36803-2023")</f>
        <v/>
      </c>
      <c r="X42">
        <f>HYPERLINK("https://klasma.github.io/Logging_2513/kartor/A 36803-2023 karta.png", "A 36803-2023")</f>
        <v/>
      </c>
      <c r="Y42">
        <f>HYPERLINK("https://klasma.github.io/Logging_2513/kartor_geotiff/A 36803-2023 georefererad karta.tif", "A 36803-2023")</f>
        <v/>
      </c>
      <c r="Z42">
        <f>HYPERLINK("https://klasma.github.io/Logging_2513/knärot/A 36803-2023 karta knärot.png", "A 36803-2023")</f>
        <v/>
      </c>
      <c r="AA42">
        <f>HYPERLINK("https://klasma.github.io/Logging_2513/klagomål/A 36803-2023 FSC-klagomål.docx", "A 36803-2023")</f>
        <v/>
      </c>
      <c r="AB42">
        <f>HYPERLINK("https://klasma.github.io/Logging_2513/klagomålsmail/A 36803-2023 FSC-klagomål mail.docx", "A 36803-2023")</f>
        <v/>
      </c>
      <c r="AC42">
        <f>HYPERLINK("https://klasma.github.io/Logging_2513/tillsyn/A 36803-2023 tillsynsbegäran.docx", "A 36803-2023")</f>
        <v/>
      </c>
      <c r="AD42">
        <f>HYPERLINK("https://klasma.github.io/Logging_2513/tillsynsmail/A 36803-2023 tillsynsbegäran mail.docx", "A 36803-2023")</f>
        <v/>
      </c>
    </row>
    <row r="43" ht="15" customHeight="1">
      <c r="A43" t="inlineStr">
        <is>
          <t>A 28029-2026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46195</v>
      </c>
      <c r="E43" s="1" t="n">
        <v>46279</v>
      </c>
      <c r="F43" t="inlineStr">
        <is>
          <t>NORRBOTTENS LÄN</t>
        </is>
      </c>
      <c r="G43" t="inlineStr">
        <is>
          <t>ÖVERKALIX</t>
        </is>
      </c>
      <c r="H43" t="inlineStr">
        <is>
          <t>Sveaskog</t>
        </is>
      </c>
      <c r="I43" t="n">
        <v>1.4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 taggsvamp
Bollvitmossa</t>
        </is>
      </c>
      <c r="W43">
        <f>HYPERLINK("https://klasma.github.io/Logging_2513/artfynd/A 28029-2026 artfynd.xlsx", "A 28029-2026")</f>
        <v/>
      </c>
      <c r="X43">
        <f>HYPERLINK("https://klasma.github.io/Logging_2513/kartor/A 28029-2026 karta.png", "A 28029-2026")</f>
        <v/>
      </c>
      <c r="Y43">
        <f>HYPERLINK("https://klasma.github.io/Logging_2513/kartor_geotiff/A 28029-2026 georefererad karta.tif", "A 28029-2026")</f>
        <v/>
      </c>
      <c r="AA43">
        <f>HYPERLINK("https://klasma.github.io/Logging_2513/klagomål/A 28029-2026 FSC-klagomål.docx", "A 28029-2026")</f>
        <v/>
      </c>
      <c r="AB43">
        <f>HYPERLINK("https://klasma.github.io/Logging_2513/klagomålsmail/A 28029-2026 FSC-klagomål mail.docx", "A 28029-2026")</f>
        <v/>
      </c>
      <c r="AC43">
        <f>HYPERLINK("https://klasma.github.io/Logging_2513/tillsyn/A 28029-2026 tillsynsbegäran.docx", "A 28029-2026")</f>
        <v/>
      </c>
      <c r="AD43">
        <f>HYPERLINK("https://klasma.github.io/Logging_2513/tillsynsmail/A 28029-2026 tillsynsbegäran mail.docx", "A 28029-2026")</f>
        <v/>
      </c>
    </row>
    <row r="44" ht="15" customHeight="1">
      <c r="A44" t="inlineStr">
        <is>
          <t>A 28929-2026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46199</v>
      </c>
      <c r="E44" s="1" t="n">
        <v>46279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3.9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5</v>
      </c>
      <c r="U44" t="n">
        <v>5</v>
      </c>
      <c r="V44" s="2" t="inlineStr">
        <is>
          <t>Knärot
Fläcknycklar</t>
        </is>
      </c>
      <c r="W44">
        <f>HYPERLINK("https://klasma.github.io/Logging_2513/artfynd/A 28929-2026 artfynd.xlsx", "A 28929-2026")</f>
        <v/>
      </c>
      <c r="X44">
        <f>HYPERLINK("https://klasma.github.io/Logging_2513/kartor/A 28929-2026 karta.png", "A 28929-2026")</f>
        <v/>
      </c>
      <c r="Y44">
        <f>HYPERLINK("https://klasma.github.io/Logging_2513/kartor_geotiff/A 28929-2026 georefererad karta.tif", "A 28929-2026")</f>
        <v/>
      </c>
      <c r="Z44">
        <f>HYPERLINK("https://klasma.github.io/Logging_2513/knärot/A 28929-2026 karta knärot.png", "A 28929-2026")</f>
        <v/>
      </c>
      <c r="AA44">
        <f>HYPERLINK("https://klasma.github.io/Logging_2513/klagomål/A 28929-2026 FSC-klagomål.docx", "A 28929-2026")</f>
        <v/>
      </c>
      <c r="AB44">
        <f>HYPERLINK("https://klasma.github.io/Logging_2513/klagomålsmail/A 28929-2026 FSC-klagomål mail.docx", "A 28929-2026")</f>
        <v/>
      </c>
      <c r="AC44">
        <f>HYPERLINK("https://klasma.github.io/Logging_2513/tillsyn/A 28929-2026 tillsynsbegäran.docx", "A 28929-2026")</f>
        <v/>
      </c>
      <c r="AD44">
        <f>HYPERLINK("https://klasma.github.io/Logging_2513/tillsynsmail/A 28929-2026 tillsynsbegäran mail.docx", "A 28929-2026")</f>
        <v/>
      </c>
    </row>
    <row r="45" ht="15" customHeight="1">
      <c r="A45" t="inlineStr">
        <is>
          <t>A 35594-2026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46262</v>
      </c>
      <c r="E45" s="1" t="n">
        <v>46279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40.3</v>
      </c>
      <c r="J45" t="n">
        <v>0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2</v>
      </c>
      <c r="T45" t="n">
        <v>7</v>
      </c>
      <c r="U45" t="n">
        <v>4</v>
      </c>
      <c r="V45" s="2" t="inlineStr">
        <is>
          <t>Dropptaggsvamp
Lunglav</t>
        </is>
      </c>
      <c r="W45">
        <f>HYPERLINK("https://klasma.github.io/Logging_2513/artfynd/A 35594-2026 artfynd.xlsx", "A 35594-2026")</f>
        <v/>
      </c>
      <c r="X45">
        <f>HYPERLINK("https://klasma.github.io/Logging_2513/kartor/A 35594-2026 karta.png", "A 35594-2026")</f>
        <v/>
      </c>
      <c r="Y45">
        <f>HYPERLINK("https://klasma.github.io/Logging_2513/kartor_geotiff/A 35594-2026 georefererad karta.tif", "A 35594-2026")</f>
        <v/>
      </c>
      <c r="AA45">
        <f>HYPERLINK("https://klasma.github.io/Logging_2513/klagomål/A 35594-2026 FSC-klagomål.docx", "A 35594-2026")</f>
        <v/>
      </c>
      <c r="AB45">
        <f>HYPERLINK("https://klasma.github.io/Logging_2513/klagomålsmail/A 35594-2026 FSC-klagomål mail.docx", "A 35594-2026")</f>
        <v/>
      </c>
      <c r="AC45">
        <f>HYPERLINK("https://klasma.github.io/Logging_2513/tillsyn/A 35594-2026 tillsynsbegäran.docx", "A 35594-2026")</f>
        <v/>
      </c>
      <c r="AD45">
        <f>HYPERLINK("https://klasma.github.io/Logging_2513/tillsynsmail/A 35594-2026 tillsynsbegäran mail.docx", "A 35594-2026")</f>
        <v/>
      </c>
    </row>
    <row r="46" ht="15" customHeight="1">
      <c r="A46" t="inlineStr">
        <is>
          <t>A 31704-2026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46279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Blå taggsvamp
Skarp dropptaggsvamp</t>
        </is>
      </c>
      <c r="W46">
        <f>HYPERLINK("https://klasma.github.io/Logging_2513/artfynd/A 31704-2026 artfynd.xlsx", "A 31704-2026")</f>
        <v/>
      </c>
      <c r="X46">
        <f>HYPERLINK("https://klasma.github.io/Logging_2513/kartor/A 31704-2026 karta.png", "A 31704-2026")</f>
        <v/>
      </c>
      <c r="Y46">
        <f>HYPERLINK("https://klasma.github.io/Logging_2513/kartor_geotiff/A 31704-2026 georefererad karta.tif", "A 31704-2026")</f>
        <v/>
      </c>
      <c r="AA46">
        <f>HYPERLINK("https://klasma.github.io/Logging_2513/klagomål/A 31704-2026 FSC-klagomål.docx", "A 31704-2026")</f>
        <v/>
      </c>
      <c r="AB46">
        <f>HYPERLINK("https://klasma.github.io/Logging_2513/klagomålsmail/A 31704-2026 FSC-klagomål mail.docx", "A 31704-2026")</f>
        <v/>
      </c>
      <c r="AC46">
        <f>HYPERLINK("https://klasma.github.io/Logging_2513/tillsyn/A 31704-2026 tillsynsbegäran.docx", "A 31704-2026")</f>
        <v/>
      </c>
      <c r="AD46">
        <f>HYPERLINK("https://klasma.github.io/Logging_2513/tillsynsmail/A 31704-2026 tillsynsbegäran mail.docx", "A 31704-2026")</f>
        <v/>
      </c>
    </row>
    <row r="47" ht="15" customHeight="1">
      <c r="A47" t="inlineStr">
        <is>
          <t>A 60509-2021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44496</v>
      </c>
      <c r="E47" s="1" t="n">
        <v>46279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13.5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Stor aspticka
Vedticka</t>
        </is>
      </c>
      <c r="W47">
        <f>HYPERLINK("https://klasma.github.io/Logging_2513/artfynd/A 60509-2021 artfynd.xlsx", "A 60509-2021")</f>
        <v/>
      </c>
      <c r="X47">
        <f>HYPERLINK("https://klasma.github.io/Logging_2513/kartor/A 60509-2021 karta.png", "A 60509-2021")</f>
        <v/>
      </c>
      <c r="Y47">
        <f>HYPERLINK("https://klasma.github.io/Logging_2513/kartor_geotiff/A 60509-2021 georefererad karta.tif", "A 60509-2021")</f>
        <v/>
      </c>
      <c r="AA47">
        <f>HYPERLINK("https://klasma.github.io/Logging_2513/klagomål/A 60509-2021 FSC-klagomål.docx", "A 60509-2021")</f>
        <v/>
      </c>
      <c r="AB47">
        <f>HYPERLINK("https://klasma.github.io/Logging_2513/klagomålsmail/A 60509-2021 FSC-klagomål mail.docx", "A 60509-2021")</f>
        <v/>
      </c>
      <c r="AC47">
        <f>HYPERLINK("https://klasma.github.io/Logging_2513/tillsyn/A 60509-2021 tillsynsbegäran.docx", "A 60509-2021")</f>
        <v/>
      </c>
      <c r="AD47">
        <f>HYPERLINK("https://klasma.github.io/Logging_2513/tillsynsmail/A 60509-2021 tillsynsbegäran mail.docx", "A 60509-2021")</f>
        <v/>
      </c>
    </row>
    <row r="48" ht="15" customHeight="1">
      <c r="A48" t="inlineStr">
        <is>
          <t>A 26452-2025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45807</v>
      </c>
      <c r="E48" s="1" t="n">
        <v>46279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1.2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Gammelgransskål
Stor aspticka</t>
        </is>
      </c>
      <c r="W48">
        <f>HYPERLINK("https://klasma.github.io/Logging_2513/artfynd/A 26452-2025 artfynd.xlsx", "A 26452-2025")</f>
        <v/>
      </c>
      <c r="X48">
        <f>HYPERLINK("https://klasma.github.io/Logging_2513/kartor/A 26452-2025 karta.png", "A 26452-2025")</f>
        <v/>
      </c>
      <c r="Y48">
        <f>HYPERLINK("https://klasma.github.io/Logging_2513/kartor_geotiff/A 26452-2025 georefererad karta.tif", "A 26452-2025")</f>
        <v/>
      </c>
      <c r="AA48">
        <f>HYPERLINK("https://klasma.github.io/Logging_2513/klagomål/A 26452-2025 FSC-klagomål.docx", "A 26452-2025")</f>
        <v/>
      </c>
      <c r="AB48">
        <f>HYPERLINK("https://klasma.github.io/Logging_2513/klagomålsmail/A 26452-2025 FSC-klagomål mail.docx", "A 26452-2025")</f>
        <v/>
      </c>
      <c r="AC48">
        <f>HYPERLINK("https://klasma.github.io/Logging_2513/tillsyn/A 26452-2025 tillsynsbegäran.docx", "A 26452-2025")</f>
        <v/>
      </c>
      <c r="AD48">
        <f>HYPERLINK("https://klasma.github.io/Logging_2513/tillsynsmail/A 26452-2025 tillsynsbegäran mail.docx", "A 26452-2025")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46279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46279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46279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22977-2022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44717</v>
      </c>
      <c r="E52" s="1" t="n">
        <v>46279</v>
      </c>
      <c r="F52" t="inlineStr">
        <is>
          <t>NORRBOTTENS LÄN</t>
        </is>
      </c>
      <c r="G52" t="inlineStr">
        <is>
          <t>ÖVERKALIX</t>
        </is>
      </c>
      <c r="I52" t="n">
        <v>19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Bivråk</t>
        </is>
      </c>
      <c r="W52">
        <f>HYPERLINK("https://klasma.github.io/Logging_2513/artfynd/A 22977-2022 artfynd.xlsx", "A 22977-2022")</f>
        <v/>
      </c>
      <c r="X52">
        <f>HYPERLINK("https://klasma.github.io/Logging_2513/kartor/A 22977-2022 karta.png", "A 22977-2022")</f>
        <v/>
      </c>
      <c r="Y52">
        <f>HYPERLINK("https://klasma.github.io/Logging_2513/kartor_geotiff/A 22977-2022 georefererad karta.tif", "A 22977-2022")</f>
        <v/>
      </c>
      <c r="AA52">
        <f>HYPERLINK("https://klasma.github.io/Logging_2513/klagomål/A 22977-2022 FSC-klagomål.docx", "A 22977-2022")</f>
        <v/>
      </c>
      <c r="AB52">
        <f>HYPERLINK("https://klasma.github.io/Logging_2513/klagomålsmail/A 22977-2022 FSC-klagomål mail.docx", "A 22977-2022")</f>
        <v/>
      </c>
      <c r="AC52">
        <f>HYPERLINK("https://klasma.github.io/Logging_2513/tillsyn/A 22977-2022 tillsynsbegäran.docx", "A 22977-2022")</f>
        <v/>
      </c>
      <c r="AD52">
        <f>HYPERLINK("https://klasma.github.io/Logging_2513/tillsynsmail/A 22977-2022 tillsynsbegäran mail.docx", "A 22977-2022")</f>
        <v/>
      </c>
      <c r="AE52">
        <f>HYPERLINK("https://klasma.github.io/Logging_2513/fåglar/A 22977-2022 prioriterade fågelarter.docx", "A 22977-2022")</f>
        <v/>
      </c>
    </row>
    <row r="53" ht="15" customHeight="1">
      <c r="A53" t="inlineStr">
        <is>
          <t>A 35602-2025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45859</v>
      </c>
      <c r="E53" s="1" t="n">
        <v>46279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2.9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HYPERLINK("https://klasma.github.io/Logging_2513/artfynd/A 35602-2025 artfynd.xlsx", "A 35602-2025")</f>
        <v/>
      </c>
      <c r="X53">
        <f>HYPERLINK("https://klasma.github.io/Logging_2513/kartor/A 35602-2025 karta.png", "A 35602-2025")</f>
        <v/>
      </c>
      <c r="Y53">
        <f>HYPERLINK("https://klasma.github.io/Logging_2513/kartor_geotiff/A 35602-2025 georefererad karta.tif", "A 35602-2025")</f>
        <v/>
      </c>
      <c r="AA53">
        <f>HYPERLINK("https://klasma.github.io/Logging_2513/klagomål/A 35602-2025 FSC-klagomål.docx", "A 35602-2025")</f>
        <v/>
      </c>
      <c r="AB53">
        <f>HYPERLINK("https://klasma.github.io/Logging_2513/klagomålsmail/A 35602-2025 FSC-klagomål mail.docx", "A 35602-2025")</f>
        <v/>
      </c>
      <c r="AC53">
        <f>HYPERLINK("https://klasma.github.io/Logging_2513/tillsyn/A 35602-2025 tillsynsbegäran.docx", "A 35602-2025")</f>
        <v/>
      </c>
      <c r="AD53">
        <f>HYPERLINK("https://klasma.github.io/Logging_2513/tillsynsmail/A 35602-2025 tillsynsbegäran mail.docx", "A 35602-2025")</f>
        <v/>
      </c>
    </row>
    <row r="54" ht="15" customHeight="1">
      <c r="A54" t="inlineStr">
        <is>
          <t>A 37532-2022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44809</v>
      </c>
      <c r="E54" s="1" t="n">
        <v>46279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 taggsvamp</t>
        </is>
      </c>
      <c r="W54">
        <f>HYPERLINK("https://klasma.github.io/Logging_2513/artfynd/A 37532-2022 artfynd.xlsx", "A 37532-2022")</f>
        <v/>
      </c>
      <c r="X54">
        <f>HYPERLINK("https://klasma.github.io/Logging_2513/kartor/A 37532-2022 karta.png", "A 37532-2022")</f>
        <v/>
      </c>
      <c r="Y54">
        <f>HYPERLINK("https://klasma.github.io/Logging_2513/kartor_geotiff/A 37532-2022 georefererad karta.tif", "A 37532-2022")</f>
        <v/>
      </c>
      <c r="AA54">
        <f>HYPERLINK("https://klasma.github.io/Logging_2513/klagomål/A 37532-2022 FSC-klagomål.docx", "A 37532-2022")</f>
        <v/>
      </c>
      <c r="AB54">
        <f>HYPERLINK("https://klasma.github.io/Logging_2513/klagomålsmail/A 37532-2022 FSC-klagomål mail.docx", "A 37532-2022")</f>
        <v/>
      </c>
      <c r="AC54">
        <f>HYPERLINK("https://klasma.github.io/Logging_2513/tillsyn/A 37532-2022 tillsynsbegäran.docx", "A 37532-2022")</f>
        <v/>
      </c>
      <c r="AD54">
        <f>HYPERLINK("https://klasma.github.io/Logging_2513/tillsynsmail/A 37532-2022 tillsynsbegäran mail.docx", "A 37532-2022")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46279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8407-2025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45709</v>
      </c>
      <c r="E56" s="1" t="n">
        <v>46279</v>
      </c>
      <c r="F56" t="inlineStr">
        <is>
          <t>NORRBOTTENS LÄN</t>
        </is>
      </c>
      <c r="G56" t="inlineStr">
        <is>
          <t>ÖVERKALIX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Tallbit</t>
        </is>
      </c>
      <c r="W56">
        <f>HYPERLINK("https://klasma.github.io/Logging_2513/artfynd/A 8407-2025 artfynd.xlsx", "A 8407-2025")</f>
        <v/>
      </c>
      <c r="X56">
        <f>HYPERLINK("https://klasma.github.io/Logging_2513/kartor/A 8407-2025 karta.png", "A 8407-2025")</f>
        <v/>
      </c>
      <c r="Y56">
        <f>HYPERLINK("https://klasma.github.io/Logging_2513/kartor_geotiff/A 8407-2025 georefererad karta.tif", "A 8407-2025")</f>
        <v/>
      </c>
      <c r="AA56">
        <f>HYPERLINK("https://klasma.github.io/Logging_2513/klagomål/A 8407-2025 FSC-klagomål.docx", "A 8407-2025")</f>
        <v/>
      </c>
      <c r="AB56">
        <f>HYPERLINK("https://klasma.github.io/Logging_2513/klagomålsmail/A 8407-2025 FSC-klagomål mail.docx", "A 8407-2025")</f>
        <v/>
      </c>
      <c r="AC56">
        <f>HYPERLINK("https://klasma.github.io/Logging_2513/tillsyn/A 8407-2025 tillsynsbegäran.docx", "A 8407-2025")</f>
        <v/>
      </c>
      <c r="AD56">
        <f>HYPERLINK("https://klasma.github.io/Logging_2513/tillsynsmail/A 8407-2025 tillsynsbegäran mail.docx", "A 8407-2025")</f>
        <v/>
      </c>
      <c r="AE56">
        <f>HYPERLINK("https://klasma.github.io/Logging_2513/fåglar/A 8407-2025 prioriterade fågelarter.docx", "A 8407-2025")</f>
        <v/>
      </c>
    </row>
    <row r="57" ht="15" customHeight="1">
      <c r="A57" t="inlineStr">
        <is>
          <t>A 7234-2023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44970</v>
      </c>
      <c r="E57" s="1" t="n">
        <v>46279</v>
      </c>
      <c r="F57" t="inlineStr">
        <is>
          <t>NORRBOTTENS LÄN</t>
        </is>
      </c>
      <c r="G57" t="inlineStr">
        <is>
          <t>ÖVERKALIX</t>
        </is>
      </c>
      <c r="I57" t="n">
        <v>5.2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HYPERLINK("https://klasma.github.io/Logging_2513/artfynd/A 7234-2023 artfynd.xlsx", "A 7234-2023")</f>
        <v/>
      </c>
      <c r="X57">
        <f>HYPERLINK("https://klasma.github.io/Logging_2513/kartor/A 7234-2023 karta.png", "A 7234-2023")</f>
        <v/>
      </c>
      <c r="Y57">
        <f>HYPERLINK("https://klasma.github.io/Logging_2513/kartor_geotiff/A 7234-2023 georefererad karta.tif", "A 7234-2023")</f>
        <v/>
      </c>
      <c r="AA57">
        <f>HYPERLINK("https://klasma.github.io/Logging_2513/klagomål/A 7234-2023 FSC-klagomål.docx", "A 7234-2023")</f>
        <v/>
      </c>
      <c r="AB57">
        <f>HYPERLINK("https://klasma.github.io/Logging_2513/klagomålsmail/A 7234-2023 FSC-klagomål mail.docx", "A 7234-2023")</f>
        <v/>
      </c>
      <c r="AC57">
        <f>HYPERLINK("https://klasma.github.io/Logging_2513/tillsyn/A 7234-2023 tillsynsbegäran.docx", "A 7234-2023")</f>
        <v/>
      </c>
      <c r="AD57">
        <f>HYPERLINK("https://klasma.github.io/Logging_2513/tillsynsmail/A 7234-2023 tillsynsbegäran mail.docx", "A 7234-2023")</f>
        <v/>
      </c>
      <c r="AE57">
        <f>HYPERLINK("https://klasma.github.io/Logging_2513/fåglar/A 7234-2023 prioriterade fågelarter.docx", "A 7234-2023")</f>
        <v/>
      </c>
    </row>
    <row r="58" ht="15" customHeight="1">
      <c r="A58" t="inlineStr">
        <is>
          <t>A 46280-2024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45581</v>
      </c>
      <c r="E58" s="1" t="n">
        <v>46279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HYPERLINK("https://klasma.github.io/Logging_2513/artfynd/A 46280-2024 artfynd.xlsx", "A 46280-2024")</f>
        <v/>
      </c>
      <c r="X58">
        <f>HYPERLINK("https://klasma.github.io/Logging_2513/kartor/A 46280-2024 karta.png", "A 46280-2024")</f>
        <v/>
      </c>
      <c r="Y58">
        <f>HYPERLINK("https://klasma.github.io/Logging_2513/kartor_geotiff/A 46280-2024 georefererad karta.tif", "A 46280-2024")</f>
        <v/>
      </c>
      <c r="AA58">
        <f>HYPERLINK("https://klasma.github.io/Logging_2513/klagomål/A 46280-2024 FSC-klagomål.docx", "A 46280-2024")</f>
        <v/>
      </c>
      <c r="AB58">
        <f>HYPERLINK("https://klasma.github.io/Logging_2513/klagomålsmail/A 46280-2024 FSC-klagomål mail.docx", "A 46280-2024")</f>
        <v/>
      </c>
      <c r="AC58">
        <f>HYPERLINK("https://klasma.github.io/Logging_2513/tillsyn/A 46280-2024 tillsynsbegäran.docx", "A 46280-2024")</f>
        <v/>
      </c>
      <c r="AD58">
        <f>HYPERLINK("https://klasma.github.io/Logging_2513/tillsynsmail/A 46280-2024 tillsynsbegäran mail.docx", "A 46280-2024")</f>
        <v/>
      </c>
      <c r="AE58">
        <f>HYPERLINK("https://klasma.github.io/Logging_2513/fåglar/A 46280-2024 prioriterade fågelarter.docx", "A 46280-2024")</f>
        <v/>
      </c>
    </row>
    <row r="59" ht="15" customHeight="1">
      <c r="A59" t="inlineStr">
        <is>
          <t>A 46281-2024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45581</v>
      </c>
      <c r="E59" s="1" t="n">
        <v>46279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1.2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Blå taggsvamp</t>
        </is>
      </c>
      <c r="W59">
        <f>HYPERLINK("https://klasma.github.io/Logging_2513/artfynd/A 46281-2024 artfynd.xlsx", "A 46281-2024")</f>
        <v/>
      </c>
      <c r="X59">
        <f>HYPERLINK("https://klasma.github.io/Logging_2513/kartor/A 46281-2024 karta.png", "A 46281-2024")</f>
        <v/>
      </c>
      <c r="Y59">
        <f>HYPERLINK("https://klasma.github.io/Logging_2513/kartor_geotiff/A 46281-2024 georefererad karta.tif", "A 46281-2024")</f>
        <v/>
      </c>
      <c r="AA59">
        <f>HYPERLINK("https://klasma.github.io/Logging_2513/klagomål/A 46281-2024 FSC-klagomål.docx", "A 46281-2024")</f>
        <v/>
      </c>
      <c r="AB59">
        <f>HYPERLINK("https://klasma.github.io/Logging_2513/klagomålsmail/A 46281-2024 FSC-klagomål mail.docx", "A 46281-2024")</f>
        <v/>
      </c>
      <c r="AC59">
        <f>HYPERLINK("https://klasma.github.io/Logging_2513/tillsyn/A 46281-2024 tillsynsbegäran.docx", "A 46281-2024")</f>
        <v/>
      </c>
      <c r="AD59">
        <f>HYPERLINK("https://klasma.github.io/Logging_2513/tillsynsmail/A 46281-2024 tillsynsbegäran mail.docx", "A 46281-2024")</f>
        <v/>
      </c>
    </row>
    <row r="60" ht="15" customHeight="1">
      <c r="A60" t="inlineStr">
        <is>
          <t>A 20949-2026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46279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9.1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Fläcknycklar</t>
        </is>
      </c>
      <c r="W60">
        <f>HYPERLINK("https://klasma.github.io/Logging_2513/artfynd/A 20949-2026 artfynd.xlsx", "A 20949-2026")</f>
        <v/>
      </c>
      <c r="X60">
        <f>HYPERLINK("https://klasma.github.io/Logging_2513/kartor/A 20949-2026 karta.png", "A 20949-2026")</f>
        <v/>
      </c>
      <c r="Y60">
        <f>HYPERLINK("https://klasma.github.io/Logging_2513/kartor_geotiff/A 20949-2026 georefererad karta.tif", "A 20949-2026")</f>
        <v/>
      </c>
      <c r="AA60">
        <f>HYPERLINK("https://klasma.github.io/Logging_2513/klagomål/A 20949-2026 FSC-klagomål.docx", "A 20949-2026")</f>
        <v/>
      </c>
      <c r="AB60">
        <f>HYPERLINK("https://klasma.github.io/Logging_2513/klagomålsmail/A 20949-2026 FSC-klagomål mail.docx", "A 20949-2026")</f>
        <v/>
      </c>
      <c r="AC60">
        <f>HYPERLINK("https://klasma.github.io/Logging_2513/tillsyn/A 20949-2026 tillsynsbegäran.docx", "A 20949-2026")</f>
        <v/>
      </c>
      <c r="AD60">
        <f>HYPERLINK("https://klasma.github.io/Logging_2513/tillsynsmail/A 20949-2026 tillsynsbegäran mail.docx", "A 20949-2026")</f>
        <v/>
      </c>
    </row>
    <row r="61" ht="15" customHeight="1">
      <c r="A61" t="inlineStr">
        <is>
          <t>A 25335-2026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46176</v>
      </c>
      <c r="E61" s="1" t="n">
        <v>46279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46.9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Lunglav</t>
        </is>
      </c>
      <c r="W61">
        <f>HYPERLINK("https://klasma.github.io/Logging_2513/artfynd/A 25335-2026 artfynd.xlsx", "A 25335-2026")</f>
        <v/>
      </c>
      <c r="X61">
        <f>HYPERLINK("https://klasma.github.io/Logging_2513/kartor/A 25335-2026 karta.png", "A 25335-2026")</f>
        <v/>
      </c>
      <c r="Y61">
        <f>HYPERLINK("https://klasma.github.io/Logging_2513/kartor_geotiff/A 25335-2026 georefererad karta.tif", "A 25335-2026")</f>
        <v/>
      </c>
      <c r="AA61">
        <f>HYPERLINK("https://klasma.github.io/Logging_2513/klagomål/A 25335-2026 FSC-klagomål.docx", "A 25335-2026")</f>
        <v/>
      </c>
      <c r="AB61">
        <f>HYPERLINK("https://klasma.github.io/Logging_2513/klagomålsmail/A 25335-2026 FSC-klagomål mail.docx", "A 25335-2026")</f>
        <v/>
      </c>
      <c r="AC61">
        <f>HYPERLINK("https://klasma.github.io/Logging_2513/tillsyn/A 25335-2026 tillsynsbegäran.docx", "A 25335-2026")</f>
        <v/>
      </c>
      <c r="AD61">
        <f>HYPERLINK("https://klasma.github.io/Logging_2513/tillsynsmail/A 25335-2026 tillsynsbegäran mail.docx", "A 25335-2026")</f>
        <v/>
      </c>
    </row>
    <row r="62" ht="15" customHeight="1">
      <c r="A62" t="inlineStr">
        <is>
          <t>A 31920-2026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46231</v>
      </c>
      <c r="E62" s="1" t="n">
        <v>46279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3.8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Garnlav</t>
        </is>
      </c>
      <c r="W62">
        <f>HYPERLINK("https://klasma.github.io/Logging_2513/artfynd/A 31920-2026 artfynd.xlsx", "A 31920-2026")</f>
        <v/>
      </c>
      <c r="X62">
        <f>HYPERLINK("https://klasma.github.io/Logging_2513/kartor/A 31920-2026 karta.png", "A 31920-2026")</f>
        <v/>
      </c>
      <c r="Y62">
        <f>HYPERLINK("https://klasma.github.io/Logging_2513/kartor_geotiff/A 31920-2026 georefererad karta.tif", "A 31920-2026")</f>
        <v/>
      </c>
      <c r="AA62">
        <f>HYPERLINK("https://klasma.github.io/Logging_2513/klagomål/A 31920-2026 FSC-klagomål.docx", "A 31920-2026")</f>
        <v/>
      </c>
      <c r="AB62">
        <f>HYPERLINK("https://klasma.github.io/Logging_2513/klagomålsmail/A 31920-2026 FSC-klagomål mail.docx", "A 31920-2026")</f>
        <v/>
      </c>
      <c r="AC62">
        <f>HYPERLINK("https://klasma.github.io/Logging_2513/tillsyn/A 31920-2026 tillsynsbegäran.docx", "A 31920-2026")</f>
        <v/>
      </c>
      <c r="AD62">
        <f>HYPERLINK("https://klasma.github.io/Logging_2513/tillsynsmail/A 31920-2026 tillsynsbegäran mail.docx", "A 31920-2026")</f>
        <v/>
      </c>
    </row>
    <row r="63" ht="15" customHeight="1">
      <c r="A63" t="inlineStr">
        <is>
          <t>A 26305-2025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45805</v>
      </c>
      <c r="E63" s="1" t="n">
        <v>46279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5.2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Luddlav</t>
        </is>
      </c>
      <c r="W63">
        <f>HYPERLINK("https://klasma.github.io/Logging_2513/artfynd/A 26305-2025 artfynd.xlsx", "A 26305-2025")</f>
        <v/>
      </c>
      <c r="X63">
        <f>HYPERLINK("https://klasma.github.io/Logging_2513/kartor/A 26305-2025 karta.png", "A 26305-2025")</f>
        <v/>
      </c>
      <c r="Y63">
        <f>HYPERLINK("https://klasma.github.io/Logging_2513/kartor_geotiff/A 26305-2025 georefererad karta.tif", "A 26305-2025")</f>
        <v/>
      </c>
      <c r="AA63">
        <f>HYPERLINK("https://klasma.github.io/Logging_2513/klagomål/A 26305-2025 FSC-klagomål.docx", "A 26305-2025")</f>
        <v/>
      </c>
      <c r="AB63">
        <f>HYPERLINK("https://klasma.github.io/Logging_2513/klagomålsmail/A 26305-2025 FSC-klagomål mail.docx", "A 26305-2025")</f>
        <v/>
      </c>
      <c r="AC63">
        <f>HYPERLINK("https://klasma.github.io/Logging_2513/tillsyn/A 26305-2025 tillsynsbegäran.docx", "A 26305-2025")</f>
        <v/>
      </c>
      <c r="AD63">
        <f>HYPERLINK("https://klasma.github.io/Logging_2513/tillsynsmail/A 26305-2025 tillsynsbegäran mail.docx", "A 26305-2025")</f>
        <v/>
      </c>
    </row>
    <row r="64" ht="15" customHeight="1">
      <c r="A64" t="inlineStr">
        <is>
          <t>A 27452-2025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46279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6.3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Tjäder</t>
        </is>
      </c>
      <c r="W64">
        <f>HYPERLINK("https://klasma.github.io/Logging_2513/artfynd/A 27452-2025 artfynd.xlsx", "A 27452-2025")</f>
        <v/>
      </c>
      <c r="X64">
        <f>HYPERLINK("https://klasma.github.io/Logging_2513/kartor/A 27452-2025 karta.png", "A 27452-2025")</f>
        <v/>
      </c>
      <c r="Y64">
        <f>HYPERLINK("https://klasma.github.io/Logging_2513/kartor_geotiff/A 27452-2025 georefererad karta.tif", "A 27452-2025")</f>
        <v/>
      </c>
      <c r="AA64">
        <f>HYPERLINK("https://klasma.github.io/Logging_2513/klagomål/A 27452-2025 FSC-klagomål.docx", "A 27452-2025")</f>
        <v/>
      </c>
      <c r="AB64">
        <f>HYPERLINK("https://klasma.github.io/Logging_2513/klagomålsmail/A 27452-2025 FSC-klagomål mail.docx", "A 27452-2025")</f>
        <v/>
      </c>
      <c r="AC64">
        <f>HYPERLINK("https://klasma.github.io/Logging_2513/tillsyn/A 27452-2025 tillsynsbegäran.docx", "A 27452-2025")</f>
        <v/>
      </c>
      <c r="AD64">
        <f>HYPERLINK("https://klasma.github.io/Logging_2513/tillsynsmail/A 27452-2025 tillsynsbegäran mail.docx", "A 27452-2025")</f>
        <v/>
      </c>
      <c r="AE64">
        <f>HYPERLINK("https://klasma.github.io/Logging_2513/fåglar/A 27452-2025 prioriterade fågelarter.docx", "A 27452-2025")</f>
        <v/>
      </c>
    </row>
    <row r="65" ht="15" customHeight="1">
      <c r="A65" t="inlineStr">
        <is>
          <t>S 4190-2024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45579</v>
      </c>
      <c r="E65" s="1" t="n">
        <v>46279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14</v>
      </c>
      <c r="U65" t="n">
        <v>0</v>
      </c>
      <c r="V65" s="2" t="inlineStr">
        <is>
          <t>Lunglav</t>
        </is>
      </c>
      <c r="W65">
        <f>HYPERLINK("https://klasma.github.io/Logging_2513/artfynd/S 4190-2024 artfynd.xlsx", "S 4190-2024")</f>
        <v/>
      </c>
      <c r="X65">
        <f>HYPERLINK("https://klasma.github.io/Logging_2513/kartor/S 4190-2024 karta.png", "S 4190-2024")</f>
        <v/>
      </c>
      <c r="Y65">
        <f>HYPERLINK("https://klasma.github.io/Logging_2513/kartor_geotiff/S 4190-2024 georefererad karta.tif", "S 4190-2024")</f>
        <v/>
      </c>
      <c r="AA65">
        <f>HYPERLINK("https://klasma.github.io/Logging_2513/klagomål/S 4190-2024 FSC-klagomål.docx", "S 4190-2024")</f>
        <v/>
      </c>
      <c r="AB65">
        <f>HYPERLINK("https://klasma.github.io/Logging_2513/klagomålsmail/S 4190-2024 FSC-klagomål mail.docx", "S 4190-2024")</f>
        <v/>
      </c>
      <c r="AC65">
        <f>HYPERLINK("https://klasma.github.io/Logging_2513/tillsyn/S 4190-2024 tillsynsbegäran.docx", "S 4190-2024")</f>
        <v/>
      </c>
      <c r="AD65">
        <f>HYPERLINK("https://klasma.github.io/Logging_2513/tillsynsmail/S 4190-2024 tillsynsbegäran mail.docx", "S 4190-2024")</f>
        <v/>
      </c>
    </row>
    <row r="66" ht="15" customHeight="1">
      <c r="A66" t="inlineStr">
        <is>
          <t>S 1156-2024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45394</v>
      </c>
      <c r="E66" s="1" t="n">
        <v>46279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491.9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Sävsparv</t>
        </is>
      </c>
      <c r="W66">
        <f>HYPERLINK("https://klasma.github.io/Logging_2513/artfynd/S 1156-2024 artfynd.xlsx", "S 1156-2024")</f>
        <v/>
      </c>
      <c r="X66">
        <f>HYPERLINK("https://klasma.github.io/Logging_2513/kartor/S 1156-2024 karta.png", "S 1156-2024")</f>
        <v/>
      </c>
      <c r="Y66">
        <f>HYPERLINK("https://klasma.github.io/Logging_2513/kartor_geotiff/S 1156-2024 georefererad karta.tif", "S 1156-2024")</f>
        <v/>
      </c>
      <c r="AA66">
        <f>HYPERLINK("https://klasma.github.io/Logging_2513/klagomål/S 1156-2024 FSC-klagomål.docx", "S 1156-2024")</f>
        <v/>
      </c>
      <c r="AB66">
        <f>HYPERLINK("https://klasma.github.io/Logging_2513/klagomålsmail/S 1156-2024 FSC-klagomål mail.docx", "S 1156-2024")</f>
        <v/>
      </c>
      <c r="AC66">
        <f>HYPERLINK("https://klasma.github.io/Logging_2513/tillsyn/S 1156-2024 tillsynsbegäran.docx", "S 1156-2024")</f>
        <v/>
      </c>
      <c r="AD66">
        <f>HYPERLINK("https://klasma.github.io/Logging_2513/tillsynsmail/S 1156-2024 tillsynsbegäran mail.docx", "S 1156-2024")</f>
        <v/>
      </c>
      <c r="AE66">
        <f>HYPERLINK("https://klasma.github.io/Logging_2513/fåglar/S 1156-2024 prioriterade fågelarter.docx", "S 1156-2024")</f>
        <v/>
      </c>
    </row>
    <row r="67" ht="15" customHeight="1">
      <c r="A67" t="inlineStr">
        <is>
          <t>A 3174-2022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44582</v>
      </c>
      <c r="E67" s="1" t="n">
        <v>46279</v>
      </c>
      <c r="F67" t="inlineStr">
        <is>
          <t>NORRBOTTENS LÄN</t>
        </is>
      </c>
      <c r="G67" t="inlineStr">
        <is>
          <t>ÖVERKALIX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73348-2021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46279</v>
      </c>
      <c r="F68" t="inlineStr">
        <is>
          <t>NORRBOTTENS LÄN</t>
        </is>
      </c>
      <c r="G68" t="inlineStr">
        <is>
          <t>ÖVERKALIX</t>
        </is>
      </c>
      <c r="I68" t="n">
        <v>5.4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22988-2022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44718</v>
      </c>
      <c r="E69" s="1" t="n">
        <v>46279</v>
      </c>
      <c r="F69" t="inlineStr">
        <is>
          <t>NORRBOTTENS LÄN</t>
        </is>
      </c>
      <c r="G69" t="inlineStr">
        <is>
          <t>ÖVERKALIX</t>
        </is>
      </c>
      <c r="I69" t="n">
        <v>13.2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73757-2021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44551</v>
      </c>
      <c r="E70" s="1" t="n">
        <v>46279</v>
      </c>
      <c r="F70" t="inlineStr">
        <is>
          <t>NORRBOTTENS LÄN</t>
        </is>
      </c>
      <c r="G70" t="inlineStr">
        <is>
          <t>ÖVERKALIX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21847-2022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46279</v>
      </c>
      <c r="F71" t="inlineStr">
        <is>
          <t>NORRBOTTENS LÄN</t>
        </is>
      </c>
      <c r="G71" t="inlineStr">
        <is>
          <t>ÖVERKALIX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44717</v>
      </c>
      <c r="E72" s="1" t="n">
        <v>46279</v>
      </c>
      <c r="F72" t="inlineStr">
        <is>
          <t>NORRBOTTENS LÄN</t>
        </is>
      </c>
      <c r="G72" t="inlineStr">
        <is>
          <t>ÖVERKALIX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29706-2022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46279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  <c r="Z73">
        <f>HYPERLINK("https://klasma.github.io/Logging_2513/knärot/A 29706-2022 karta knärot.png", "A 29706-2022")</f>
        <v/>
      </c>
      <c r="AA73">
        <f>HYPERLINK("https://klasma.github.io/Logging_2513/klagomål/A 29706-2022 FSC-klagomål.docx", "A 29706-2022")</f>
        <v/>
      </c>
      <c r="AB73">
        <f>HYPERLINK("https://klasma.github.io/Logging_2513/klagomålsmail/A 29706-2022 FSC-klagomål mail.docx", "A 29706-2022")</f>
        <v/>
      </c>
      <c r="AC73">
        <f>HYPERLINK("https://klasma.github.io/Logging_2513/tillsyn/A 29706-2022 tillsynsbegäran.docx", "A 29706-2022")</f>
        <v/>
      </c>
      <c r="AD73">
        <f>HYPERLINK("https://klasma.github.io/Logging_2513/tillsynsmail/A 29706-2022 tillsynsbegäran mail.docx", "A 29706-2022")</f>
        <v/>
      </c>
    </row>
    <row r="74" ht="15" customHeight="1">
      <c r="A74" t="inlineStr">
        <is>
          <t>A 6907-2022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46279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52713-2021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44466</v>
      </c>
      <c r="E75" s="1" t="n">
        <v>46279</v>
      </c>
      <c r="F75" t="inlineStr">
        <is>
          <t>NORRBOTTENS LÄN</t>
        </is>
      </c>
      <c r="G75" t="inlineStr">
        <is>
          <t>ÖVERKALIX</t>
        </is>
      </c>
      <c r="H75" t="inlineStr">
        <is>
          <t>SCA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46279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46279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46279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54220-2021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44470</v>
      </c>
      <c r="E79" s="1" t="n">
        <v>46279</v>
      </c>
      <c r="F79" t="inlineStr">
        <is>
          <t>NORRBOTTENS LÄN</t>
        </is>
      </c>
      <c r="G79" t="inlineStr">
        <is>
          <t>ÖVERKALIX</t>
        </is>
      </c>
      <c r="I79" t="n">
        <v>5.8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46279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46279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46279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46279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46279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46279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46279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46279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46279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8422-2025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45709</v>
      </c>
      <c r="E89" s="1" t="n">
        <v>46279</v>
      </c>
      <c r="F89" t="inlineStr">
        <is>
          <t>NORRBOTTENS LÄN</t>
        </is>
      </c>
      <c r="G89" t="inlineStr">
        <is>
          <t>ÖVERKALIX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45771</v>
      </c>
      <c r="E90" s="1" t="n">
        <v>46279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46279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45238</v>
      </c>
      <c r="E92" s="1" t="n">
        <v>46279</v>
      </c>
      <c r="F92" t="inlineStr">
        <is>
          <t>NORRBOTTENS LÄN</t>
        </is>
      </c>
      <c r="G92" t="inlineStr">
        <is>
          <t>ÖVERKALIX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46279</v>
      </c>
      <c r="F93" t="inlineStr">
        <is>
          <t>NORRBOTTENS LÄN</t>
        </is>
      </c>
      <c r="G93" t="inlineStr">
        <is>
          <t>ÖVERKALIX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19541-2024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45429</v>
      </c>
      <c r="E94" s="1" t="n">
        <v>46279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22.7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46279</v>
      </c>
      <c r="F95" t="inlineStr">
        <is>
          <t>NORRBOTTENS LÄN</t>
        </is>
      </c>
      <c r="G95" t="inlineStr">
        <is>
          <t>ÖVERKALIX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12580-2024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46279</v>
      </c>
      <c r="F96" t="inlineStr">
        <is>
          <t>NORRBOTTENS LÄN</t>
        </is>
      </c>
      <c r="G96" t="inlineStr">
        <is>
          <t>ÖVERKALIX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22071-2024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46279</v>
      </c>
      <c r="F97" t="inlineStr">
        <is>
          <t>NORRBOTTENS LÄN</t>
        </is>
      </c>
      <c r="G97" t="inlineStr">
        <is>
          <t>ÖVERKALIX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46279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46279</v>
      </c>
      <c r="F99" t="inlineStr">
        <is>
          <t>NORRBOTTENS LÄN</t>
        </is>
      </c>
      <c r="G99" t="inlineStr">
        <is>
          <t>ÖVERKALIX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46279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45075</v>
      </c>
      <c r="E101" s="1" t="n">
        <v>46279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35169-2022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44797</v>
      </c>
      <c r="E102" s="1" t="n">
        <v>46279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Sveaskog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46279</v>
      </c>
      <c r="F103" t="inlineStr">
        <is>
          <t>NORRBOTTENS LÄN</t>
        </is>
      </c>
      <c r="G103" t="inlineStr">
        <is>
          <t>ÖVERKALIX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25692-2024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45463</v>
      </c>
      <c r="E104" s="1" t="n">
        <v>46279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72623-2021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44546</v>
      </c>
      <c r="E105" s="1" t="n">
        <v>46279</v>
      </c>
      <c r="F105" t="inlineStr">
        <is>
          <t>NORRBOTTENS LÄN</t>
        </is>
      </c>
      <c r="G105" t="inlineStr">
        <is>
          <t>ÖVERKALIX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57966-2023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46279</v>
      </c>
      <c r="F106" t="inlineStr">
        <is>
          <t>NORRBOTTENS LÄN</t>
        </is>
      </c>
      <c r="G106" t="inlineStr">
        <is>
          <t>ÖVERKALIX</t>
        </is>
      </c>
      <c r="I106" t="n">
        <v>21.7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46279</v>
      </c>
      <c r="F107" t="inlineStr">
        <is>
          <t>NORRBOTTENS LÄN</t>
        </is>
      </c>
      <c r="G107" t="inlineStr">
        <is>
          <t>ÖVERKALIX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44938</v>
      </c>
      <c r="E108" s="1" t="n">
        <v>46279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SCA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45428</v>
      </c>
      <c r="E109" s="1" t="n">
        <v>46279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Sveaskog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57870-2022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44899</v>
      </c>
      <c r="E110" s="1" t="n">
        <v>46279</v>
      </c>
      <c r="F110" t="inlineStr">
        <is>
          <t>NORRBOTTENS LÄN</t>
        </is>
      </c>
      <c r="G110" t="inlineStr">
        <is>
          <t>ÖVERKALIX</t>
        </is>
      </c>
      <c r="I110" t="n">
        <v>6.7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20580-2024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45436</v>
      </c>
      <c r="E111" s="1" t="n">
        <v>46279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29.9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46279</v>
      </c>
      <c r="F112" t="inlineStr">
        <is>
          <t>NORRBOTTENS LÄN</t>
        </is>
      </c>
      <c r="G112" t="inlineStr">
        <is>
          <t>ÖVERKALIX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45539</v>
      </c>
      <c r="E113" s="1" t="n">
        <v>46279</v>
      </c>
      <c r="F113" t="inlineStr">
        <is>
          <t>NORRBOTTENS LÄN</t>
        </is>
      </c>
      <c r="G113" t="inlineStr">
        <is>
          <t>ÖVERKALIX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33301-2024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45518</v>
      </c>
      <c r="E114" s="1" t="n">
        <v>46279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33315-2024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45518</v>
      </c>
      <c r="E115" s="1" t="n">
        <v>46279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SCA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45513</v>
      </c>
      <c r="E116" s="1" t="n">
        <v>46279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9.800000000000001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28926-2025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45820</v>
      </c>
      <c r="E117" s="1" t="n">
        <v>46279</v>
      </c>
      <c r="F117" t="inlineStr">
        <is>
          <t>NORRBOTTENS LÄN</t>
        </is>
      </c>
      <c r="G117" t="inlineStr">
        <is>
          <t>ÖVERKALIX</t>
        </is>
      </c>
      <c r="H117" t="inlineStr">
        <is>
          <t>Sveaskog</t>
        </is>
      </c>
      <c r="I117" t="n">
        <v>9.699999999999999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28402-2025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46279</v>
      </c>
      <c r="F118" t="inlineStr">
        <is>
          <t>NORRBOTTENS LÄN</t>
        </is>
      </c>
      <c r="G118" t="inlineStr">
        <is>
          <t>ÖVERKALIX</t>
        </is>
      </c>
      <c r="H118" t="inlineStr">
        <is>
          <t>SCA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28912-2025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45820</v>
      </c>
      <c r="E119" s="1" t="n">
        <v>46279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28917-2025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45820</v>
      </c>
      <c r="E120" s="1" t="n">
        <v>46279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28400-2025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45819</v>
      </c>
      <c r="E121" s="1" t="n">
        <v>46279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4.4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45820</v>
      </c>
      <c r="E122" s="1" t="n">
        <v>46279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8.199999999999999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29150-2025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46279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17.2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29464-2025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45824</v>
      </c>
      <c r="E124" s="1" t="n">
        <v>46279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SCA</t>
        </is>
      </c>
      <c r="I124" t="n">
        <v>3.5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29147-2025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46279</v>
      </c>
      <c r="F125" t="inlineStr">
        <is>
          <t>NORRBOTTENS LÄN</t>
        </is>
      </c>
      <c r="G125" t="inlineStr">
        <is>
          <t>ÖVERKALIX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29213-2025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46279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Sveaskog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29212-2025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46279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Sveaskog</t>
        </is>
      </c>
      <c r="I127" t="n">
        <v>24.4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29463-2025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45824</v>
      </c>
      <c r="E128" s="1" t="n">
        <v>46279</v>
      </c>
      <c r="F128" t="inlineStr">
        <is>
          <t>NORRBOTTENS LÄN</t>
        </is>
      </c>
      <c r="G128" t="inlineStr">
        <is>
          <t>ÖVERKALIX</t>
        </is>
      </c>
      <c r="H128" t="inlineStr">
        <is>
          <t>SCA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45826</v>
      </c>
      <c r="E129" s="1" t="n">
        <v>46279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45826</v>
      </c>
      <c r="E130" s="1" t="n">
        <v>46279</v>
      </c>
      <c r="F130" t="inlineStr">
        <is>
          <t>NORRBOTTENS LÄN</t>
        </is>
      </c>
      <c r="G130" t="inlineStr">
        <is>
          <t>ÖVERKALIX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44966</v>
      </c>
      <c r="E131" s="1" t="n">
        <v>46279</v>
      </c>
      <c r="F131" t="inlineStr">
        <is>
          <t>NORRBOTTENS LÄN</t>
        </is>
      </c>
      <c r="G131" t="inlineStr">
        <is>
          <t>ÖVERKALIX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29532-2025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46279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30776-2025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46279</v>
      </c>
      <c r="F133" t="inlineStr">
        <is>
          <t>NORRBOTTENS LÄN</t>
        </is>
      </c>
      <c r="G133" t="inlineStr">
        <is>
          <t>ÖVERKALIX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44950</v>
      </c>
      <c r="E134" s="1" t="n">
        <v>46279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31640-2025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45834</v>
      </c>
      <c r="E135" s="1" t="n">
        <v>46279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46279</v>
      </c>
      <c r="F136" t="inlineStr">
        <is>
          <t>NORRBOTTENS LÄN</t>
        </is>
      </c>
      <c r="G136" t="inlineStr">
        <is>
          <t>ÖVERKALIX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45588</v>
      </c>
      <c r="E137" s="1" t="n">
        <v>46279</v>
      </c>
      <c r="F137" t="inlineStr">
        <is>
          <t>NORRBOTTENS LÄN</t>
        </is>
      </c>
      <c r="G137" t="inlineStr">
        <is>
          <t>ÖVERKALIX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31744-2025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45834</v>
      </c>
      <c r="E138" s="1" t="n">
        <v>46279</v>
      </c>
      <c r="F138" t="inlineStr">
        <is>
          <t>NORRBOTTENS LÄN</t>
        </is>
      </c>
      <c r="G138" t="inlineStr">
        <is>
          <t>ÖVERKALIX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32636-2025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46279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32067-2025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45835</v>
      </c>
      <c r="E140" s="1" t="n">
        <v>46279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45837</v>
      </c>
      <c r="E141" s="1" t="n">
        <v>46279</v>
      </c>
      <c r="F141" t="inlineStr">
        <is>
          <t>NORRBOTTENS LÄN</t>
        </is>
      </c>
      <c r="G141" t="inlineStr">
        <is>
          <t>ÖVERKALIX</t>
        </is>
      </c>
      <c r="I141" t="n">
        <v>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46279</v>
      </c>
      <c r="F142" t="inlineStr">
        <is>
          <t>NORRBOTTENS LÄN</t>
        </is>
      </c>
      <c r="G142" t="inlineStr">
        <is>
          <t>ÖVERKALIX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31961-2025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46279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45837</v>
      </c>
      <c r="E144" s="1" t="n">
        <v>46279</v>
      </c>
      <c r="F144" t="inlineStr">
        <is>
          <t>NORRBOTTENS LÄN</t>
        </is>
      </c>
      <c r="G144" t="inlineStr">
        <is>
          <t>ÖVERKALIX</t>
        </is>
      </c>
      <c r="I144" t="n">
        <v>9.800000000000001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45837</v>
      </c>
      <c r="E145" s="1" t="n">
        <v>46279</v>
      </c>
      <c r="F145" t="inlineStr">
        <is>
          <t>NORRBOTTENS LÄN</t>
        </is>
      </c>
      <c r="G145" t="inlineStr">
        <is>
          <t>ÖVERKALIX</t>
        </is>
      </c>
      <c r="I145" t="n">
        <v>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32708-2025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45839</v>
      </c>
      <c r="E146" s="1" t="n">
        <v>46279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39658-2025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46279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13.4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46279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38940-2024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46279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33266-2025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46279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SCA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46279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34128-2025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45845</v>
      </c>
      <c r="E152" s="1" t="n">
        <v>46279</v>
      </c>
      <c r="F152" t="inlineStr">
        <is>
          <t>NORRBOTTENS LÄN</t>
        </is>
      </c>
      <c r="G152" t="inlineStr">
        <is>
          <t>ÖVERKALIX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45807</v>
      </c>
      <c r="E153" s="1" t="n">
        <v>46279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Sveaskog</t>
        </is>
      </c>
      <c r="I153" t="n">
        <v>37.4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19529-2024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46279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15546-2024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45401</v>
      </c>
      <c r="E155" s="1" t="n">
        <v>46279</v>
      </c>
      <c r="F155" t="inlineStr">
        <is>
          <t>NORRBOTTENS LÄN</t>
        </is>
      </c>
      <c r="G155" t="inlineStr">
        <is>
          <t>ÖVERKALIX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45107</v>
      </c>
      <c r="E156" s="1" t="n">
        <v>46279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42282-2025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45904</v>
      </c>
      <c r="E157" s="1" t="n">
        <v>46279</v>
      </c>
      <c r="F157" t="inlineStr">
        <is>
          <t>NORRBOTTENS LÄN</t>
        </is>
      </c>
      <c r="G157" t="inlineStr">
        <is>
          <t>ÖVERKALIX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30993-2025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46279</v>
      </c>
      <c r="F158" t="inlineStr">
        <is>
          <t>NORRBOTTENS LÄN</t>
        </is>
      </c>
      <c r="G158" t="inlineStr">
        <is>
          <t>ÖVERKALIX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46279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10.4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46279</v>
      </c>
      <c r="F160" t="inlineStr">
        <is>
          <t>NORRBOTTENS LÄN</t>
        </is>
      </c>
      <c r="G160" t="inlineStr">
        <is>
          <t>ÖVERKALIX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46076</v>
      </c>
      <c r="E161" s="1" t="n">
        <v>46279</v>
      </c>
      <c r="F161" t="inlineStr">
        <is>
          <t>NORRBOTTENS LÄN</t>
        </is>
      </c>
      <c r="G161" t="inlineStr">
        <is>
          <t>ÖVERKALIX</t>
        </is>
      </c>
      <c r="I161" t="n">
        <v>10.8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46279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45869</v>
      </c>
      <c r="E163" s="1" t="n">
        <v>46279</v>
      </c>
      <c r="F163" t="inlineStr">
        <is>
          <t>NORRBOTTENS LÄN</t>
        </is>
      </c>
      <c r="G163" t="inlineStr">
        <is>
          <t>ÖVERKALIX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62561-2023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45268</v>
      </c>
      <c r="E164" s="1" t="n">
        <v>46279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6.3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45870</v>
      </c>
      <c r="E165" s="1" t="n">
        <v>46279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45870</v>
      </c>
      <c r="E166" s="1" t="n">
        <v>46279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45869</v>
      </c>
      <c r="E167" s="1" t="n">
        <v>46279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23324-2023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45076</v>
      </c>
      <c r="E168" s="1" t="n">
        <v>46279</v>
      </c>
      <c r="F168" t="inlineStr">
        <is>
          <t>NORRBOTTENS LÄN</t>
        </is>
      </c>
      <c r="G168" t="inlineStr">
        <is>
          <t>ÖVERKALIX</t>
        </is>
      </c>
      <c r="H168" t="inlineStr">
        <is>
          <t>Övriga statliga verk och myndigheter</t>
        </is>
      </c>
      <c r="I168" t="n">
        <v>38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15153-2025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45744</v>
      </c>
      <c r="E169" s="1" t="n">
        <v>46279</v>
      </c>
      <c r="F169" t="inlineStr">
        <is>
          <t>NORRBOTTENS LÄN</t>
        </is>
      </c>
      <c r="G169" t="inlineStr">
        <is>
          <t>ÖVERKALIX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45873</v>
      </c>
      <c r="E170" s="1" t="n">
        <v>46279</v>
      </c>
      <c r="F170" t="inlineStr">
        <is>
          <t>NORRBOTTENS LÄN</t>
        </is>
      </c>
      <c r="G170" t="inlineStr">
        <is>
          <t>ÖVERKALIX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44754-2025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45917</v>
      </c>
      <c r="E171" s="1" t="n">
        <v>46279</v>
      </c>
      <c r="F171" t="inlineStr">
        <is>
          <t>NORRBOTTENS LÄN</t>
        </is>
      </c>
      <c r="G171" t="inlineStr">
        <is>
          <t>ÖVERKALIX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10292-2026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46279</v>
      </c>
      <c r="F172" t="inlineStr">
        <is>
          <t>NORRBOTTENS LÄN</t>
        </is>
      </c>
      <c r="G172" t="inlineStr">
        <is>
          <t>ÖVERKALIX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45535-2025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45922</v>
      </c>
      <c r="E173" s="1" t="n">
        <v>46279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Sveaskog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55853-2024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45622</v>
      </c>
      <c r="E174" s="1" t="n">
        <v>46279</v>
      </c>
      <c r="F174" t="inlineStr">
        <is>
          <t>NORRBOTTENS LÄN</t>
        </is>
      </c>
      <c r="G174" t="inlineStr">
        <is>
          <t>ÖVERKALIX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45882</v>
      </c>
      <c r="E175" s="1" t="n">
        <v>46279</v>
      </c>
      <c r="F175" t="inlineStr">
        <is>
          <t>NORRBOTTENS LÄN</t>
        </is>
      </c>
      <c r="G175" t="inlineStr">
        <is>
          <t>ÖVERKALIX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46279</v>
      </c>
      <c r="F176" t="inlineStr">
        <is>
          <t>NORRBOTTENS LÄN</t>
        </is>
      </c>
      <c r="G176" t="inlineStr">
        <is>
          <t>ÖVERKALIX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38081-2025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45882</v>
      </c>
      <c r="E177" s="1" t="n">
        <v>46279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13.4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38191-2025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45882</v>
      </c>
      <c r="E178" s="1" t="n">
        <v>46279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46279</v>
      </c>
      <c r="F179" t="inlineStr">
        <is>
          <t>NORRBOTTENS LÄN</t>
        </is>
      </c>
      <c r="G179" t="inlineStr">
        <is>
          <t>ÖVERKALIX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45631</v>
      </c>
      <c r="E180" s="1" t="n">
        <v>46279</v>
      </c>
      <c r="F180" t="inlineStr">
        <is>
          <t>NORRBOTTENS LÄN</t>
        </is>
      </c>
      <c r="G180" t="inlineStr">
        <is>
          <t>ÖVERKALIX</t>
        </is>
      </c>
      <c r="I180" t="n">
        <v>7.4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28343-2025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45818</v>
      </c>
      <c r="E181" s="1" t="n">
        <v>46279</v>
      </c>
      <c r="F181" t="inlineStr">
        <is>
          <t>NORRBOTTENS LÄN</t>
        </is>
      </c>
      <c r="G181" t="inlineStr">
        <is>
          <t>ÖVERKALIX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11181-2026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46080</v>
      </c>
      <c r="E182" s="1" t="n">
        <v>46279</v>
      </c>
      <c r="F182" t="inlineStr">
        <is>
          <t>NORRBOTTENS LÄN</t>
        </is>
      </c>
      <c r="G182" t="inlineStr">
        <is>
          <t>ÖVERKALIX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11919-2023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44993</v>
      </c>
      <c r="E183" s="1" t="n">
        <v>46279</v>
      </c>
      <c r="F183" t="inlineStr">
        <is>
          <t>NORRBOTTENS LÄN</t>
        </is>
      </c>
      <c r="G183" t="inlineStr">
        <is>
          <t>ÖVERKALIX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11179-2026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46080</v>
      </c>
      <c r="E184" s="1" t="n">
        <v>46279</v>
      </c>
      <c r="F184" t="inlineStr">
        <is>
          <t>NORRBOTTENS LÄN</t>
        </is>
      </c>
      <c r="G184" t="inlineStr">
        <is>
          <t>ÖVERKALIX</t>
        </is>
      </c>
      <c r="I184" t="n">
        <v>9.800000000000001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45936</v>
      </c>
      <c r="E185" s="1" t="n">
        <v>46279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44952-2024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46279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45604</v>
      </c>
      <c r="E187" s="1" t="n">
        <v>46279</v>
      </c>
      <c r="F187" t="inlineStr">
        <is>
          <t>NORRBOTTENS LÄN</t>
        </is>
      </c>
      <c r="G187" t="inlineStr">
        <is>
          <t>ÖVERKALIX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46279</v>
      </c>
      <c r="F188" t="inlineStr">
        <is>
          <t>NORRBOTTENS LÄN</t>
        </is>
      </c>
      <c r="G188" t="inlineStr">
        <is>
          <t>ÖVERKALIX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52976-2024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45611</v>
      </c>
      <c r="E189" s="1" t="n">
        <v>46279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11770-2026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46279</v>
      </c>
      <c r="F190" t="inlineStr">
        <is>
          <t>NORRBOTTENS LÄN</t>
        </is>
      </c>
      <c r="G190" t="inlineStr">
        <is>
          <t>ÖVERKALIX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46279</v>
      </c>
      <c r="F191" t="inlineStr">
        <is>
          <t>NORRBOTTENS LÄN</t>
        </is>
      </c>
      <c r="G191" t="inlineStr">
        <is>
          <t>ÖVERKALIX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26140-2023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45086</v>
      </c>
      <c r="E192" s="1" t="n">
        <v>46279</v>
      </c>
      <c r="F192" t="inlineStr">
        <is>
          <t>NORRBOTTENS LÄN</t>
        </is>
      </c>
      <c r="G192" t="inlineStr">
        <is>
          <t>ÖVERKALIX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11769-2026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46279</v>
      </c>
      <c r="F193" t="inlineStr">
        <is>
          <t>NORRBOTTENS LÄN</t>
        </is>
      </c>
      <c r="G193" t="inlineStr">
        <is>
          <t>ÖVERKALIX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6453-2025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45699</v>
      </c>
      <c r="E194" s="1" t="n">
        <v>46279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11685-2026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46084</v>
      </c>
      <c r="E195" s="1" t="n">
        <v>46279</v>
      </c>
      <c r="F195" t="inlineStr">
        <is>
          <t>NORRBOTTENS LÄN</t>
        </is>
      </c>
      <c r="G195" t="inlineStr">
        <is>
          <t>ÖVERKALIX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46279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11768-2026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46084</v>
      </c>
      <c r="E197" s="1" t="n">
        <v>46279</v>
      </c>
      <c r="F197" t="inlineStr">
        <is>
          <t>NORRBOTTENS LÄN</t>
        </is>
      </c>
      <c r="G197" t="inlineStr">
        <is>
          <t>ÖVERKALIX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12277-2026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46087</v>
      </c>
      <c r="E198" s="1" t="n">
        <v>46279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46279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13058-2026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46093</v>
      </c>
      <c r="E200" s="1" t="n">
        <v>46279</v>
      </c>
      <c r="F200" t="inlineStr">
        <is>
          <t>NORRBOTTENS LÄN</t>
        </is>
      </c>
      <c r="G200" t="inlineStr">
        <is>
          <t>ÖVERKALIX</t>
        </is>
      </c>
      <c r="I200" t="n">
        <v>12.5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6454-2025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45699</v>
      </c>
      <c r="E201" s="1" t="n">
        <v>46279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28.8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45946</v>
      </c>
      <c r="E202" s="1" t="n">
        <v>46279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50983-2025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45947</v>
      </c>
      <c r="E203" s="1" t="n">
        <v>46279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50992-2025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45947</v>
      </c>
      <c r="E204" s="1" t="n">
        <v>46279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45949</v>
      </c>
      <c r="E205" s="1" t="n">
        <v>46279</v>
      </c>
      <c r="F205" t="inlineStr">
        <is>
          <t>NORRBOTTENS LÄN</t>
        </is>
      </c>
      <c r="G205" t="inlineStr">
        <is>
          <t>ÖVERKALIX</t>
        </is>
      </c>
      <c r="H205" t="inlineStr">
        <is>
          <t>SCA</t>
        </is>
      </c>
      <c r="I205" t="n">
        <v>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51634-2025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45951</v>
      </c>
      <c r="E206" s="1" t="n">
        <v>46279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46279</v>
      </c>
      <c r="F207" t="inlineStr">
        <is>
          <t>NORRBOTTENS LÄN</t>
        </is>
      </c>
      <c r="G207" t="inlineStr">
        <is>
          <t>ÖVERKALIX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52591-2025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45954</v>
      </c>
      <c r="E208" s="1" t="n">
        <v>46279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53091-2025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46279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Sveaskog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15011-2026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46104</v>
      </c>
      <c r="E210" s="1" t="n">
        <v>46279</v>
      </c>
      <c r="F210" t="inlineStr">
        <is>
          <t>NORRBOTTENS LÄN</t>
        </is>
      </c>
      <c r="G210" t="inlineStr">
        <is>
          <t>ÖVERKALIX</t>
        </is>
      </c>
      <c r="I210" t="n">
        <v>9.4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46105</v>
      </c>
      <c r="E211" s="1" t="n">
        <v>46279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52973-2025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45957</v>
      </c>
      <c r="E212" s="1" t="n">
        <v>46279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SCA</t>
        </is>
      </c>
      <c r="I212" t="n">
        <v>9.9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45643</v>
      </c>
      <c r="E213" s="1" t="n">
        <v>46279</v>
      </c>
      <c r="F213" t="inlineStr">
        <is>
          <t>NORRBOTTENS LÄN</t>
        </is>
      </c>
      <c r="G213" t="inlineStr">
        <is>
          <t>ÖVERKALIX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48577-2023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45208</v>
      </c>
      <c r="E214" s="1" t="n">
        <v>46279</v>
      </c>
      <c r="F214" t="inlineStr">
        <is>
          <t>NORRBOTTENS LÄN</t>
        </is>
      </c>
      <c r="G214" t="inlineStr">
        <is>
          <t>ÖVERKALIX</t>
        </is>
      </c>
      <c r="H214" t="inlineStr">
        <is>
          <t>Sveaskog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54118-2025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45964</v>
      </c>
      <c r="E215" s="1" t="n">
        <v>46279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5170-2025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46279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20.3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1821-2025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45671</v>
      </c>
      <c r="E217" s="1" t="n">
        <v>46279</v>
      </c>
      <c r="F217" t="inlineStr">
        <is>
          <t>NORRBOTTENS LÄN</t>
        </is>
      </c>
      <c r="G217" t="inlineStr">
        <is>
          <t>ÖVERKALIX</t>
        </is>
      </c>
      <c r="I217" t="n">
        <v>6.4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16794-2026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46113</v>
      </c>
      <c r="E218" s="1" t="n">
        <v>46279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46279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SCA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16487-2026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46112</v>
      </c>
      <c r="E220" s="1" t="n">
        <v>46279</v>
      </c>
      <c r="F220" t="inlineStr">
        <is>
          <t>NORRBOTTENS LÄN</t>
        </is>
      </c>
      <c r="G220" t="inlineStr">
        <is>
          <t>ÖVERKALIX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17690-2026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46121</v>
      </c>
      <c r="E221" s="1" t="n">
        <v>46279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45747</v>
      </c>
      <c r="E222" s="1" t="n">
        <v>46279</v>
      </c>
      <c r="F222" t="inlineStr">
        <is>
          <t>NORRBOTTENS LÄN</t>
        </is>
      </c>
      <c r="G222" t="inlineStr">
        <is>
          <t>ÖVERKALIX</t>
        </is>
      </c>
      <c r="I222" t="n">
        <v>10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46279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17469-2026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46279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57744-2025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45981</v>
      </c>
      <c r="E225" s="1" t="n">
        <v>46279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58644-2025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45986</v>
      </c>
      <c r="E226" s="1" t="n">
        <v>46279</v>
      </c>
      <c r="F226" t="inlineStr">
        <is>
          <t>NORRBOTTENS LÄN</t>
        </is>
      </c>
      <c r="G226" t="inlineStr">
        <is>
          <t>ÖVERKALIX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58641-2025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45986</v>
      </c>
      <c r="E227" s="1" t="n">
        <v>46279</v>
      </c>
      <c r="F227" t="inlineStr">
        <is>
          <t>NORRBOTTENS LÄN</t>
        </is>
      </c>
      <c r="G227" t="inlineStr">
        <is>
          <t>ÖVERKALIX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58646-2025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46279</v>
      </c>
      <c r="F228" t="inlineStr">
        <is>
          <t>NORRBOTTENS LÄN</t>
        </is>
      </c>
      <c r="G228" t="inlineStr">
        <is>
          <t>ÖVERKALIX</t>
        </is>
      </c>
      <c r="I228" t="n">
        <v>16.1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18522-2026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46127</v>
      </c>
      <c r="E229" s="1" t="n">
        <v>46279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18523-2026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46279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SCA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46279</v>
      </c>
      <c r="F231" t="inlineStr">
        <is>
          <t>NORRBOTTENS LÄN</t>
        </is>
      </c>
      <c r="G231" t="inlineStr">
        <is>
          <t>ÖVERKALIX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59829-2025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46279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SCA</t>
        </is>
      </c>
      <c r="I232" t="n">
        <v>13.3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19107-2026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46132</v>
      </c>
      <c r="E233" s="1" t="n">
        <v>46279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40281-2022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46279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46279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8.300000000000001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60171-2025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45994</v>
      </c>
      <c r="E236" s="1" t="n">
        <v>46279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54143-2021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44469</v>
      </c>
      <c r="E237" s="1" t="n">
        <v>46279</v>
      </c>
      <c r="F237" t="inlineStr">
        <is>
          <t>NORRBOTTENS LÄN</t>
        </is>
      </c>
      <c r="G237" t="inlineStr">
        <is>
          <t>ÖVERKALIX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56402-2022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44890</v>
      </c>
      <c r="E238" s="1" t="n">
        <v>46279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45993</v>
      </c>
      <c r="E239" s="1" t="n">
        <v>46279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60215-2025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45994</v>
      </c>
      <c r="E240" s="1" t="n">
        <v>46279</v>
      </c>
      <c r="F240" t="inlineStr">
        <is>
          <t>NORRBOTTENS LÄN</t>
        </is>
      </c>
      <c r="G240" t="inlineStr">
        <is>
          <t>ÖVERKALIX</t>
        </is>
      </c>
      <c r="I240" t="n">
        <v>9.5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19410-2026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46133</v>
      </c>
      <c r="E241" s="1" t="n">
        <v>46279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19375-2026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46279</v>
      </c>
      <c r="F242" t="inlineStr">
        <is>
          <t>NORRBOTTENS LÄN</t>
        </is>
      </c>
      <c r="G242" t="inlineStr">
        <is>
          <t>ÖVERKALIX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60621-2025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45996</v>
      </c>
      <c r="E243" s="1" t="n">
        <v>46279</v>
      </c>
      <c r="F243" t="inlineStr">
        <is>
          <t>NORRBOTTENS LÄN</t>
        </is>
      </c>
      <c r="G243" t="inlineStr">
        <is>
          <t>ÖVERKALIX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19616-2026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46134</v>
      </c>
      <c r="E244" s="1" t="n">
        <v>46279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46279</v>
      </c>
      <c r="F245" t="inlineStr">
        <is>
          <t>NORRBOTTENS LÄN</t>
        </is>
      </c>
      <c r="G245" t="inlineStr">
        <is>
          <t>ÖVERKALIX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60834-2025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45999</v>
      </c>
      <c r="E246" s="1" t="n">
        <v>46279</v>
      </c>
      <c r="F246" t="inlineStr">
        <is>
          <t>NORRBOTTENS LÄN</t>
        </is>
      </c>
      <c r="G246" t="inlineStr">
        <is>
          <t>ÖVERKALIX</t>
        </is>
      </c>
      <c r="I246" t="n">
        <v>7.8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60890-2025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45999</v>
      </c>
      <c r="E247" s="1" t="n">
        <v>46279</v>
      </c>
      <c r="F247" t="inlineStr">
        <is>
          <t>NORRBOTTENS LÄN</t>
        </is>
      </c>
      <c r="G247" t="inlineStr">
        <is>
          <t>ÖVERKALIX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46279</v>
      </c>
      <c r="F248" t="inlineStr">
        <is>
          <t>NORRBOTTENS LÄN</t>
        </is>
      </c>
      <c r="G248" t="inlineStr">
        <is>
          <t>ÖVERKALIX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60809-2025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46279</v>
      </c>
      <c r="F249" t="inlineStr">
        <is>
          <t>NORRBOTTENS LÄN</t>
        </is>
      </c>
      <c r="G249" t="inlineStr">
        <is>
          <t>ÖVERKALIX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49473-2023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45205</v>
      </c>
      <c r="E250" s="1" t="n">
        <v>46279</v>
      </c>
      <c r="F250" t="inlineStr">
        <is>
          <t>NORRBOTTENS LÄN</t>
        </is>
      </c>
      <c r="G250" t="inlineStr">
        <is>
          <t>ÖVERKALIX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61406-2025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46001</v>
      </c>
      <c r="E251" s="1" t="n">
        <v>46279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61706-2025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46002</v>
      </c>
      <c r="E252" s="1" t="n">
        <v>46279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45315</v>
      </c>
      <c r="E253" s="1" t="n">
        <v>46279</v>
      </c>
      <c r="F253" t="inlineStr">
        <is>
          <t>NORRBOTTENS LÄN</t>
        </is>
      </c>
      <c r="G253" t="inlineStr">
        <is>
          <t>ÖVERKALIX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46279</v>
      </c>
      <c r="F254" t="inlineStr">
        <is>
          <t>NORRBOTTENS LÄN</t>
        </is>
      </c>
      <c r="G254" t="inlineStr">
        <is>
          <t>ÖVERKALIX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26450-2025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45807</v>
      </c>
      <c r="E255" s="1" t="n">
        <v>46279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8.300000000000001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46279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63023-2025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46009</v>
      </c>
      <c r="E257" s="1" t="n">
        <v>46279</v>
      </c>
      <c r="F257" t="inlineStr">
        <is>
          <t>NORRBOTTENS LÄN</t>
        </is>
      </c>
      <c r="G257" t="inlineStr">
        <is>
          <t>ÖVERKALIX</t>
        </is>
      </c>
      <c r="I257" t="n">
        <v>9.800000000000001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63451-2025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46013</v>
      </c>
      <c r="E258" s="1" t="n">
        <v>46279</v>
      </c>
      <c r="F258" t="inlineStr">
        <is>
          <t>NORRBOTTENS LÄN</t>
        </is>
      </c>
      <c r="G258" t="inlineStr">
        <is>
          <t>ÖVERKALIX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63454-2025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46013</v>
      </c>
      <c r="E259" s="1" t="n">
        <v>46279</v>
      </c>
      <c r="F259" t="inlineStr">
        <is>
          <t>NORRBOTTENS LÄN</t>
        </is>
      </c>
      <c r="G259" t="inlineStr">
        <is>
          <t>ÖVERKALIX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63545-2025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46013</v>
      </c>
      <c r="E260" s="1" t="n">
        <v>46279</v>
      </c>
      <c r="F260" t="inlineStr">
        <is>
          <t>NORRBOTTENS LÄN</t>
        </is>
      </c>
      <c r="G260" t="inlineStr">
        <is>
          <t>ÖVERKALIX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46279</v>
      </c>
      <c r="F261" t="inlineStr">
        <is>
          <t>NORRBOTTENS LÄN</t>
        </is>
      </c>
      <c r="G261" t="inlineStr">
        <is>
          <t>ÖVERKALIX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43042-2025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45909</v>
      </c>
      <c r="E262" s="1" t="n">
        <v>46279</v>
      </c>
      <c r="F262" t="inlineStr">
        <is>
          <t>NORRBOTTENS LÄN</t>
        </is>
      </c>
      <c r="G262" t="inlineStr">
        <is>
          <t>ÖVERKALIX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21299-2024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45440</v>
      </c>
      <c r="E263" s="1" t="n">
        <v>46279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46279</v>
      </c>
      <c r="F264" t="inlineStr">
        <is>
          <t>NORRBOTTENS LÄN</t>
        </is>
      </c>
      <c r="G264" t="inlineStr">
        <is>
          <t>ÖVERKALIX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46279</v>
      </c>
      <c r="F265" t="inlineStr">
        <is>
          <t>NORRBOTTENS LÄN</t>
        </is>
      </c>
      <c r="G265" t="inlineStr">
        <is>
          <t>ÖVERKALIX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46279</v>
      </c>
      <c r="F266" t="inlineStr">
        <is>
          <t>NORRBOTTENS LÄN</t>
        </is>
      </c>
      <c r="G266" t="inlineStr">
        <is>
          <t>ÖVERKALIX</t>
        </is>
      </c>
      <c r="I266" t="n">
        <v>10.1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73216-2021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44547</v>
      </c>
      <c r="E267" s="1" t="n">
        <v>46279</v>
      </c>
      <c r="F267" t="inlineStr">
        <is>
          <t>NORRBOTTENS LÄN</t>
        </is>
      </c>
      <c r="G267" t="inlineStr">
        <is>
          <t>ÖVERKALIX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45767-2023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46279</v>
      </c>
      <c r="F268" t="inlineStr">
        <is>
          <t>NORRBOTTENS LÄN</t>
        </is>
      </c>
      <c r="G268" t="inlineStr">
        <is>
          <t>ÖVERKALIX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15491-2025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45747</v>
      </c>
      <c r="E269" s="1" t="n">
        <v>46279</v>
      </c>
      <c r="F269" t="inlineStr">
        <is>
          <t>NORRBOTTENS LÄN</t>
        </is>
      </c>
      <c r="G269" t="inlineStr">
        <is>
          <t>ÖVERKALIX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46279</v>
      </c>
      <c r="F270" t="inlineStr">
        <is>
          <t>NORRBOTTENS LÄN</t>
        </is>
      </c>
      <c r="G270" t="inlineStr">
        <is>
          <t>ÖVERKALIX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3399-2026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46279</v>
      </c>
      <c r="F271" t="inlineStr">
        <is>
          <t>NORRBOTTENS LÄN</t>
        </is>
      </c>
      <c r="G271" t="inlineStr">
        <is>
          <t>ÖVERKALIX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45712</v>
      </c>
      <c r="E272" s="1" t="n">
        <v>46279</v>
      </c>
      <c r="F272" t="inlineStr">
        <is>
          <t>NORRBOTTENS LÄN</t>
        </is>
      </c>
      <c r="G272" t="inlineStr">
        <is>
          <t>ÖVERKALIX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45379</v>
      </c>
      <c r="E273" s="1" t="n">
        <v>46279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46048</v>
      </c>
      <c r="E274" s="1" t="n">
        <v>46279</v>
      </c>
      <c r="F274" t="inlineStr">
        <is>
          <t>NORRBOTTENS LÄN</t>
        </is>
      </c>
      <c r="G274" t="inlineStr">
        <is>
          <t>ÖVERKALIX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44964</v>
      </c>
      <c r="E275" s="1" t="n">
        <v>46279</v>
      </c>
      <c r="F275" t="inlineStr">
        <is>
          <t>NORRBOTTENS LÄN</t>
        </is>
      </c>
      <c r="G275" t="inlineStr">
        <is>
          <t>ÖVERKALIX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46279</v>
      </c>
      <c r="F276" t="inlineStr">
        <is>
          <t>NORRBOTTENS LÄN</t>
        </is>
      </c>
      <c r="G276" t="inlineStr">
        <is>
          <t>ÖVERKALIX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46055</v>
      </c>
      <c r="E277" s="1" t="n">
        <v>46279</v>
      </c>
      <c r="F277" t="inlineStr">
        <is>
          <t>NORRBOTTENS LÄN</t>
        </is>
      </c>
      <c r="G277" t="inlineStr">
        <is>
          <t>ÖVERKALIX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15301-2022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44659</v>
      </c>
      <c r="E278" s="1" t="n">
        <v>46279</v>
      </c>
      <c r="F278" t="inlineStr">
        <is>
          <t>NORRBOTTENS LÄN</t>
        </is>
      </c>
      <c r="G278" t="inlineStr">
        <is>
          <t>ÖVERKALIX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28208-2025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46279</v>
      </c>
      <c r="F279" t="inlineStr">
        <is>
          <t>NORRBOTTENS LÄN</t>
        </is>
      </c>
      <c r="G279" t="inlineStr">
        <is>
          <t>ÖVERKALIX</t>
        </is>
      </c>
      <c r="I279" t="n">
        <v>4.3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46279</v>
      </c>
      <c r="F280" t="inlineStr">
        <is>
          <t>NORRBOTTENS LÄN</t>
        </is>
      </c>
      <c r="G280" t="inlineStr">
        <is>
          <t>ÖVERKALIX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7488-2026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46059</v>
      </c>
      <c r="E281" s="1" t="n">
        <v>46279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SCA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7487-2026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46059</v>
      </c>
      <c r="E282" s="1" t="n">
        <v>46279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24548-2024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46279</v>
      </c>
      <c r="F283" t="inlineStr">
        <is>
          <t>NORRBOTTENS LÄN</t>
        </is>
      </c>
      <c r="G283" t="inlineStr">
        <is>
          <t>ÖVERKALIX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13717-2022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44648</v>
      </c>
      <c r="E284" s="1" t="n">
        <v>46279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46279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SCA</t>
        </is>
      </c>
      <c r="I285" t="n">
        <v>5.6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20505-2026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46140</v>
      </c>
      <c r="E286" s="1" t="n">
        <v>46279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SCA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45429</v>
      </c>
      <c r="E287" s="1" t="n">
        <v>46279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45009</v>
      </c>
      <c r="E288" s="1" t="n">
        <v>46279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33865-2023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45133</v>
      </c>
      <c r="E289" s="1" t="n">
        <v>46279</v>
      </c>
      <c r="F289" t="inlineStr">
        <is>
          <t>NORRBOTTENS LÄN</t>
        </is>
      </c>
      <c r="G289" t="inlineStr">
        <is>
          <t>ÖVERKALIX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45771</v>
      </c>
      <c r="E290" s="1" t="n">
        <v>46279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SCA</t>
        </is>
      </c>
      <c r="I290" t="n">
        <v>10.5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47734-2024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45588</v>
      </c>
      <c r="E291" s="1" t="n">
        <v>46279</v>
      </c>
      <c r="F291" t="inlineStr">
        <is>
          <t>NORRBOTTENS LÄN</t>
        </is>
      </c>
      <c r="G291" t="inlineStr">
        <is>
          <t>ÖVERKALIX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37429-2024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45540</v>
      </c>
      <c r="E292" s="1" t="n">
        <v>46279</v>
      </c>
      <c r="F292" t="inlineStr">
        <is>
          <t>NORRBOTTENS LÄN</t>
        </is>
      </c>
      <c r="G292" t="inlineStr">
        <is>
          <t>ÖVERKALIX</t>
        </is>
      </c>
      <c r="I292" t="n">
        <v>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22470-2023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45070</v>
      </c>
      <c r="E293" s="1" t="n">
        <v>46279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SCA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34911-2023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45141</v>
      </c>
      <c r="E294" s="1" t="n">
        <v>46279</v>
      </c>
      <c r="F294" t="inlineStr">
        <is>
          <t>NORRBOTTENS LÄN</t>
        </is>
      </c>
      <c r="G294" t="inlineStr">
        <is>
          <t>ÖVERKALIX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72364-2021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44543</v>
      </c>
      <c r="E295" s="1" t="n">
        <v>46279</v>
      </c>
      <c r="F295" t="inlineStr">
        <is>
          <t>NORRBOTTENS LÄN</t>
        </is>
      </c>
      <c r="G295" t="inlineStr">
        <is>
          <t>ÖVERKALIX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21419-2026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46148</v>
      </c>
      <c r="E296" s="1" t="n">
        <v>46279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21423-2026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46148</v>
      </c>
      <c r="E297" s="1" t="n">
        <v>46279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6.2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21424-2026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46148</v>
      </c>
      <c r="E298" s="1" t="n">
        <v>46279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21425-2026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46279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Sveaskog</t>
        </is>
      </c>
      <c r="I299" t="n">
        <v>4.5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21411-2026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46148</v>
      </c>
      <c r="E300" s="1" t="n">
        <v>46279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46279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Sveaskog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21427-2026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46148</v>
      </c>
      <c r="E302" s="1" t="n">
        <v>46279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Sveaskog</t>
        </is>
      </c>
      <c r="I302" t="n">
        <v>5.9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5653-2022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44595</v>
      </c>
      <c r="E303" s="1" t="n">
        <v>46279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21422-2026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46279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11.5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46279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18.8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46048</v>
      </c>
      <c r="E306" s="1" t="n">
        <v>46279</v>
      </c>
      <c r="F306" t="inlineStr">
        <is>
          <t>NORRBOTTENS LÄN</t>
        </is>
      </c>
      <c r="G306" t="inlineStr">
        <is>
          <t>ÖVERKALIX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4829-2026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46279</v>
      </c>
      <c r="F307" t="inlineStr">
        <is>
          <t>NORRBOTTENS LÄN</t>
        </is>
      </c>
      <c r="G307" t="inlineStr">
        <is>
          <t>ÖVERKALIX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32477-2024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45513</v>
      </c>
      <c r="E308" s="1" t="n">
        <v>46279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Sveaskog</t>
        </is>
      </c>
      <c r="I308" t="n">
        <v>0.2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55857-2024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46279</v>
      </c>
      <c r="F309" t="inlineStr">
        <is>
          <t>NORRBOTTENS LÄN</t>
        </is>
      </c>
      <c r="G309" t="inlineStr">
        <is>
          <t>ÖVERKALIX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22163-2026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46279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23.2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7039-2022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44603</v>
      </c>
      <c r="E311" s="1" t="n">
        <v>46279</v>
      </c>
      <c r="F311" t="inlineStr">
        <is>
          <t>NORRBOTTENS LÄN</t>
        </is>
      </c>
      <c r="G311" t="inlineStr">
        <is>
          <t>ÖVERKALIX</t>
        </is>
      </c>
      <c r="H311" t="inlineStr">
        <is>
          <t>Övriga statliga verk och myndigheter</t>
        </is>
      </c>
      <c r="I311" t="n">
        <v>10.3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48221-2025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45933</v>
      </c>
      <c r="E312" s="1" t="n">
        <v>46279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45321</v>
      </c>
      <c r="E313" s="1" t="n">
        <v>46279</v>
      </c>
      <c r="F313" t="inlineStr">
        <is>
          <t>NORRBOTTENS LÄN</t>
        </is>
      </c>
      <c r="G313" t="inlineStr">
        <is>
          <t>ÖVERKALIX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46160</v>
      </c>
      <c r="E314" s="1" t="n">
        <v>46279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45677</v>
      </c>
      <c r="E315" s="1" t="n">
        <v>46279</v>
      </c>
      <c r="F315" t="inlineStr">
        <is>
          <t>NORRBOTTENS LÄN</t>
        </is>
      </c>
      <c r="G315" t="inlineStr">
        <is>
          <t>ÖVERKALIX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22955-2026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46279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22742-2026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46157</v>
      </c>
      <c r="E317" s="1" t="n">
        <v>46279</v>
      </c>
      <c r="F317" t="inlineStr">
        <is>
          <t>NORRBOTTENS LÄN</t>
        </is>
      </c>
      <c r="G317" t="inlineStr">
        <is>
          <t>ÖVERKALIX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23353-2026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46162</v>
      </c>
      <c r="E318" s="1" t="n">
        <v>46279</v>
      </c>
      <c r="F318" t="inlineStr">
        <is>
          <t>NORRBOTTENS LÄN</t>
        </is>
      </c>
      <c r="G318" t="inlineStr">
        <is>
          <t>ÖVERKALIX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44554-2023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46279</v>
      </c>
      <c r="F319" t="inlineStr">
        <is>
          <t>NORRBOTTENS LÄN</t>
        </is>
      </c>
      <c r="G319" t="inlineStr">
        <is>
          <t>ÖVERKALIX</t>
        </is>
      </c>
      <c r="I319" t="n">
        <v>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23360-2026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46162</v>
      </c>
      <c r="E320" s="1" t="n">
        <v>46279</v>
      </c>
      <c r="F320" t="inlineStr">
        <is>
          <t>NORRBOTTENS LÄN</t>
        </is>
      </c>
      <c r="G320" t="inlineStr">
        <is>
          <t>ÖVERKALIX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23362-2026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46162</v>
      </c>
      <c r="E321" s="1" t="n">
        <v>46279</v>
      </c>
      <c r="F321" t="inlineStr">
        <is>
          <t>NORRBOTTENS LÄN</t>
        </is>
      </c>
      <c r="G321" t="inlineStr">
        <is>
          <t>ÖVERKALIX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45097</v>
      </c>
      <c r="E322" s="1" t="n">
        <v>46279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45748-2023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46279</v>
      </c>
      <c r="F323" t="inlineStr">
        <is>
          <t>NORRBOTTENS LÄN</t>
        </is>
      </c>
      <c r="G323" t="inlineStr">
        <is>
          <t>ÖVERKALIX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46279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9.9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23771-2026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46164</v>
      </c>
      <c r="E325" s="1" t="n">
        <v>46279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51354-2025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45950</v>
      </c>
      <c r="E326" s="1" t="n">
        <v>46279</v>
      </c>
      <c r="F326" t="inlineStr">
        <is>
          <t>NORRBOTTENS LÄN</t>
        </is>
      </c>
      <c r="G326" t="inlineStr">
        <is>
          <t>ÖVERKALIX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46279</v>
      </c>
      <c r="F327" t="inlineStr">
        <is>
          <t>NORRBOTTENS LÄN</t>
        </is>
      </c>
      <c r="G327" t="inlineStr">
        <is>
          <t>ÖVERKALIX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28372-2025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45818</v>
      </c>
      <c r="E328" s="1" t="n">
        <v>46279</v>
      </c>
      <c r="F328" t="inlineStr">
        <is>
          <t>NORRBOTTENS LÄN</t>
        </is>
      </c>
      <c r="G328" t="inlineStr">
        <is>
          <t>ÖVERKALIX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24170-2026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46168</v>
      </c>
      <c r="E329" s="1" t="n">
        <v>46279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23938-2026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46279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24129-2026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46168</v>
      </c>
      <c r="E331" s="1" t="n">
        <v>46279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23949-2026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46279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Sveaskog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23953-2026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46167</v>
      </c>
      <c r="E333" s="1" t="n">
        <v>46279</v>
      </c>
      <c r="F333" t="inlineStr">
        <is>
          <t>NORRBOTTENS LÄN</t>
        </is>
      </c>
      <c r="G333" t="inlineStr">
        <is>
          <t>ÖVERKALIX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46279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55838-2024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45622</v>
      </c>
      <c r="E335" s="1" t="n">
        <v>46279</v>
      </c>
      <c r="F335" t="inlineStr">
        <is>
          <t>NORRBOTTENS LÄN</t>
        </is>
      </c>
      <c r="G335" t="inlineStr">
        <is>
          <t>ÖVERKALIX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55857-2024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45622</v>
      </c>
      <c r="E336" s="1" t="n">
        <v>46279</v>
      </c>
      <c r="F336" t="inlineStr">
        <is>
          <t>NORRBOTTENS LÄN</t>
        </is>
      </c>
      <c r="G336" t="inlineStr">
        <is>
          <t>ÖVERKALIX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45715</v>
      </c>
      <c r="E337" s="1" t="n">
        <v>46279</v>
      </c>
      <c r="F337" t="inlineStr">
        <is>
          <t>NORRBOTTENS LÄN</t>
        </is>
      </c>
      <c r="G337" t="inlineStr">
        <is>
          <t>ÖVERKALIX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45621</v>
      </c>
      <c r="E338" s="1" t="n">
        <v>46279</v>
      </c>
      <c r="F338" t="inlineStr">
        <is>
          <t>NORRBOTTENS LÄN</t>
        </is>
      </c>
      <c r="G338" t="inlineStr">
        <is>
          <t>ÖVERKALIX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24128-2026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46168</v>
      </c>
      <c r="E339" s="1" t="n">
        <v>46279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SCA</t>
        </is>
      </c>
      <c r="I339" t="n">
        <v>18.6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41830-2024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45561</v>
      </c>
      <c r="E340" s="1" t="n">
        <v>46279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SCA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46279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8417-2025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45709</v>
      </c>
      <c r="E342" s="1" t="n">
        <v>46279</v>
      </c>
      <c r="F342" t="inlineStr">
        <is>
          <t>NORRBOTTENS LÄN</t>
        </is>
      </c>
      <c r="G342" t="inlineStr">
        <is>
          <t>ÖVERKALIX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45693</v>
      </c>
      <c r="E343" s="1" t="n">
        <v>46279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SCA</t>
        </is>
      </c>
      <c r="I343" t="n">
        <v>5.5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24587-2026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46170</v>
      </c>
      <c r="E344" s="1" t="n">
        <v>46279</v>
      </c>
      <c r="F344" t="inlineStr">
        <is>
          <t>NORRBOTTENS LÄN</t>
        </is>
      </c>
      <c r="G344" t="inlineStr">
        <is>
          <t>ÖVERKALIX</t>
        </is>
      </c>
      <c r="H344" t="inlineStr">
        <is>
          <t>SCA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50392-2025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45944</v>
      </c>
      <c r="E345" s="1" t="n">
        <v>46279</v>
      </c>
      <c r="F345" t="inlineStr">
        <is>
          <t>NORRBOTTENS LÄN</t>
        </is>
      </c>
      <c r="G345" t="inlineStr">
        <is>
          <t>ÖVERKALIX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7231-2025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45702</v>
      </c>
      <c r="E346" s="1" t="n">
        <v>46279</v>
      </c>
      <c r="F346" t="inlineStr">
        <is>
          <t>NORRBOTTENS LÄN</t>
        </is>
      </c>
      <c r="G346" t="inlineStr">
        <is>
          <t>ÖVERKALIX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58764-2023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45251</v>
      </c>
      <c r="E347" s="1" t="n">
        <v>46279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25180-2026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46279</v>
      </c>
      <c r="F348" t="inlineStr">
        <is>
          <t>NORRBOTTENS LÄN</t>
        </is>
      </c>
      <c r="G348" t="inlineStr">
        <is>
          <t>ÖVERKALIX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25506-2024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45463</v>
      </c>
      <c r="E349" s="1" t="n">
        <v>46279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5526-2025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45693</v>
      </c>
      <c r="E350" s="1" t="n">
        <v>46279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6.7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45181</v>
      </c>
      <c r="E351" s="1" t="n">
        <v>46279</v>
      </c>
      <c r="F351" t="inlineStr">
        <is>
          <t>NORRBOTTENS LÄN</t>
        </is>
      </c>
      <c r="G351" t="inlineStr">
        <is>
          <t>ÖVERKALIX</t>
        </is>
      </c>
      <c r="I351" t="n">
        <v>13.1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46279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25545-2026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46177</v>
      </c>
      <c r="E353" s="1" t="n">
        <v>46279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25822-2026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46178</v>
      </c>
      <c r="E354" s="1" t="n">
        <v>46279</v>
      </c>
      <c r="F354" t="inlineStr">
        <is>
          <t>NORRBOTTENS LÄN</t>
        </is>
      </c>
      <c r="G354" t="inlineStr">
        <is>
          <t>ÖVERKALIX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64524-2023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45281</v>
      </c>
      <c r="E355" s="1" t="n">
        <v>46279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25965-2026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46279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25970-2026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46279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26429-2026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46183</v>
      </c>
      <c r="E358" s="1" t="n">
        <v>46279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26426-2026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46279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13.8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26427-2026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46279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17.7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46187</v>
      </c>
      <c r="E361" s="1" t="n">
        <v>46279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26554-2023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45092</v>
      </c>
      <c r="E362" s="1" t="n">
        <v>46279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1944-2022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44575</v>
      </c>
      <c r="E363" s="1" t="n">
        <v>46279</v>
      </c>
      <c r="F363" t="inlineStr">
        <is>
          <t>NORRBOTTENS LÄN</t>
        </is>
      </c>
      <c r="G363" t="inlineStr">
        <is>
          <t>ÖVERKALIX</t>
        </is>
      </c>
      <c r="I363" t="n">
        <v>10.4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5572-2025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46279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58038-2024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45631</v>
      </c>
      <c r="E365" s="1" t="n">
        <v>46279</v>
      </c>
      <c r="F365" t="inlineStr">
        <is>
          <t>NORRBOTTENS LÄN</t>
        </is>
      </c>
      <c r="G365" t="inlineStr">
        <is>
          <t>ÖVERKALIX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38975-2024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45548</v>
      </c>
      <c r="E366" s="1" t="n">
        <v>46279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54026-2023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45231</v>
      </c>
      <c r="E367" s="1" t="n">
        <v>46279</v>
      </c>
      <c r="F367" t="inlineStr">
        <is>
          <t>NORRBOTTENS LÄN</t>
        </is>
      </c>
      <c r="G367" t="inlineStr">
        <is>
          <t>ÖVERKALIX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32382-2026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46238</v>
      </c>
      <c r="E368" s="1" t="n">
        <v>46279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72212-2021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44543</v>
      </c>
      <c r="E369" s="1" t="n">
        <v>46279</v>
      </c>
      <c r="F369" t="inlineStr">
        <is>
          <t>NORRBOTTENS LÄN</t>
        </is>
      </c>
      <c r="G369" t="inlineStr">
        <is>
          <t>ÖVERKALIX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28038-2026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46195</v>
      </c>
      <c r="E370" s="1" t="n">
        <v>46279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Sveaskog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27054-2024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45471</v>
      </c>
      <c r="E371" s="1" t="n">
        <v>46279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6.8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27057-2024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45471</v>
      </c>
      <c r="E372" s="1" t="n">
        <v>46279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32.6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28210-2026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46196</v>
      </c>
      <c r="E373" s="1" t="n">
        <v>46279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53732-2022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44880</v>
      </c>
      <c r="E374" s="1" t="n">
        <v>46279</v>
      </c>
      <c r="F374" t="inlineStr">
        <is>
          <t>NORRBOTTENS LÄN</t>
        </is>
      </c>
      <c r="G374" t="inlineStr">
        <is>
          <t>ÖVERKALIX</t>
        </is>
      </c>
      <c r="I374" t="n">
        <v>5.6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32933-2026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46244</v>
      </c>
      <c r="E375" s="1" t="n">
        <v>46279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28641-2026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46198</v>
      </c>
      <c r="E376" s="1" t="n">
        <v>46279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7.8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28644-2026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46198</v>
      </c>
      <c r="E377" s="1" t="n">
        <v>46279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44830</v>
      </c>
      <c r="E378" s="1" t="n">
        <v>46279</v>
      </c>
      <c r="F378" t="inlineStr">
        <is>
          <t>NORRBOTTENS LÄN</t>
        </is>
      </c>
      <c r="G378" t="inlineStr">
        <is>
          <t>ÖVERKALIX</t>
        </is>
      </c>
      <c r="I378" t="n">
        <v>9.1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28925-2026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46199</v>
      </c>
      <c r="E379" s="1" t="n">
        <v>46279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Sveaskog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32962-2026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46244</v>
      </c>
      <c r="E380" s="1" t="n">
        <v>46279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44960</v>
      </c>
      <c r="E381" s="1" t="n">
        <v>46279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25698-2024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45463</v>
      </c>
      <c r="E382" s="1" t="n">
        <v>46279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SCA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33284-2026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46246</v>
      </c>
      <c r="E383" s="1" t="n">
        <v>46279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46279</v>
      </c>
      <c r="F384" t="inlineStr">
        <is>
          <t>NORRBOTTENS LÄN</t>
        </is>
      </c>
      <c r="G384" t="inlineStr">
        <is>
          <t>ÖVERKALIX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46279</v>
      </c>
      <c r="F385" t="inlineStr">
        <is>
          <t>NORRBOTTENS LÄN</t>
        </is>
      </c>
      <c r="G385" t="inlineStr">
        <is>
          <t>ÖVERKALIX</t>
        </is>
      </c>
      <c r="I385" t="n">
        <v>5.4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2003-2024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45308</v>
      </c>
      <c r="E386" s="1" t="n">
        <v>46279</v>
      </c>
      <c r="F386" t="inlineStr">
        <is>
          <t>NORRBOTTENS LÄN</t>
        </is>
      </c>
      <c r="G386" t="inlineStr">
        <is>
          <t>ÖVERKALIX</t>
        </is>
      </c>
      <c r="I386" t="n">
        <v>5.4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29827-2026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46205</v>
      </c>
      <c r="E387" s="1" t="n">
        <v>46279</v>
      </c>
      <c r="F387" t="inlineStr">
        <is>
          <t>NORRBOTTENS LÄN</t>
        </is>
      </c>
      <c r="G387" t="inlineStr">
        <is>
          <t>ÖVERKALIX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29927-2026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46205</v>
      </c>
      <c r="E388" s="1" t="n">
        <v>46279</v>
      </c>
      <c r="F388" t="inlineStr">
        <is>
          <t>NORRBOTTENS LÄN</t>
        </is>
      </c>
      <c r="G388" t="inlineStr">
        <is>
          <t>ÖVERKALIX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9849-2024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45363</v>
      </c>
      <c r="E389" s="1" t="n">
        <v>46279</v>
      </c>
      <c r="F389" t="inlineStr">
        <is>
          <t>NORRBOTTENS LÄN</t>
        </is>
      </c>
      <c r="G389" t="inlineStr">
        <is>
          <t>ÖVERKALIX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51058-2024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45603</v>
      </c>
      <c r="E390" s="1" t="n">
        <v>46279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43314-2022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44834</v>
      </c>
      <c r="E391" s="1" t="n">
        <v>46279</v>
      </c>
      <c r="F391" t="inlineStr">
        <is>
          <t>NORRBOTTENS LÄN</t>
        </is>
      </c>
      <c r="G391" t="inlineStr">
        <is>
          <t>ÖVERKALIX</t>
        </is>
      </c>
      <c r="I391" t="n">
        <v>13.1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29937-2026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46205</v>
      </c>
      <c r="E392" s="1" t="n">
        <v>46279</v>
      </c>
      <c r="F392" t="inlineStr">
        <is>
          <t>NORRBOTTENS LÄN</t>
        </is>
      </c>
      <c r="G392" t="inlineStr">
        <is>
          <t>ÖVERKALIX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33408-2026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46247</v>
      </c>
      <c r="E393" s="1" t="n">
        <v>46279</v>
      </c>
      <c r="F393" t="inlineStr">
        <is>
          <t>NORRBOTTENS LÄN</t>
        </is>
      </c>
      <c r="G393" t="inlineStr">
        <is>
          <t>ÖVERKALIX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30881-2024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45498</v>
      </c>
      <c r="E394" s="1" t="n">
        <v>46279</v>
      </c>
      <c r="F394" t="inlineStr">
        <is>
          <t>NORRBOTTENS LÄN</t>
        </is>
      </c>
      <c r="G394" t="inlineStr">
        <is>
          <t>ÖVERKALIX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46279</v>
      </c>
      <c r="F395" t="inlineStr">
        <is>
          <t>NORRBOTTENS LÄN</t>
        </is>
      </c>
      <c r="G395" t="inlineStr">
        <is>
          <t>ÖVERKALIX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30326-2026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46207</v>
      </c>
      <c r="E396" s="1" t="n">
        <v>46279</v>
      </c>
      <c r="F396" t="inlineStr">
        <is>
          <t>NORRBOTTENS LÄN</t>
        </is>
      </c>
      <c r="G396" t="inlineStr">
        <is>
          <t>ÖVERKALIX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30327-2026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46207</v>
      </c>
      <c r="E397" s="1" t="n">
        <v>46279</v>
      </c>
      <c r="F397" t="inlineStr">
        <is>
          <t>NORRBOTTENS LÄN</t>
        </is>
      </c>
      <c r="G397" t="inlineStr">
        <is>
          <t>ÖVERKALIX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30039-2026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46206</v>
      </c>
      <c r="E398" s="1" t="n">
        <v>46279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30037-2026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46206</v>
      </c>
      <c r="E399" s="1" t="n">
        <v>46279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30019-2026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46206</v>
      </c>
      <c r="E400" s="1" t="n">
        <v>46279</v>
      </c>
      <c r="F400" t="inlineStr">
        <is>
          <t>NORRBOTTENS LÄN</t>
        </is>
      </c>
      <c r="G400" t="inlineStr">
        <is>
          <t>ÖVERKALIX</t>
        </is>
      </c>
      <c r="I400" t="n">
        <v>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30241-2026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46206</v>
      </c>
      <c r="E401" s="1" t="n">
        <v>46279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62269-2021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44502</v>
      </c>
      <c r="E402" s="1" t="n">
        <v>46279</v>
      </c>
      <c r="F402" t="inlineStr">
        <is>
          <t>NORRBOTTENS LÄN</t>
        </is>
      </c>
      <c r="G402" t="inlineStr">
        <is>
          <t>ÖVERKALIX</t>
        </is>
      </c>
      <c r="I402" t="n">
        <v>9.199999999999999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30027-2026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46206</v>
      </c>
      <c r="E403" s="1" t="n">
        <v>46279</v>
      </c>
      <c r="F403" t="inlineStr">
        <is>
          <t>NORRBOTTENS LÄN</t>
        </is>
      </c>
      <c r="G403" t="inlineStr">
        <is>
          <t>ÖVERKALIX</t>
        </is>
      </c>
      <c r="I403" t="n">
        <v>22.3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30328-2026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46207</v>
      </c>
      <c r="E404" s="1" t="n">
        <v>46279</v>
      </c>
      <c r="F404" t="inlineStr">
        <is>
          <t>NORRBOTTENS LÄN</t>
        </is>
      </c>
      <c r="G404" t="inlineStr">
        <is>
          <t>ÖVERKALIX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46252</v>
      </c>
      <c r="E405" s="1" t="n">
        <v>46279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13372-2023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45005</v>
      </c>
      <c r="E406" s="1" t="n">
        <v>46279</v>
      </c>
      <c r="F406" t="inlineStr">
        <is>
          <t>NORRBOTTENS LÄN</t>
        </is>
      </c>
      <c r="G406" t="inlineStr">
        <is>
          <t>ÖVERKALIX</t>
        </is>
      </c>
      <c r="I406" t="n">
        <v>3.4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34423-2026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46254</v>
      </c>
      <c r="E407" s="1" t="n">
        <v>46279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36839-2023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45153</v>
      </c>
      <c r="E408" s="1" t="n">
        <v>46279</v>
      </c>
      <c r="F408" t="inlineStr">
        <is>
          <t>NORRBOTTENS LÄN</t>
        </is>
      </c>
      <c r="G408" t="inlineStr">
        <is>
          <t>ÖVERKALIX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27681-2026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46190</v>
      </c>
      <c r="E409" s="1" t="n">
        <v>46279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46279</v>
      </c>
      <c r="F410" t="inlineStr">
        <is>
          <t>NORRBOTTENS LÄN</t>
        </is>
      </c>
      <c r="G410" t="inlineStr">
        <is>
          <t>ÖVERKALIX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34424-2026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46254</v>
      </c>
      <c r="E411" s="1" t="n">
        <v>46279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34239-2026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46253</v>
      </c>
      <c r="E412" s="1" t="n">
        <v>46279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46162</v>
      </c>
      <c r="E413" s="1" t="n">
        <v>46279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17.6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6641-2022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44601</v>
      </c>
      <c r="E414" s="1" t="n">
        <v>46279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SCA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34358-2026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46254</v>
      </c>
      <c r="E415" s="1" t="n">
        <v>46279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33.7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34362-2026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46254</v>
      </c>
      <c r="E416" s="1" t="n">
        <v>46279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9.199999999999999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49091-2024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45594</v>
      </c>
      <c r="E417" s="1" t="n">
        <v>46279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46279</v>
      </c>
      <c r="F418" t="inlineStr">
        <is>
          <t>NORRBOTTENS LÄN</t>
        </is>
      </c>
      <c r="G418" t="inlineStr">
        <is>
          <t>ÖVERKALIX</t>
        </is>
      </c>
      <c r="H418" t="inlineStr">
        <is>
          <t>SCA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36797-2023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46279</v>
      </c>
      <c r="F419" t="inlineStr">
        <is>
          <t>NORRBOTTENS LÄN</t>
        </is>
      </c>
      <c r="G419" t="inlineStr">
        <is>
          <t>ÖVERKALIX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34838-2026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46258</v>
      </c>
      <c r="E420" s="1" t="n">
        <v>46279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11.5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35226-2026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46260</v>
      </c>
      <c r="E421" s="1" t="n">
        <v>46279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45692</v>
      </c>
      <c r="E422" s="1" t="n">
        <v>46279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10.1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35228-2026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46260</v>
      </c>
      <c r="E423" s="1" t="n">
        <v>46279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32616-2024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45513</v>
      </c>
      <c r="E424" s="1" t="n">
        <v>46279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Sveaskog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60400-2022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44910</v>
      </c>
      <c r="E425" s="1" t="n">
        <v>46279</v>
      </c>
      <c r="F425" t="inlineStr">
        <is>
          <t>NORRBOTTENS LÄN</t>
        </is>
      </c>
      <c r="G425" t="inlineStr">
        <is>
          <t>ÖVERKALIX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46260</v>
      </c>
      <c r="E426" s="1" t="n">
        <v>46279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38088-2023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45160</v>
      </c>
      <c r="E427" s="1" t="n">
        <v>46279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59911-2024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45641</v>
      </c>
      <c r="E428" s="1" t="n">
        <v>46279</v>
      </c>
      <c r="F428" t="inlineStr">
        <is>
          <t>NORRBOTTENS LÄN</t>
        </is>
      </c>
      <c r="G428" t="inlineStr">
        <is>
          <t>ÖVERKALIX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55226-2024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45621</v>
      </c>
      <c r="E429" s="1" t="n">
        <v>46279</v>
      </c>
      <c r="F429" t="inlineStr">
        <is>
          <t>NORRBOTTENS LÄN</t>
        </is>
      </c>
      <c r="G429" t="inlineStr">
        <is>
          <t>ÖVERKALIX</t>
        </is>
      </c>
      <c r="I429" t="n">
        <v>5.3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46266</v>
      </c>
      <c r="E430" s="1" t="n">
        <v>46279</v>
      </c>
      <c r="F430" t="inlineStr">
        <is>
          <t>NORRBOTTENS LÄN</t>
        </is>
      </c>
      <c r="G430" t="inlineStr">
        <is>
          <t>ÖVERKALIX</t>
        </is>
      </c>
      <c r="I430" t="n">
        <v>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35191-2026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46260</v>
      </c>
      <c r="E431" s="1" t="n">
        <v>46279</v>
      </c>
      <c r="F431" t="inlineStr">
        <is>
          <t>NORRBOTTENS LÄN</t>
        </is>
      </c>
      <c r="G431" t="inlineStr">
        <is>
          <t>ÖVERKALIX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48561-2024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45593</v>
      </c>
      <c r="E432" s="1" t="n">
        <v>46279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SCA</t>
        </is>
      </c>
      <c r="I432" t="n">
        <v>8.199999999999999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50862-2023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45218</v>
      </c>
      <c r="E433" s="1" t="n">
        <v>46279</v>
      </c>
      <c r="F433" t="inlineStr">
        <is>
          <t>NORRBOTTENS LÄN</t>
        </is>
      </c>
      <c r="G433" t="inlineStr">
        <is>
          <t>ÖVERKALIX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46266</v>
      </c>
      <c r="E434" s="1" t="n">
        <v>46279</v>
      </c>
      <c r="F434" t="inlineStr">
        <is>
          <t>NORRBOTTENS LÄN</t>
        </is>
      </c>
      <c r="G434" t="inlineStr">
        <is>
          <t>ÖVERKALIX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52075-2023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45223</v>
      </c>
      <c r="E435" s="1" t="n">
        <v>46279</v>
      </c>
      <c r="F435" t="inlineStr">
        <is>
          <t>NORRBOTTENS LÄN</t>
        </is>
      </c>
      <c r="G435" t="inlineStr">
        <is>
          <t>ÖVERKALIX</t>
        </is>
      </c>
      <c r="I435" t="n">
        <v>8.6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43173-2023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45180</v>
      </c>
      <c r="E436" s="1" t="n">
        <v>46279</v>
      </c>
      <c r="F436" t="inlineStr">
        <is>
          <t>NORRBOTTENS LÄN</t>
        </is>
      </c>
      <c r="G436" t="inlineStr">
        <is>
          <t>ÖVERKALIX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46225</v>
      </c>
      <c r="E437" s="1" t="n">
        <v>46279</v>
      </c>
      <c r="F437" t="inlineStr">
        <is>
          <t>NORRBOTTENS LÄN</t>
        </is>
      </c>
      <c r="G437" t="inlineStr">
        <is>
          <t>ÖVERKALIX</t>
        </is>
      </c>
      <c r="I437" t="n">
        <v>6.9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45315</v>
      </c>
      <c r="E438" s="1" t="n">
        <v>46279</v>
      </c>
      <c r="F438" t="inlineStr">
        <is>
          <t>NORRBOTTENS LÄN</t>
        </is>
      </c>
      <c r="G438" t="inlineStr">
        <is>
          <t>ÖVERKALIX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36141-2026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46267</v>
      </c>
      <c r="E439" s="1" t="n">
        <v>46279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45321</v>
      </c>
      <c r="E440" s="1" t="n">
        <v>46279</v>
      </c>
      <c r="F440" t="inlineStr">
        <is>
          <t>NORRBOTTENS LÄN</t>
        </is>
      </c>
      <c r="G440" t="inlineStr">
        <is>
          <t>ÖVERKALIX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36683-2026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46272</v>
      </c>
      <c r="E441" s="1" t="n">
        <v>46279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20.5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36570-2026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46269</v>
      </c>
      <c r="E442" s="1" t="n">
        <v>46279</v>
      </c>
      <c r="F442" t="inlineStr">
        <is>
          <t>NORRBOTTENS LÄN</t>
        </is>
      </c>
      <c r="G442" t="inlineStr">
        <is>
          <t>ÖVERKALIX</t>
        </is>
      </c>
      <c r="I442" t="n">
        <v>8.300000000000001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45610</v>
      </c>
      <c r="E443" s="1" t="n">
        <v>46279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46279</v>
      </c>
      <c r="F444" t="inlineStr">
        <is>
          <t>NORRBOTTENS LÄN</t>
        </is>
      </c>
      <c r="G444" t="inlineStr">
        <is>
          <t>ÖVERKALIX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25697-2024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45463</v>
      </c>
      <c r="E445" s="1" t="n">
        <v>46279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6917-2023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44964</v>
      </c>
      <c r="E446" s="1" t="n">
        <v>46279</v>
      </c>
      <c r="F446" t="inlineStr">
        <is>
          <t>NORRBOTTENS LÄN</t>
        </is>
      </c>
      <c r="G446" t="inlineStr">
        <is>
          <t>ÖVERKALIX</t>
        </is>
      </c>
      <c r="I446" t="n">
        <v>9.4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31832-2026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46230</v>
      </c>
      <c r="E447" s="1" t="n">
        <v>46279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40155-2024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45554</v>
      </c>
      <c r="E448" s="1" t="n">
        <v>46279</v>
      </c>
      <c r="F448" t="inlineStr">
        <is>
          <t>NORRBOTTENS LÄN</t>
        </is>
      </c>
      <c r="G448" t="inlineStr">
        <is>
          <t>ÖVERKALIX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46279</v>
      </c>
      <c r="F449" t="inlineStr">
        <is>
          <t>NORRBOTTENS LÄN</t>
        </is>
      </c>
      <c r="G449" t="inlineStr">
        <is>
          <t>ÖVERKALIX</t>
        </is>
      </c>
      <c r="I449" t="n">
        <v>6.3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38941-2024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45548</v>
      </c>
      <c r="E450" s="1" t="n">
        <v>46279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21520-2025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45782</v>
      </c>
      <c r="E451" s="1" t="n">
        <v>46279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45785</v>
      </c>
      <c r="E452" s="1" t="n">
        <v>46279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23870-2025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45793</v>
      </c>
      <c r="E453" s="1" t="n">
        <v>46279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8.5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45796</v>
      </c>
      <c r="E454" s="1" t="n">
        <v>46279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24141-2025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46279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23867-2025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45793</v>
      </c>
      <c r="E456" s="1" t="n">
        <v>46279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23873-2025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45793</v>
      </c>
      <c r="E457" s="1" t="n">
        <v>46279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12177-2024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45377</v>
      </c>
      <c r="E458" s="1" t="n">
        <v>46279</v>
      </c>
      <c r="F458" t="inlineStr">
        <is>
          <t>NORRBOTTENS LÄN</t>
        </is>
      </c>
      <c r="G458" t="inlineStr">
        <is>
          <t>ÖVERKALIX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45323</v>
      </c>
      <c r="E459" s="1" t="n">
        <v>46279</v>
      </c>
      <c r="F459" t="inlineStr">
        <is>
          <t>NORRBOTTENS LÄN</t>
        </is>
      </c>
      <c r="G459" t="inlineStr">
        <is>
          <t>ÖVERKALIX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25629-2025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45803</v>
      </c>
      <c r="E460" s="1" t="n">
        <v>46279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6.5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26666-2025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45810</v>
      </c>
      <c r="E461" s="1" t="n">
        <v>46279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26945-2025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45811</v>
      </c>
      <c r="E462" s="1" t="n">
        <v>46279</v>
      </c>
      <c r="F462" t="inlineStr">
        <is>
          <t>NORRBOTTENS LÄN</t>
        </is>
      </c>
      <c r="G462" t="inlineStr">
        <is>
          <t>ÖVERKALIX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26944-2025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45811</v>
      </c>
      <c r="E463" s="1" t="n">
        <v>46279</v>
      </c>
      <c r="F463" t="inlineStr">
        <is>
          <t>NORRBOTTENS LÄN</t>
        </is>
      </c>
      <c r="G463" t="inlineStr">
        <is>
          <t>ÖVERKALIX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27454-2025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45813</v>
      </c>
      <c r="E464" s="1" t="n">
        <v>46279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8.699999999999999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27613-2025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45813</v>
      </c>
      <c r="E465" s="1" t="n">
        <v>46279</v>
      </c>
      <c r="F465" t="inlineStr">
        <is>
          <t>NORRBOTTENS LÄN</t>
        </is>
      </c>
      <c r="G465" t="inlineStr">
        <is>
          <t>ÖVERKALIX</t>
        </is>
      </c>
      <c r="I465" t="n">
        <v>11.9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27451-2025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45813</v>
      </c>
      <c r="E466" s="1" t="n">
        <v>46279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27456-2025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45813</v>
      </c>
      <c r="E467" s="1" t="n">
        <v>46279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45813</v>
      </c>
      <c r="E468" s="1" t="n">
        <v>46279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27458-2025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45813</v>
      </c>
      <c r="E469" s="1" t="n">
        <v>46279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45813</v>
      </c>
      <c r="E470" s="1" t="n">
        <v>46279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4.8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3721-2022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44741</v>
      </c>
      <c r="E471" s="1" t="n">
        <v>46279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2792-2024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45485</v>
      </c>
      <c r="E472" s="1" t="n">
        <v>46279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2700-2024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45482</v>
      </c>
      <c r="E473" s="1" t="n">
        <v>46279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4734-2024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45607</v>
      </c>
      <c r="E474" s="1" t="n">
        <v>46279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1178-2025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45756</v>
      </c>
      <c r="E475" s="1" t="n">
        <v>46279</v>
      </c>
      <c r="F475" t="inlineStr">
        <is>
          <t>NORRBOTTENS LÄN</t>
        </is>
      </c>
      <c r="G475" t="inlineStr">
        <is>
          <t>ÖVERKALIX</t>
        </is>
      </c>
      <c r="I475" t="n">
        <v>39.9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1667-2025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45800</v>
      </c>
      <c r="E476" s="1" t="n">
        <v>46279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>
      <c r="A477" t="inlineStr">
        <is>
          <t>S 50-2026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46030</v>
      </c>
      <c r="E477" s="1" t="n">
        <v>46279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9.800000000000001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2026-09-14T02:13:19Z</dcterms:created>
  <dcterms:modified xmlns:dcterms="http://purl.org/dc/terms/" xmlns:xsi="http://www.w3.org/2001/XMLSchema-instance" xsi:type="dcterms:W3CDTF">2026-09-14T02:13:20Z</dcterms:modified>
</cp:coreProperties>
</file>