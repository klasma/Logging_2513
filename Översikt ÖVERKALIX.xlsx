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46312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46312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46312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46312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46312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46312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46312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46312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46312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46312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46312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46312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46312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46312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46312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46312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46312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46312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46312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46312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46312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46312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46312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46312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46312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30525-2025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45831</v>
      </c>
      <c r="E29" s="1" t="n">
        <v>46312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5.3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Gammelgransskål
Bollvitmossa
Järpe</t>
        </is>
      </c>
      <c r="W29">
        <f>HYPERLINK("https://klasma.github.io/Logging_2513/artfynd/A 30525-2025 artfynd.xlsx", "A 30525-2025")</f>
        <v/>
      </c>
      <c r="X29">
        <f>HYPERLINK("https://klasma.github.io/Logging_2513/kartor/A 30525-2025 karta.png", "A 30525-2025")</f>
        <v/>
      </c>
      <c r="Y29">
        <f>HYPERLINK("https://klasma.github.io/Logging_2513/kartor_geotiff/A 30525-2025 georefererad karta.tif", "A 30525-2025")</f>
        <v/>
      </c>
      <c r="AA29">
        <f>HYPERLINK("https://klasma.github.io/Logging_2513/klagomål/A 30525-2025 FSC-klagomål.docx", "A 30525-2025")</f>
        <v/>
      </c>
      <c r="AB29">
        <f>HYPERLINK("https://klasma.github.io/Logging_2513/klagomålsmail/A 30525-2025 FSC-klagomål mail.docx", "A 30525-2025")</f>
        <v/>
      </c>
      <c r="AC29">
        <f>HYPERLINK("https://klasma.github.io/Logging_2513/tillsyn/A 30525-2025 tillsynsbegäran.docx", "A 30525-2025")</f>
        <v/>
      </c>
      <c r="AD29">
        <f>HYPERLINK("https://klasma.github.io/Logging_2513/tillsynsmail/A 30525-2025 tillsynsbegäran mail.docx", "A 30525-2025")</f>
        <v/>
      </c>
      <c r="AE29">
        <f>HYPERLINK("https://klasma.github.io/Logging_2513/fåglar/A 30525-2025 prioriterade fågelarter.docx", "A 30525-2025")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46312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40706-2023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46312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7.1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Dropptaggsvamp</t>
        </is>
      </c>
      <c r="W31">
        <f>HYPERLINK("https://klasma.github.io/Logging_2513/artfynd/A 40706-2023 artfynd.xlsx", "A 40706-2023")</f>
        <v/>
      </c>
      <c r="X31">
        <f>HYPERLINK("https://klasma.github.io/Logging_2513/kartor/A 40706-2023 karta.png", "A 40706-2023")</f>
        <v/>
      </c>
      <c r="Y31">
        <f>HYPERLINK("https://klasma.github.io/Logging_2513/kartor_geotiff/A 40706-2023 georefererad karta.tif", "A 40706-2023")</f>
        <v/>
      </c>
      <c r="Z31">
        <f>HYPERLINK("https://klasma.github.io/Logging_2513/knärot/A 40706-2023 karta knärot.png", "A 40706-2023")</f>
        <v/>
      </c>
      <c r="AA31">
        <f>HYPERLINK("https://klasma.github.io/Logging_2513/klagomål/A 40706-2023 FSC-klagomål.docx", "A 40706-2023")</f>
        <v/>
      </c>
      <c r="AB31">
        <f>HYPERLINK("https://klasma.github.io/Logging_2513/klagomålsmail/A 40706-2023 FSC-klagomål mail.docx", "A 40706-2023")</f>
        <v/>
      </c>
      <c r="AC31">
        <f>HYPERLINK("https://klasma.github.io/Logging_2513/tillsyn/A 40706-2023 tillsynsbegäran.docx", "A 40706-2023")</f>
        <v/>
      </c>
      <c r="AD31">
        <f>HYPERLINK("https://klasma.github.io/Logging_2513/tillsynsmail/A 40706-2023 tillsynsbegäran mail.docx", "A 40706-2023")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46312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47680-2024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46312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Blå taggsvamp
Skarp dropptaggsvamp</t>
        </is>
      </c>
      <c r="W33">
        <f>HYPERLINK("https://klasma.github.io/Logging_2513/artfynd/A 47680-2024 artfynd.xlsx", "A 47680-2024")</f>
        <v/>
      </c>
      <c r="X33">
        <f>HYPERLINK("https://klasma.github.io/Logging_2513/kartor/A 47680-2024 karta.png", "A 47680-2024")</f>
        <v/>
      </c>
      <c r="Y33">
        <f>HYPERLINK("https://klasma.github.io/Logging_2513/kartor_geotiff/A 47680-2024 georefererad karta.tif", "A 47680-2024")</f>
        <v/>
      </c>
      <c r="AA33">
        <f>HYPERLINK("https://klasma.github.io/Logging_2513/klagomål/A 47680-2024 FSC-klagomål.docx", "A 47680-2024")</f>
        <v/>
      </c>
      <c r="AB33">
        <f>HYPERLINK("https://klasma.github.io/Logging_2513/klagomålsmail/A 47680-2024 FSC-klagomål mail.docx", "A 47680-2024")</f>
        <v/>
      </c>
      <c r="AC33">
        <f>HYPERLINK("https://klasma.github.io/Logging_2513/tillsyn/A 47680-2024 tillsynsbegäran.docx", "A 47680-2024")</f>
        <v/>
      </c>
      <c r="AD33">
        <f>HYPERLINK("https://klasma.github.io/Logging_2513/tillsynsmail/A 47680-2024 tillsynsbegäran mail.docx", "A 47680-2024")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46312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46312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46312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46312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14152-2026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46312</v>
      </c>
      <c r="F38" t="inlineStr">
        <is>
          <t>NORRBOTTENS LÄN</t>
        </is>
      </c>
      <c r="G38" t="inlineStr">
        <is>
          <t>ÖVERKALIX</t>
        </is>
      </c>
      <c r="I38" t="n">
        <v>4.6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Källpraktmossa
Spädstarr</t>
        </is>
      </c>
      <c r="W38">
        <f>HYPERLINK("https://klasma.github.io/Logging_2513/artfynd/A 14152-2026 artfynd.xlsx", "A 14152-2026")</f>
        <v/>
      </c>
      <c r="X38">
        <f>HYPERLINK("https://klasma.github.io/Logging_2513/kartor/A 14152-2026 karta.png", "A 14152-2026")</f>
        <v/>
      </c>
      <c r="Y38">
        <f>HYPERLINK("https://klasma.github.io/Logging_2513/kartor_geotiff/A 14152-2026 georefererad karta.tif", "A 14152-2026")</f>
        <v/>
      </c>
      <c r="AA38">
        <f>HYPERLINK("https://klasma.github.io/Logging_2513/klagomål/A 14152-2026 FSC-klagomål.docx", "A 14152-2026")</f>
        <v/>
      </c>
      <c r="AB38">
        <f>HYPERLINK("https://klasma.github.io/Logging_2513/klagomålsmail/A 14152-2026 FSC-klagomål mail.docx", "A 14152-2026")</f>
        <v/>
      </c>
      <c r="AC38">
        <f>HYPERLINK("https://klasma.github.io/Logging_2513/tillsyn/A 14152-2026 tillsynsbegäran.docx", "A 14152-2026")</f>
        <v/>
      </c>
      <c r="AD38">
        <f>HYPERLINK("https://klasma.github.io/Logging_2513/tillsynsmail/A 14152-2026 tillsynsbegäran mail.docx", "A 14152-2026")</f>
        <v/>
      </c>
    </row>
    <row r="39" ht="15" customHeight="1">
      <c r="A39" t="inlineStr">
        <is>
          <t>A 28029-2026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46312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1.4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Blå taggsvamp
Bollvitmossa</t>
        </is>
      </c>
      <c r="W39">
        <f>HYPERLINK("https://klasma.github.io/Logging_2513/artfynd/A 28029-2026 artfynd.xlsx", "A 28029-2026")</f>
        <v/>
      </c>
      <c r="X39">
        <f>HYPERLINK("https://klasma.github.io/Logging_2513/kartor/A 28029-2026 karta.png", "A 28029-2026")</f>
        <v/>
      </c>
      <c r="Y39">
        <f>HYPERLINK("https://klasma.github.io/Logging_2513/kartor_geotiff/A 28029-2026 georefererad karta.tif", "A 28029-2026")</f>
        <v/>
      </c>
      <c r="AA39">
        <f>HYPERLINK("https://klasma.github.io/Logging_2513/klagomål/A 28029-2026 FSC-klagomål.docx", "A 28029-2026")</f>
        <v/>
      </c>
      <c r="AB39">
        <f>HYPERLINK("https://klasma.github.io/Logging_2513/klagomålsmail/A 28029-2026 FSC-klagomål mail.docx", "A 28029-2026")</f>
        <v/>
      </c>
      <c r="AC39">
        <f>HYPERLINK("https://klasma.github.io/Logging_2513/tillsyn/A 28029-2026 tillsynsbegäran.docx", "A 28029-2026")</f>
        <v/>
      </c>
      <c r="AD39">
        <f>HYPERLINK("https://klasma.github.io/Logging_2513/tillsynsmail/A 28029-2026 tillsynsbegäran mail.docx", "A 28029-2026")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46312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5</v>
      </c>
      <c r="V40" s="2" t="inlineStr">
        <is>
          <t>Knärot
Fläcknycklar</t>
        </is>
      </c>
      <c r="W40">
        <f>HYPERLINK("https://klasma.github.io/Logging_2513/artfynd/A 28929-2026 artfynd.xlsx", "A 28929-2026")</f>
        <v/>
      </c>
      <c r="X40">
        <f>HYPERLINK("https://klasma.github.io/Logging_2513/kartor/A 28929-2026 karta.png", "A 28929-2026")</f>
        <v/>
      </c>
      <c r="Y40">
        <f>HYPERLINK("https://klasma.github.io/Logging_2513/kartor_geotiff/A 28929-2026 georefererad karta.tif", "A 28929-2026")</f>
        <v/>
      </c>
      <c r="Z40">
        <f>HYPERLINK("https://klasma.github.io/Logging_2513/knärot/A 28929-2026 karta knärot.png", "A 28929-2026")</f>
        <v/>
      </c>
      <c r="AA40">
        <f>HYPERLINK("https://klasma.github.io/Logging_2513/klagomål/A 28929-2026 FSC-klagomål.docx", "A 28929-2026")</f>
        <v/>
      </c>
      <c r="AB40">
        <f>HYPERLINK("https://klasma.github.io/Logging_2513/klagomålsmail/A 28929-2026 FSC-klagomål mail.docx", "A 28929-2026")</f>
        <v/>
      </c>
      <c r="AC40">
        <f>HYPERLINK("https://klasma.github.io/Logging_2513/tillsyn/A 28929-2026 tillsynsbegäran.docx", "A 28929-2026")</f>
        <v/>
      </c>
      <c r="AD40">
        <f>HYPERLINK("https://klasma.github.io/Logging_2513/tillsynsmail/A 28929-2026 tillsynsbegäran mail.docx", "A 28929-2026")</f>
        <v/>
      </c>
    </row>
    <row r="41" ht="15" customHeight="1">
      <c r="A41" t="inlineStr">
        <is>
          <t>A 36378-2024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46312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21.5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Lunglav
Fläcknycklar</t>
        </is>
      </c>
      <c r="W41">
        <f>HYPERLINK("https://klasma.github.io/Logging_2513/artfynd/A 36378-2024 artfynd.xlsx", "A 36378-2024")</f>
        <v/>
      </c>
      <c r="X41">
        <f>HYPERLINK("https://klasma.github.io/Logging_2513/kartor/A 36378-2024 karta.png", "A 36378-2024")</f>
        <v/>
      </c>
      <c r="Y41">
        <f>HYPERLINK("https://klasma.github.io/Logging_2513/kartor_geotiff/A 36378-2024 georefererad karta.tif", "A 36378-2024")</f>
        <v/>
      </c>
      <c r="AA41">
        <f>HYPERLINK("https://klasma.github.io/Logging_2513/klagomål/A 36378-2024 FSC-klagomål.docx", "A 36378-2024")</f>
        <v/>
      </c>
      <c r="AB41">
        <f>HYPERLINK("https://klasma.github.io/Logging_2513/klagomålsmail/A 36378-2024 FSC-klagomål mail.docx", "A 36378-2024")</f>
        <v/>
      </c>
      <c r="AC41">
        <f>HYPERLINK("https://klasma.github.io/Logging_2513/tillsyn/A 36378-2024 tillsynsbegäran.docx", "A 36378-2024")</f>
        <v/>
      </c>
      <c r="AD41">
        <f>HYPERLINK("https://klasma.github.io/Logging_2513/tillsynsmail/A 36378-2024 tillsynsbegäran mail.docx", "A 36378-2024")</f>
        <v/>
      </c>
    </row>
    <row r="42" ht="15" customHeight="1">
      <c r="A42" t="inlineStr">
        <is>
          <t>A 36381-2024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46312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26.7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Gammelgransskål
Orre</t>
        </is>
      </c>
      <c r="W42">
        <f>HYPERLINK("https://klasma.github.io/Logging_2513/artfynd/A 36381-2024 artfynd.xlsx", "A 36381-2024")</f>
        <v/>
      </c>
      <c r="X42">
        <f>HYPERLINK("https://klasma.github.io/Logging_2513/kartor/A 36381-2024 karta.png", "A 36381-2024")</f>
        <v/>
      </c>
      <c r="Y42">
        <f>HYPERLINK("https://klasma.github.io/Logging_2513/kartor_geotiff/A 36381-2024 georefererad karta.tif", "A 36381-2024")</f>
        <v/>
      </c>
      <c r="AA42">
        <f>HYPERLINK("https://klasma.github.io/Logging_2513/klagomål/A 36381-2024 FSC-klagomål.docx", "A 36381-2024")</f>
        <v/>
      </c>
      <c r="AB42">
        <f>HYPERLINK("https://klasma.github.io/Logging_2513/klagomålsmail/A 36381-2024 FSC-klagomål mail.docx", "A 36381-2024")</f>
        <v/>
      </c>
      <c r="AC42">
        <f>HYPERLINK("https://klasma.github.io/Logging_2513/tillsyn/A 36381-2024 tillsynsbegäran.docx", "A 36381-2024")</f>
        <v/>
      </c>
      <c r="AD42">
        <f>HYPERLINK("https://klasma.github.io/Logging_2513/tillsynsmail/A 36381-2024 tillsynsbegäran mail.docx", "A 36381-2024")</f>
        <v/>
      </c>
      <c r="AE42">
        <f>HYPERLINK("https://klasma.github.io/Logging_2513/fåglar/A 36381-2024 prioriterade fågelarter.docx", "A 36381-2024")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46312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50691-2024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46312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4.2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Gammelgransskål
Vedticka</t>
        </is>
      </c>
      <c r="W44">
        <f>HYPERLINK("https://klasma.github.io/Logging_2513/artfynd/A 50691-2024 artfynd.xlsx", "A 50691-2024")</f>
        <v/>
      </c>
      <c r="X44">
        <f>HYPERLINK("https://klasma.github.io/Logging_2513/kartor/A 50691-2024 karta.png", "A 50691-2024")</f>
        <v/>
      </c>
      <c r="Y44">
        <f>HYPERLINK("https://klasma.github.io/Logging_2513/kartor_geotiff/A 50691-2024 georefererad karta.tif", "A 50691-2024")</f>
        <v/>
      </c>
      <c r="AA44">
        <f>HYPERLINK("https://klasma.github.io/Logging_2513/klagomål/A 50691-2024 FSC-klagomål.docx", "A 50691-2024")</f>
        <v/>
      </c>
      <c r="AB44">
        <f>HYPERLINK("https://klasma.github.io/Logging_2513/klagomålsmail/A 50691-2024 FSC-klagomål mail.docx", "A 50691-2024")</f>
        <v/>
      </c>
      <c r="AC44">
        <f>HYPERLINK("https://klasma.github.io/Logging_2513/tillsyn/A 50691-2024 tillsynsbegäran.docx", "A 50691-2024")</f>
        <v/>
      </c>
      <c r="AD44">
        <f>HYPERLINK("https://klasma.github.io/Logging_2513/tillsynsmail/A 50691-2024 tillsynsbegäran mail.docx", "A 50691-2024")</f>
        <v/>
      </c>
    </row>
    <row r="45" ht="15" customHeight="1">
      <c r="A45" t="inlineStr">
        <is>
          <t>A 60509-2021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44496</v>
      </c>
      <c r="E45" s="1" t="n">
        <v>46312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13.5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Stor aspticka
Vedticka</t>
        </is>
      </c>
      <c r="W45">
        <f>HYPERLINK("https://klasma.github.io/Logging_2513/artfynd/A 60509-2021 artfynd.xlsx", "A 60509-2021")</f>
        <v/>
      </c>
      <c r="X45">
        <f>HYPERLINK("https://klasma.github.io/Logging_2513/kartor/A 60509-2021 karta.png", "A 60509-2021")</f>
        <v/>
      </c>
      <c r="Y45">
        <f>HYPERLINK("https://klasma.github.io/Logging_2513/kartor_geotiff/A 60509-2021 georefererad karta.tif", "A 60509-2021")</f>
        <v/>
      </c>
      <c r="AA45">
        <f>HYPERLINK("https://klasma.github.io/Logging_2513/klagomål/A 60509-2021 FSC-klagomål.docx", "A 60509-2021")</f>
        <v/>
      </c>
      <c r="AB45">
        <f>HYPERLINK("https://klasma.github.io/Logging_2513/klagomålsmail/A 60509-2021 FSC-klagomål mail.docx", "A 60509-2021")</f>
        <v/>
      </c>
      <c r="AC45">
        <f>HYPERLINK("https://klasma.github.io/Logging_2513/tillsyn/A 60509-2021 tillsynsbegäran.docx", "A 60509-2021")</f>
        <v/>
      </c>
      <c r="AD45">
        <f>HYPERLINK("https://klasma.github.io/Logging_2513/tillsynsmail/A 60509-2021 tillsynsbegäran mail.docx", "A 60509-2021")</f>
        <v/>
      </c>
    </row>
    <row r="46" ht="15" customHeight="1">
      <c r="A46" t="inlineStr">
        <is>
          <t>A 41591-2026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46312</v>
      </c>
      <c r="F46" t="inlineStr">
        <is>
          <t>NORRBOTTENS LÄN</t>
        </is>
      </c>
      <c r="G46" t="inlineStr">
        <is>
          <t>ÖVERKALIX</t>
        </is>
      </c>
      <c r="H46" t="inlineStr">
        <is>
          <t>SCA</t>
        </is>
      </c>
      <c r="I46" t="n">
        <v>1.8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Lunglav
Tallticka</t>
        </is>
      </c>
      <c r="W46">
        <f>HYPERLINK("https://klasma.github.io/Logging_2513/artfynd/A 41591-2026 artfynd.xlsx", "A 41591-2026")</f>
        <v/>
      </c>
      <c r="X46">
        <f>HYPERLINK("https://klasma.github.io/Logging_2513/kartor/A 41591-2026 karta.png", "A 41591-2026")</f>
        <v/>
      </c>
      <c r="Y46">
        <f>HYPERLINK("https://klasma.github.io/Logging_2513/kartor_geotiff/A 41591-2026 georefererad karta.tif", "A 41591-2026")</f>
        <v/>
      </c>
      <c r="AA46">
        <f>HYPERLINK("https://klasma.github.io/Logging_2513/klagomål/A 41591-2026 FSC-klagomål.docx", "A 41591-2026")</f>
        <v/>
      </c>
      <c r="AB46">
        <f>HYPERLINK("https://klasma.github.io/Logging_2513/klagomålsmail/A 41591-2026 FSC-klagomål mail.docx", "A 41591-2026")</f>
        <v/>
      </c>
      <c r="AC46">
        <f>HYPERLINK("https://klasma.github.io/Logging_2513/tillsyn/A 41591-2026 tillsynsbegäran.docx", "A 41591-2026")</f>
        <v/>
      </c>
      <c r="AD46">
        <f>HYPERLINK("https://klasma.github.io/Logging_2513/tillsynsmail/A 41591-2026 tillsynsbegäran mail.docx", "A 41591-2026")</f>
        <v/>
      </c>
    </row>
    <row r="47" ht="15" customHeight="1">
      <c r="A47" t="inlineStr">
        <is>
          <t>A 35594-2026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46312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40.3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7</v>
      </c>
      <c r="U47" t="n">
        <v>4</v>
      </c>
      <c r="V47" s="2" t="inlineStr">
        <is>
          <t>Dropptaggsvamp
Lunglav</t>
        </is>
      </c>
      <c r="W47">
        <f>HYPERLINK("https://klasma.github.io/Logging_2513/artfynd/A 35594-2026 artfynd.xlsx", "A 35594-2026")</f>
        <v/>
      </c>
      <c r="X47">
        <f>HYPERLINK("https://klasma.github.io/Logging_2513/kartor/A 35594-2026 karta.png", "A 35594-2026")</f>
        <v/>
      </c>
      <c r="Y47">
        <f>HYPERLINK("https://klasma.github.io/Logging_2513/kartor_geotiff/A 35594-2026 georefererad karta.tif", "A 35594-2026")</f>
        <v/>
      </c>
      <c r="AA47">
        <f>HYPERLINK("https://klasma.github.io/Logging_2513/klagomål/A 35594-2026 FSC-klagomål.docx", "A 35594-2026")</f>
        <v/>
      </c>
      <c r="AB47">
        <f>HYPERLINK("https://klasma.github.io/Logging_2513/klagomålsmail/A 35594-2026 FSC-klagomål mail.docx", "A 35594-2026")</f>
        <v/>
      </c>
      <c r="AC47">
        <f>HYPERLINK("https://klasma.github.io/Logging_2513/tillsyn/A 35594-2026 tillsynsbegäran.docx", "A 35594-2026")</f>
        <v/>
      </c>
      <c r="AD47">
        <f>HYPERLINK("https://klasma.github.io/Logging_2513/tillsynsmail/A 35594-2026 tillsynsbegäran mail.docx", "A 35594-2026")</f>
        <v/>
      </c>
    </row>
    <row r="48" ht="15" customHeight="1">
      <c r="A48" t="inlineStr">
        <is>
          <t>A 26452-2025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45807</v>
      </c>
      <c r="E48" s="1" t="n">
        <v>46312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Gammelgransskål
Stor aspticka</t>
        </is>
      </c>
      <c r="W48">
        <f>HYPERLINK("https://klasma.github.io/Logging_2513/artfynd/A 26452-2025 artfynd.xlsx", "A 26452-2025")</f>
        <v/>
      </c>
      <c r="X48">
        <f>HYPERLINK("https://klasma.github.io/Logging_2513/kartor/A 26452-2025 karta.png", "A 26452-2025")</f>
        <v/>
      </c>
      <c r="Y48">
        <f>HYPERLINK("https://klasma.github.io/Logging_2513/kartor_geotiff/A 26452-2025 georefererad karta.tif", "A 26452-2025")</f>
        <v/>
      </c>
      <c r="AA48">
        <f>HYPERLINK("https://klasma.github.io/Logging_2513/klagomål/A 26452-2025 FSC-klagomål.docx", "A 26452-2025")</f>
        <v/>
      </c>
      <c r="AB48">
        <f>HYPERLINK("https://klasma.github.io/Logging_2513/klagomålsmail/A 26452-2025 FSC-klagomål mail.docx", "A 26452-2025")</f>
        <v/>
      </c>
      <c r="AC48">
        <f>HYPERLINK("https://klasma.github.io/Logging_2513/tillsyn/A 26452-2025 tillsynsbegäran.docx", "A 26452-2025")</f>
        <v/>
      </c>
      <c r="AD48">
        <f>HYPERLINK("https://klasma.github.io/Logging_2513/tillsynsmail/A 26452-2025 tillsynsbegäran mail.docx", "A 26452-2025")</f>
        <v/>
      </c>
    </row>
    <row r="49" ht="15" customHeight="1">
      <c r="A49" t="inlineStr">
        <is>
          <t>A 34921-2025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45849</v>
      </c>
      <c r="E49" s="1" t="n">
        <v>46312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16.4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Gammelgransskål
Lunglav</t>
        </is>
      </c>
      <c r="W49">
        <f>HYPERLINK("https://klasma.github.io/Logging_2513/artfynd/A 34921-2025 artfynd.xlsx", "A 34921-2025")</f>
        <v/>
      </c>
      <c r="X49">
        <f>HYPERLINK("https://klasma.github.io/Logging_2513/kartor/A 34921-2025 karta.png", "A 34921-2025")</f>
        <v/>
      </c>
      <c r="Y49">
        <f>HYPERLINK("https://klasma.github.io/Logging_2513/kartor_geotiff/A 34921-2025 georefererad karta.tif", "A 34921-2025")</f>
        <v/>
      </c>
      <c r="AA49">
        <f>HYPERLINK("https://klasma.github.io/Logging_2513/klagomål/A 34921-2025 FSC-klagomål.docx", "A 34921-2025")</f>
        <v/>
      </c>
      <c r="AB49">
        <f>HYPERLINK("https://klasma.github.io/Logging_2513/klagomålsmail/A 34921-2025 FSC-klagomål mail.docx", "A 34921-2025")</f>
        <v/>
      </c>
      <c r="AC49">
        <f>HYPERLINK("https://klasma.github.io/Logging_2513/tillsyn/A 34921-2025 tillsynsbegäran.docx", "A 34921-2025")</f>
        <v/>
      </c>
      <c r="AD49">
        <f>HYPERLINK("https://klasma.github.io/Logging_2513/tillsynsmail/A 34921-2025 tillsynsbegäran mail.docx", "A 34921-2025")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46312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46312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46312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46312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71902-2021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46312</v>
      </c>
      <c r="F54" t="inlineStr">
        <is>
          <t>NORRBOTTENS LÄN</t>
        </is>
      </c>
      <c r="G54" t="inlineStr">
        <is>
          <t>ÖVERKALIX</t>
        </is>
      </c>
      <c r="I54" t="n">
        <v>24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71902-2021 artfynd.xlsx", "A 71902-2021")</f>
        <v/>
      </c>
      <c r="X54">
        <f>HYPERLINK("https://klasma.github.io/Logging_2513/kartor/A 71902-2021 karta.png", "A 71902-2021")</f>
        <v/>
      </c>
      <c r="Y54">
        <f>HYPERLINK("https://klasma.github.io/Logging_2513/kartor_geotiff/A 71902-2021 georefererad karta.tif", "A 71902-2021")</f>
        <v/>
      </c>
      <c r="AA54">
        <f>HYPERLINK("https://klasma.github.io/Logging_2513/klagomål/A 71902-2021 FSC-klagomål.docx", "A 71902-2021")</f>
        <v/>
      </c>
      <c r="AB54">
        <f>HYPERLINK("https://klasma.github.io/Logging_2513/klagomålsmail/A 71902-2021 FSC-klagomål mail.docx", "A 71902-2021")</f>
        <v/>
      </c>
      <c r="AC54">
        <f>HYPERLINK("https://klasma.github.io/Logging_2513/tillsyn/A 71902-2021 tillsynsbegäran.docx", "A 71902-2021")</f>
        <v/>
      </c>
      <c r="AD54">
        <f>HYPERLINK("https://klasma.github.io/Logging_2513/tillsynsmail/A 71902-2021 tillsynsbegäran mail.docx", "A 71902-2021")</f>
        <v/>
      </c>
      <c r="AE54">
        <f>HYPERLINK("https://klasma.github.io/Logging_2513/fåglar/A 71902-2021 prioriterade fågelarter.docx", "A 71902-2021")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46312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46312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7234-2023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44970</v>
      </c>
      <c r="E57" s="1" t="n">
        <v>46312</v>
      </c>
      <c r="F57" t="inlineStr">
        <is>
          <t>NORRBOTTENS LÄN</t>
        </is>
      </c>
      <c r="G57" t="inlineStr">
        <is>
          <t>ÖVERKALIX</t>
        </is>
      </c>
      <c r="I57" t="n">
        <v>5.2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HYPERLINK("https://klasma.github.io/Logging_2513/artfynd/A 7234-2023 artfynd.xlsx", "A 7234-2023")</f>
        <v/>
      </c>
      <c r="X57">
        <f>HYPERLINK("https://klasma.github.io/Logging_2513/kartor/A 7234-2023 karta.png", "A 7234-2023")</f>
        <v/>
      </c>
      <c r="Y57">
        <f>HYPERLINK("https://klasma.github.io/Logging_2513/kartor_geotiff/A 7234-2023 georefererad karta.tif", "A 7234-2023")</f>
        <v/>
      </c>
      <c r="AA57">
        <f>HYPERLINK("https://klasma.github.io/Logging_2513/klagomål/A 7234-2023 FSC-klagomål.docx", "A 7234-2023")</f>
        <v/>
      </c>
      <c r="AB57">
        <f>HYPERLINK("https://klasma.github.io/Logging_2513/klagomålsmail/A 7234-2023 FSC-klagomål mail.docx", "A 7234-2023")</f>
        <v/>
      </c>
      <c r="AC57">
        <f>HYPERLINK("https://klasma.github.io/Logging_2513/tillsyn/A 7234-2023 tillsynsbegäran.docx", "A 7234-2023")</f>
        <v/>
      </c>
      <c r="AD57">
        <f>HYPERLINK("https://klasma.github.io/Logging_2513/tillsynsmail/A 7234-2023 tillsynsbegäran mail.docx", "A 7234-2023")</f>
        <v/>
      </c>
      <c r="AE57">
        <f>HYPERLINK("https://klasma.github.io/Logging_2513/fåglar/A 7234-2023 prioriterade fågelarter.docx", "A 7234-2023")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46312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27087-2026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46187</v>
      </c>
      <c r="E59" s="1" t="n">
        <v>46312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5.1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HYPERLINK("https://klasma.github.io/Logging_2513/artfynd/A 27087-2026 artfynd.xlsx", "A 27087-2026")</f>
        <v/>
      </c>
      <c r="X59">
        <f>HYPERLINK("https://klasma.github.io/Logging_2513/kartor/A 27087-2026 karta.png", "A 27087-2026")</f>
        <v/>
      </c>
      <c r="Y59">
        <f>HYPERLINK("https://klasma.github.io/Logging_2513/kartor_geotiff/A 27087-2026 georefererad karta.tif", "A 27087-2026")</f>
        <v/>
      </c>
      <c r="AA59">
        <f>HYPERLINK("https://klasma.github.io/Logging_2513/klagomål/A 27087-2026 FSC-klagomål.docx", "A 27087-2026")</f>
        <v/>
      </c>
      <c r="AB59">
        <f>HYPERLINK("https://klasma.github.io/Logging_2513/klagomålsmail/A 27087-2026 FSC-klagomål mail.docx", "A 27087-2026")</f>
        <v/>
      </c>
      <c r="AC59">
        <f>HYPERLINK("https://klasma.github.io/Logging_2513/tillsyn/A 27087-2026 tillsynsbegäran.docx", "A 27087-2026")</f>
        <v/>
      </c>
      <c r="AD59">
        <f>HYPERLINK("https://klasma.github.io/Logging_2513/tillsynsmail/A 27087-2026 tillsynsbegäran mail.docx", "A 27087-2026")</f>
        <v/>
      </c>
      <c r="AE59">
        <f>HYPERLINK("https://klasma.github.io/Logging_2513/fåglar/A 27087-2026 prioriterade fågelarter.docx", "A 27087-2026")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46312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20949-2026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46312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HYPERLINK("https://klasma.github.io/Logging_2513/artfynd/A 20949-2026 artfynd.xlsx", "A 20949-2026")</f>
        <v/>
      </c>
      <c r="X61">
        <f>HYPERLINK("https://klasma.github.io/Logging_2513/kartor/A 20949-2026 karta.png", "A 20949-2026")</f>
        <v/>
      </c>
      <c r="Y61">
        <f>HYPERLINK("https://klasma.github.io/Logging_2513/kartor_geotiff/A 20949-2026 georefererad karta.tif", "A 20949-2026")</f>
        <v/>
      </c>
      <c r="AA61">
        <f>HYPERLINK("https://klasma.github.io/Logging_2513/klagomål/A 20949-2026 FSC-klagomål.docx", "A 20949-2026")</f>
        <v/>
      </c>
      <c r="AB61">
        <f>HYPERLINK("https://klasma.github.io/Logging_2513/klagomålsmail/A 20949-2026 FSC-klagomål mail.docx", "A 20949-2026")</f>
        <v/>
      </c>
      <c r="AC61">
        <f>HYPERLINK("https://klasma.github.io/Logging_2513/tillsyn/A 20949-2026 tillsynsbegäran.docx", "A 20949-2026")</f>
        <v/>
      </c>
      <c r="AD61">
        <f>HYPERLINK("https://klasma.github.io/Logging_2513/tillsynsmail/A 20949-2026 tillsynsbegäran mail.docx", "A 20949-2026")</f>
        <v/>
      </c>
    </row>
    <row r="62" ht="15" customHeight="1">
      <c r="A62" t="inlineStr">
        <is>
          <t>A 21777-2024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45442</v>
      </c>
      <c r="E62" s="1" t="n">
        <v>46312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30.5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HYPERLINK("https://klasma.github.io/Logging_2513/artfynd/A 21777-2024 artfynd.xlsx", "A 21777-2024")</f>
        <v/>
      </c>
      <c r="X62">
        <f>HYPERLINK("https://klasma.github.io/Logging_2513/kartor/A 21777-2024 karta.png", "A 21777-2024")</f>
        <v/>
      </c>
      <c r="Y62">
        <f>HYPERLINK("https://klasma.github.io/Logging_2513/kartor_geotiff/A 21777-2024 georefererad karta.tif", "A 21777-2024")</f>
        <v/>
      </c>
      <c r="AA62">
        <f>HYPERLINK("https://klasma.github.io/Logging_2513/klagomål/A 21777-2024 FSC-klagomål.docx", "A 21777-2024")</f>
        <v/>
      </c>
      <c r="AB62">
        <f>HYPERLINK("https://klasma.github.io/Logging_2513/klagomålsmail/A 21777-2024 FSC-klagomål mail.docx", "A 21777-2024")</f>
        <v/>
      </c>
      <c r="AC62">
        <f>HYPERLINK("https://klasma.github.io/Logging_2513/tillsyn/A 21777-2024 tillsynsbegäran.docx", "A 21777-2024")</f>
        <v/>
      </c>
      <c r="AD62">
        <f>HYPERLINK("https://klasma.github.io/Logging_2513/tillsynsmail/A 21777-2024 tillsynsbegäran mail.docx", "A 21777-2024")</f>
        <v/>
      </c>
    </row>
    <row r="63" ht="15" customHeight="1">
      <c r="A63" t="inlineStr">
        <is>
          <t>A 31920-2026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46231</v>
      </c>
      <c r="E63" s="1" t="n">
        <v>46312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3.8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HYPERLINK("https://klasma.github.io/Logging_2513/artfynd/A 31920-2026 artfynd.xlsx", "A 31920-2026")</f>
        <v/>
      </c>
      <c r="X63">
        <f>HYPERLINK("https://klasma.github.io/Logging_2513/kartor/A 31920-2026 karta.png", "A 31920-2026")</f>
        <v/>
      </c>
      <c r="Y63">
        <f>HYPERLINK("https://klasma.github.io/Logging_2513/kartor_geotiff/A 31920-2026 georefererad karta.tif", "A 31920-2026")</f>
        <v/>
      </c>
      <c r="AA63">
        <f>HYPERLINK("https://klasma.github.io/Logging_2513/klagomål/A 31920-2026 FSC-klagomål.docx", "A 31920-2026")</f>
        <v/>
      </c>
      <c r="AB63">
        <f>HYPERLINK("https://klasma.github.io/Logging_2513/klagomålsmail/A 31920-2026 FSC-klagomål mail.docx", "A 31920-2026")</f>
        <v/>
      </c>
      <c r="AC63">
        <f>HYPERLINK("https://klasma.github.io/Logging_2513/tillsyn/A 31920-2026 tillsynsbegäran.docx", "A 31920-2026")</f>
        <v/>
      </c>
      <c r="AD63">
        <f>HYPERLINK("https://klasma.github.io/Logging_2513/tillsynsmail/A 31920-2026 tillsynsbegäran mail.docx", "A 31920-2026")</f>
        <v/>
      </c>
    </row>
    <row r="64" ht="15" customHeight="1">
      <c r="A64" t="inlineStr">
        <is>
          <t>A 41569-2026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46301</v>
      </c>
      <c r="E64" s="1" t="n">
        <v>46312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HYPERLINK("https://klasma.github.io/Logging_2513/artfynd/A 41569-2026 artfynd.xlsx", "A 41569-2026")</f>
        <v/>
      </c>
      <c r="X64">
        <f>HYPERLINK("https://klasma.github.io/Logging_2513/kartor/A 41569-2026 karta.png", "A 41569-2026")</f>
        <v/>
      </c>
      <c r="Y64">
        <f>HYPERLINK("https://klasma.github.io/Logging_2513/kartor_geotiff/A 41569-2026 georefererad karta.tif", "A 41569-2026")</f>
        <v/>
      </c>
      <c r="AA64">
        <f>HYPERLINK("https://klasma.github.io/Logging_2513/klagomål/A 41569-2026 FSC-klagomål.docx", "A 41569-2026")</f>
        <v/>
      </c>
      <c r="AB64">
        <f>HYPERLINK("https://klasma.github.io/Logging_2513/klagomålsmail/A 41569-2026 FSC-klagomål mail.docx", "A 41569-2026")</f>
        <v/>
      </c>
      <c r="AC64">
        <f>HYPERLINK("https://klasma.github.io/Logging_2513/tillsyn/A 41569-2026 tillsynsbegäran.docx", "A 41569-2026")</f>
        <v/>
      </c>
      <c r="AD64">
        <f>HYPERLINK("https://klasma.github.io/Logging_2513/tillsynsmail/A 41569-2026 tillsynsbegäran mail.docx", "A 41569-2026")</f>
        <v/>
      </c>
    </row>
    <row r="65" ht="15" customHeight="1">
      <c r="A65" t="inlineStr">
        <is>
          <t>A 26305-2025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46312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5.2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Luddlav</t>
        </is>
      </c>
      <c r="W65">
        <f>HYPERLINK("https://klasma.github.io/Logging_2513/artfynd/A 26305-2025 artfynd.xlsx", "A 26305-2025")</f>
        <v/>
      </c>
      <c r="X65">
        <f>HYPERLINK("https://klasma.github.io/Logging_2513/kartor/A 26305-2025 karta.png", "A 26305-2025")</f>
        <v/>
      </c>
      <c r="Y65">
        <f>HYPERLINK("https://klasma.github.io/Logging_2513/kartor_geotiff/A 26305-2025 georefererad karta.tif", "A 26305-2025")</f>
        <v/>
      </c>
      <c r="AA65">
        <f>HYPERLINK("https://klasma.github.io/Logging_2513/klagomål/A 26305-2025 FSC-klagomål.docx", "A 26305-2025")</f>
        <v/>
      </c>
      <c r="AB65">
        <f>HYPERLINK("https://klasma.github.io/Logging_2513/klagomålsmail/A 26305-2025 FSC-klagomål mail.docx", "A 26305-2025")</f>
        <v/>
      </c>
      <c r="AC65">
        <f>HYPERLINK("https://klasma.github.io/Logging_2513/tillsyn/A 26305-2025 tillsynsbegäran.docx", "A 26305-2025")</f>
        <v/>
      </c>
      <c r="AD65">
        <f>HYPERLINK("https://klasma.github.io/Logging_2513/tillsynsmail/A 26305-2025 tillsynsbegäran mail.docx", "A 26305-2025")</f>
        <v/>
      </c>
    </row>
    <row r="66" ht="15" customHeight="1">
      <c r="A66" t="inlineStr">
        <is>
          <t>A 27452-2025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46312</v>
      </c>
      <c r="F66" t="inlineStr">
        <is>
          <t>NORRBOTTENS LÄN</t>
        </is>
      </c>
      <c r="G66" t="inlineStr">
        <is>
          <t>ÖVERKALIX</t>
        </is>
      </c>
      <c r="H66" t="inlineStr">
        <is>
          <t>SCA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HYPERLINK("https://klasma.github.io/Logging_2513/artfynd/A 27452-2025 artfynd.xlsx", "A 27452-2025")</f>
        <v/>
      </c>
      <c r="X66">
        <f>HYPERLINK("https://klasma.github.io/Logging_2513/kartor/A 27452-2025 karta.png", "A 27452-2025")</f>
        <v/>
      </c>
      <c r="Y66">
        <f>HYPERLINK("https://klasma.github.io/Logging_2513/kartor_geotiff/A 27452-2025 georefererad karta.tif", "A 27452-2025")</f>
        <v/>
      </c>
      <c r="AA66">
        <f>HYPERLINK("https://klasma.github.io/Logging_2513/klagomål/A 27452-2025 FSC-klagomål.docx", "A 27452-2025")</f>
        <v/>
      </c>
      <c r="AB66">
        <f>HYPERLINK("https://klasma.github.io/Logging_2513/klagomålsmail/A 27452-2025 FSC-klagomål mail.docx", "A 27452-2025")</f>
        <v/>
      </c>
      <c r="AC66">
        <f>HYPERLINK("https://klasma.github.io/Logging_2513/tillsyn/A 27452-2025 tillsynsbegäran.docx", "A 27452-2025")</f>
        <v/>
      </c>
      <c r="AD66">
        <f>HYPERLINK("https://klasma.github.io/Logging_2513/tillsynsmail/A 27452-2025 tillsynsbegäran mail.docx", "A 27452-2025")</f>
        <v/>
      </c>
      <c r="AE66">
        <f>HYPERLINK("https://klasma.github.io/Logging_2513/fåglar/A 27452-2025 prioriterade fågelarter.docx", "A 27452-2025")</f>
        <v/>
      </c>
    </row>
    <row r="67" ht="15" customHeight="1">
      <c r="A67" t="inlineStr">
        <is>
          <t>A 35602-2025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45859</v>
      </c>
      <c r="E67" s="1" t="n">
        <v>46312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2.9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HYPERLINK("https://klasma.github.io/Logging_2513/artfynd/A 35602-2025 artfynd.xlsx", "A 35602-2025")</f>
        <v/>
      </c>
      <c r="X67">
        <f>HYPERLINK("https://klasma.github.io/Logging_2513/kartor/A 35602-2025 karta.png", "A 35602-2025")</f>
        <v/>
      </c>
      <c r="Y67">
        <f>HYPERLINK("https://klasma.github.io/Logging_2513/kartor_geotiff/A 35602-2025 georefererad karta.tif", "A 35602-2025")</f>
        <v/>
      </c>
      <c r="AA67">
        <f>HYPERLINK("https://klasma.github.io/Logging_2513/klagomål/A 35602-2025 FSC-klagomål.docx", "A 35602-2025")</f>
        <v/>
      </c>
      <c r="AB67">
        <f>HYPERLINK("https://klasma.github.io/Logging_2513/klagomålsmail/A 35602-2025 FSC-klagomål mail.docx", "A 35602-2025")</f>
        <v/>
      </c>
      <c r="AC67">
        <f>HYPERLINK("https://klasma.github.io/Logging_2513/tillsyn/A 35602-2025 tillsynsbegäran.docx", "A 35602-2025")</f>
        <v/>
      </c>
      <c r="AD67">
        <f>HYPERLINK("https://klasma.github.io/Logging_2513/tillsynsmail/A 35602-2025 tillsynsbegäran mail.docx", "A 35602-2025")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46312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46312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46312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46312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46312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46312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46312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46312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46312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46312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46312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46312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46312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46312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46312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46312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46312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46312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46312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46312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46312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46312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46312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46312</v>
      </c>
      <c r="F91" t="inlineStr">
        <is>
          <t>NORRBOTTENS LÄN</t>
        </is>
      </c>
      <c r="G91" t="inlineStr">
        <is>
          <t>ÖVERKALIX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46312</v>
      </c>
      <c r="F92" t="inlineStr">
        <is>
          <t>NORRBOTTENS LÄN</t>
        </is>
      </c>
      <c r="G92" t="inlineStr">
        <is>
          <t>ÖVERKALIX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44603</v>
      </c>
      <c r="E93" s="1" t="n">
        <v>46312</v>
      </c>
      <c r="F93" t="inlineStr">
        <is>
          <t>NORRBOTTENS LÄN</t>
        </is>
      </c>
      <c r="G93" t="inlineStr">
        <is>
          <t>ÖVERKALIX</t>
        </is>
      </c>
      <c r="H93" t="inlineStr">
        <is>
          <t>Övriga statliga verk och myndigheter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46312</v>
      </c>
      <c r="F94" t="inlineStr">
        <is>
          <t>NORRBOTTENS LÄN</t>
        </is>
      </c>
      <c r="G94" t="inlineStr">
        <is>
          <t>ÖVERKALIX</t>
        </is>
      </c>
      <c r="I94" t="n">
        <v>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46312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46312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46312</v>
      </c>
      <c r="F97" t="inlineStr">
        <is>
          <t>NORRBOTTENS LÄN</t>
        </is>
      </c>
      <c r="G97" t="inlineStr">
        <is>
          <t>ÖVERKALIX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46312</v>
      </c>
      <c r="F98" t="inlineStr">
        <is>
          <t>NORRBOTTENS LÄN</t>
        </is>
      </c>
      <c r="G98" t="inlineStr">
        <is>
          <t>ÖVERKALIX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44960</v>
      </c>
      <c r="E99" s="1" t="n">
        <v>46312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45518</v>
      </c>
      <c r="E100" s="1" t="n">
        <v>46312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45677</v>
      </c>
      <c r="E101" s="1" t="n">
        <v>46312</v>
      </c>
      <c r="F101" t="inlineStr">
        <is>
          <t>NORRBOTTENS LÄN</t>
        </is>
      </c>
      <c r="G101" t="inlineStr">
        <is>
          <t>ÖVERKALIX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46312</v>
      </c>
      <c r="F102" t="inlineStr">
        <is>
          <t>NORRBOTTENS LÄN</t>
        </is>
      </c>
      <c r="G102" t="inlineStr">
        <is>
          <t>ÖVERKALIX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46312</v>
      </c>
      <c r="F103" t="inlineStr">
        <is>
          <t>NORRBOTTENS LÄN</t>
        </is>
      </c>
      <c r="G103" t="inlineStr">
        <is>
          <t>ÖVERKALIX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46312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46312</v>
      </c>
      <c r="F105" t="inlineStr">
        <is>
          <t>NORRBOTTENS LÄN</t>
        </is>
      </c>
      <c r="G105" t="inlineStr">
        <is>
          <t>ÖVERKALIX</t>
        </is>
      </c>
      <c r="I105" t="n">
        <v>13.1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46312</v>
      </c>
      <c r="F106" t="inlineStr">
        <is>
          <t>NORRBOTTENS LÄN</t>
        </is>
      </c>
      <c r="G106" t="inlineStr">
        <is>
          <t>ÖVERKALIX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46312</v>
      </c>
      <c r="F107" t="inlineStr">
        <is>
          <t>NORRBOTTENS LÄN</t>
        </is>
      </c>
      <c r="G107" t="inlineStr">
        <is>
          <t>ÖVERKALIX</t>
        </is>
      </c>
      <c r="I107" t="n">
        <v>21.7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46312</v>
      </c>
      <c r="F108" t="inlineStr">
        <is>
          <t>NORRBOTTENS LÄN</t>
        </is>
      </c>
      <c r="G108" t="inlineStr">
        <is>
          <t>ÖVERKALIX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46312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45460</v>
      </c>
      <c r="E110" s="1" t="n">
        <v>46312</v>
      </c>
      <c r="F110" t="inlineStr">
        <is>
          <t>NORRBOTTENS LÄN</t>
        </is>
      </c>
      <c r="G110" t="inlineStr">
        <is>
          <t>ÖVERKALIX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46312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46312</v>
      </c>
      <c r="F112" t="inlineStr">
        <is>
          <t>NORRBOTTENS LÄN</t>
        </is>
      </c>
      <c r="G112" t="inlineStr">
        <is>
          <t>ÖVERKALIX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46312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46312</v>
      </c>
      <c r="F114" t="inlineStr">
        <is>
          <t>NORRBOTTENS LÄN</t>
        </is>
      </c>
      <c r="G114" t="inlineStr">
        <is>
          <t>ÖVERKALIX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46312</v>
      </c>
      <c r="F115" t="inlineStr">
        <is>
          <t>NORRBOTTENS LÄN</t>
        </is>
      </c>
      <c r="G115" t="inlineStr">
        <is>
          <t>ÖVERKALIX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46312</v>
      </c>
      <c r="F116" t="inlineStr">
        <is>
          <t>NORRBOTTENS LÄN</t>
        </is>
      </c>
      <c r="G116" t="inlineStr">
        <is>
          <t>ÖVERKALIX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72364-2021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46312</v>
      </c>
      <c r="F117" t="inlineStr">
        <is>
          <t>NORRBOTTENS LÄN</t>
        </is>
      </c>
      <c r="G117" t="inlineStr">
        <is>
          <t>ÖVERKALIX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46312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46312</v>
      </c>
      <c r="F119" t="inlineStr">
        <is>
          <t>NORRBOTTENS LÄN</t>
        </is>
      </c>
      <c r="G119" t="inlineStr">
        <is>
          <t>ÖVERKALIX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46312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46312</v>
      </c>
      <c r="F121" t="inlineStr">
        <is>
          <t>NORRBOTTENS LÄN</t>
        </is>
      </c>
      <c r="G121" t="inlineStr">
        <is>
          <t>ÖVERKALIX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46312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25506-2024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46312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44930</v>
      </c>
      <c r="E124" s="1" t="n">
        <v>46312</v>
      </c>
      <c r="F124" t="inlineStr">
        <is>
          <t>NORRBOTTENS LÄN</t>
        </is>
      </c>
      <c r="G124" t="inlineStr">
        <is>
          <t>ÖVERKALIX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45141</v>
      </c>
      <c r="E125" s="1" t="n">
        <v>46312</v>
      </c>
      <c r="F125" t="inlineStr">
        <is>
          <t>NORRBOTTENS LÄN</t>
        </is>
      </c>
      <c r="G125" t="inlineStr">
        <is>
          <t>ÖVERKALIX</t>
        </is>
      </c>
      <c r="I125" t="n">
        <v>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46312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46312</v>
      </c>
      <c r="F127" t="inlineStr">
        <is>
          <t>NORRBOTTENS LÄN</t>
        </is>
      </c>
      <c r="G127" t="inlineStr">
        <is>
          <t>ÖVERKALIX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45160</v>
      </c>
      <c r="E128" s="1" t="n">
        <v>46312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46312</v>
      </c>
      <c r="F129" t="inlineStr">
        <is>
          <t>NORRBOTTENS LÄN</t>
        </is>
      </c>
      <c r="G129" t="inlineStr">
        <is>
          <t>ÖVERKALIX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46312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44964</v>
      </c>
      <c r="E131" s="1" t="n">
        <v>46312</v>
      </c>
      <c r="F131" t="inlineStr">
        <is>
          <t>NORRBOTTENS LÄN</t>
        </is>
      </c>
      <c r="G131" t="inlineStr">
        <is>
          <t>ÖVERKALIX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58764-2023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45251</v>
      </c>
      <c r="E132" s="1" t="n">
        <v>46312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46312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46312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37.4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46312</v>
      </c>
      <c r="F135" t="inlineStr">
        <is>
          <t>NORRBOTTENS LÄN</t>
        </is>
      </c>
      <c r="G135" t="inlineStr">
        <is>
          <t>ÖVERKALIX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46312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13717-2022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46312</v>
      </c>
      <c r="F137" t="inlineStr">
        <is>
          <t>NORRBOTTENS LÄN</t>
        </is>
      </c>
      <c r="G137" t="inlineStr">
        <is>
          <t>ÖVERKALIX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46312</v>
      </c>
      <c r="F138" t="inlineStr">
        <is>
          <t>NORRBOTTENS LÄN</t>
        </is>
      </c>
      <c r="G138" t="inlineStr">
        <is>
          <t>ÖVERKALIX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45767-2023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46312</v>
      </c>
      <c r="F139" t="inlineStr">
        <is>
          <t>NORRBOTTENS LÄN</t>
        </is>
      </c>
      <c r="G139" t="inlineStr">
        <is>
          <t>ÖVERKALIX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46312</v>
      </c>
      <c r="F140" t="inlineStr">
        <is>
          <t>NORRBOTTENS LÄN</t>
        </is>
      </c>
      <c r="G140" t="inlineStr">
        <is>
          <t>ÖVERKALIX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46312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46312</v>
      </c>
      <c r="F142" t="inlineStr">
        <is>
          <t>NORRBOTTENS LÄN</t>
        </is>
      </c>
      <c r="G142" t="inlineStr">
        <is>
          <t>ÖVERKALIX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46312</v>
      </c>
      <c r="F143" t="inlineStr">
        <is>
          <t>NORRBOTTENS LÄN</t>
        </is>
      </c>
      <c r="G143" t="inlineStr">
        <is>
          <t>ÖVERKALIX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46312</v>
      </c>
      <c r="F144" t="inlineStr">
        <is>
          <t>NORRBOTTENS LÄN</t>
        </is>
      </c>
      <c r="G144" t="inlineStr">
        <is>
          <t>ÖVERKALIX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46312</v>
      </c>
      <c r="F145" t="inlineStr">
        <is>
          <t>NORRBOTTENS LÄN</t>
        </is>
      </c>
      <c r="G145" t="inlineStr">
        <is>
          <t>ÖVERKALIX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46312</v>
      </c>
      <c r="F146" t="inlineStr">
        <is>
          <t>NORRBOTTENS LÄN</t>
        </is>
      </c>
      <c r="G146" t="inlineStr">
        <is>
          <t>ÖVERKALIX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46312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46312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44754-2025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45917</v>
      </c>
      <c r="E149" s="1" t="n">
        <v>46312</v>
      </c>
      <c r="F149" t="inlineStr">
        <is>
          <t>NORRBOTTENS LÄN</t>
        </is>
      </c>
      <c r="G149" t="inlineStr">
        <is>
          <t>ÖVERKALIX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44546</v>
      </c>
      <c r="E150" s="1" t="n">
        <v>46312</v>
      </c>
      <c r="F150" t="inlineStr">
        <is>
          <t>NORRBOTTENS LÄN</t>
        </is>
      </c>
      <c r="G150" t="inlineStr">
        <is>
          <t>ÖVERKALIX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45535-2025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45922</v>
      </c>
      <c r="E151" s="1" t="n">
        <v>46312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46312</v>
      </c>
      <c r="F152" t="inlineStr">
        <is>
          <t>NORRBOTTENS LÄN</t>
        </is>
      </c>
      <c r="G152" t="inlineStr">
        <is>
          <t>ÖVERKALIX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46148</v>
      </c>
      <c r="E153" s="1" t="n">
        <v>46312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46312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46312</v>
      </c>
      <c r="F155" t="inlineStr">
        <is>
          <t>NORRBOTTENS LÄN</t>
        </is>
      </c>
      <c r="G155" t="inlineStr">
        <is>
          <t>ÖVERKALIX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62269-2021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46312</v>
      </c>
      <c r="F156" t="inlineStr">
        <is>
          <t>NORRBOTTENS LÄN</t>
        </is>
      </c>
      <c r="G156" t="inlineStr">
        <is>
          <t>ÖVERKALIX</t>
        </is>
      </c>
      <c r="I156" t="n">
        <v>9.199999999999999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21411-2026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46312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46148</v>
      </c>
      <c r="E158" s="1" t="n">
        <v>46312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46312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46312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46312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46312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18.8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22470-2023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45070</v>
      </c>
      <c r="E163" s="1" t="n">
        <v>46312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46312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5653-2022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44595</v>
      </c>
      <c r="E165" s="1" t="n">
        <v>46312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46312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46312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46312</v>
      </c>
      <c r="F168" t="inlineStr">
        <is>
          <t>NORRBOTTENS LÄN</t>
        </is>
      </c>
      <c r="G168" t="inlineStr">
        <is>
          <t>ÖVERKALIX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44601</v>
      </c>
      <c r="E169" s="1" t="n">
        <v>46312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26554-2023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45092</v>
      </c>
      <c r="E170" s="1" t="n">
        <v>46312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45940</v>
      </c>
      <c r="E171" s="1" t="n">
        <v>46312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46312</v>
      </c>
      <c r="F172" t="inlineStr">
        <is>
          <t>NORRBOTTENS LÄN</t>
        </is>
      </c>
      <c r="G172" t="inlineStr">
        <is>
          <t>ÖVERKALIX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50720-2025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45946</v>
      </c>
      <c r="E173" s="1" t="n">
        <v>46312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46312</v>
      </c>
      <c r="F174" t="inlineStr">
        <is>
          <t>NORRBOTTENS LÄN</t>
        </is>
      </c>
      <c r="G174" t="inlineStr">
        <is>
          <t>ÖVERKALIX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46312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46312</v>
      </c>
      <c r="F176" t="inlineStr">
        <is>
          <t>NORRBOTTENS LÄN</t>
        </is>
      </c>
      <c r="G176" t="inlineStr">
        <is>
          <t>ÖVERKALIX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46312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45463</v>
      </c>
      <c r="E178" s="1" t="n">
        <v>46312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46312</v>
      </c>
      <c r="F179" t="inlineStr">
        <is>
          <t>NORRBOTTENS LÄN</t>
        </is>
      </c>
      <c r="G179" t="inlineStr">
        <is>
          <t>ÖVERKALIX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45951</v>
      </c>
      <c r="E180" s="1" t="n">
        <v>46312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45949</v>
      </c>
      <c r="E181" s="1" t="n">
        <v>46312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46312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9.9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52591-2025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45954</v>
      </c>
      <c r="E183" s="1" t="n">
        <v>46312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48221-2025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45933</v>
      </c>
      <c r="E184" s="1" t="n">
        <v>46312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11.8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45958</v>
      </c>
      <c r="E185" s="1" t="n">
        <v>46312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73216-2021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44547</v>
      </c>
      <c r="E186" s="1" t="n">
        <v>46312</v>
      </c>
      <c r="F186" t="inlineStr">
        <is>
          <t>NORRBOTTENS LÄN</t>
        </is>
      </c>
      <c r="G186" t="inlineStr">
        <is>
          <t>ÖVERKALIX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46312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46312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46312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46312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46160</v>
      </c>
      <c r="E191" s="1" t="n">
        <v>46312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46312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27057-2024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45471</v>
      </c>
      <c r="E193" s="1" t="n">
        <v>46312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Sveaskog</t>
        </is>
      </c>
      <c r="I193" t="n">
        <v>32.6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46162</v>
      </c>
      <c r="E194" s="1" t="n">
        <v>46312</v>
      </c>
      <c r="F194" t="inlineStr">
        <is>
          <t>NORRBOTTENS LÄN</t>
        </is>
      </c>
      <c r="G194" t="inlineStr">
        <is>
          <t>ÖVERKALIX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45610</v>
      </c>
      <c r="E195" s="1" t="n">
        <v>46312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46312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46312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46312</v>
      </c>
      <c r="F198" t="inlineStr">
        <is>
          <t>NORRBOTTENS LÄN</t>
        </is>
      </c>
      <c r="G198" t="inlineStr">
        <is>
          <t>ÖVERKALIX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46312</v>
      </c>
      <c r="F199" t="inlineStr">
        <is>
          <t>NORRBOTTENS LÄN</t>
        </is>
      </c>
      <c r="G199" t="inlineStr">
        <is>
          <t>ÖVERKALIX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46312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46312</v>
      </c>
      <c r="F201" t="inlineStr">
        <is>
          <t>NORRBOTTENS LÄN</t>
        </is>
      </c>
      <c r="G201" t="inlineStr">
        <is>
          <t>ÖVERKALIX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50862-2023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45218</v>
      </c>
      <c r="E202" s="1" t="n">
        <v>46312</v>
      </c>
      <c r="F202" t="inlineStr">
        <is>
          <t>NORRBOTTENS LÄN</t>
        </is>
      </c>
      <c r="G202" t="inlineStr">
        <is>
          <t>ÖVERKALIX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46312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46167</v>
      </c>
      <c r="E204" s="1" t="n">
        <v>46312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57744-2025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45981</v>
      </c>
      <c r="E205" s="1" t="n">
        <v>46312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46312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28372-2025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45818</v>
      </c>
      <c r="E207" s="1" t="n">
        <v>46312</v>
      </c>
      <c r="F207" t="inlineStr">
        <is>
          <t>NORRBOTTENS LÄN</t>
        </is>
      </c>
      <c r="G207" t="inlineStr">
        <is>
          <t>ÖVERKALIX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46312</v>
      </c>
      <c r="F208" t="inlineStr">
        <is>
          <t>NORRBOTTENS LÄN</t>
        </is>
      </c>
      <c r="G208" t="inlineStr">
        <is>
          <t>ÖVERKALIX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46167</v>
      </c>
      <c r="E209" s="1" t="n">
        <v>46312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44910</v>
      </c>
      <c r="E210" s="1" t="n">
        <v>46312</v>
      </c>
      <c r="F210" t="inlineStr">
        <is>
          <t>NORRBOTTENS LÄN</t>
        </is>
      </c>
      <c r="G210" t="inlineStr">
        <is>
          <t>ÖVERKALIX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46312</v>
      </c>
      <c r="F211" t="inlineStr">
        <is>
          <t>NORRBOTTENS LÄN</t>
        </is>
      </c>
      <c r="G211" t="inlineStr">
        <is>
          <t>ÖVERKALIX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46312</v>
      </c>
      <c r="F212" t="inlineStr">
        <is>
          <t>NORRBOTTENS LÄN</t>
        </is>
      </c>
      <c r="G212" t="inlineStr">
        <is>
          <t>ÖVERKALIX</t>
        </is>
      </c>
      <c r="I212" t="n">
        <v>16.1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46312</v>
      </c>
      <c r="F213" t="inlineStr">
        <is>
          <t>NORRBOTTENS LÄN</t>
        </is>
      </c>
      <c r="G213" t="inlineStr">
        <is>
          <t>ÖVERKALIX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46312</v>
      </c>
      <c r="F214" t="inlineStr">
        <is>
          <t>NORRBOTTENS LÄN</t>
        </is>
      </c>
      <c r="G214" t="inlineStr">
        <is>
          <t>ÖVERKALIX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46167</v>
      </c>
      <c r="E215" s="1" t="n">
        <v>46312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46167</v>
      </c>
      <c r="E216" s="1" t="n">
        <v>46312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45631</v>
      </c>
      <c r="E217" s="1" t="n">
        <v>46312</v>
      </c>
      <c r="F217" t="inlineStr">
        <is>
          <t>NORRBOTTENS LÄN</t>
        </is>
      </c>
      <c r="G217" t="inlineStr">
        <is>
          <t>ÖVERKALIX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44823</v>
      </c>
      <c r="E218" s="1" t="n">
        <v>46312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8.300000000000001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40281-2022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44820</v>
      </c>
      <c r="E219" s="1" t="n">
        <v>46312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44575</v>
      </c>
      <c r="E220" s="1" t="n">
        <v>46312</v>
      </c>
      <c r="F220" t="inlineStr">
        <is>
          <t>NORRBOTTENS LÄN</t>
        </is>
      </c>
      <c r="G220" t="inlineStr">
        <is>
          <t>ÖVERKALIX</t>
        </is>
      </c>
      <c r="I220" t="n">
        <v>10.4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46312</v>
      </c>
      <c r="F221" t="inlineStr">
        <is>
          <t>NORRBOTTENS LÄN</t>
        </is>
      </c>
      <c r="G221" t="inlineStr">
        <is>
          <t>ÖVERKALIX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46312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46312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46312</v>
      </c>
      <c r="F224" t="inlineStr">
        <is>
          <t>NORRBOTTENS LÄN</t>
        </is>
      </c>
      <c r="G224" t="inlineStr">
        <is>
          <t>ÖVERKALIX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46312</v>
      </c>
      <c r="F225" t="inlineStr">
        <is>
          <t>NORRBOTTENS LÄN</t>
        </is>
      </c>
      <c r="G225" t="inlineStr">
        <is>
          <t>ÖVERKALIX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46312</v>
      </c>
      <c r="F226" t="inlineStr">
        <is>
          <t>NORRBOTTENS LÄN</t>
        </is>
      </c>
      <c r="G226" t="inlineStr">
        <is>
          <t>ÖVERKALIX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46312</v>
      </c>
      <c r="F227" t="inlineStr">
        <is>
          <t>NORRBOTTENS LÄN</t>
        </is>
      </c>
      <c r="G227" t="inlineStr">
        <is>
          <t>ÖVERKALIX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46312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46312</v>
      </c>
      <c r="F229" t="inlineStr">
        <is>
          <t>NORRBOTTENS LÄN</t>
        </is>
      </c>
      <c r="G229" t="inlineStr">
        <is>
          <t>ÖVERKALIX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46312</v>
      </c>
      <c r="F230" t="inlineStr">
        <is>
          <t>NORRBOTTENS LÄN</t>
        </is>
      </c>
      <c r="G230" t="inlineStr">
        <is>
          <t>ÖVERKALIX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46312</v>
      </c>
      <c r="F231" t="inlineStr">
        <is>
          <t>NORRBOTTENS LÄN</t>
        </is>
      </c>
      <c r="G231" t="inlineStr">
        <is>
          <t>ÖVERKALIX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32477-2024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45513</v>
      </c>
      <c r="E232" s="1" t="n">
        <v>46312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46312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30881-2024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45498</v>
      </c>
      <c r="E234" s="1" t="n">
        <v>46312</v>
      </c>
      <c r="F234" t="inlineStr">
        <is>
          <t>NORRBOTTENS LÄN</t>
        </is>
      </c>
      <c r="G234" t="inlineStr">
        <is>
          <t>ÖVERKALIX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46312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46312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46312</v>
      </c>
      <c r="F237" t="inlineStr">
        <is>
          <t>NORRBOTTENS LÄN</t>
        </is>
      </c>
      <c r="G237" t="inlineStr">
        <is>
          <t>ÖVERKALIX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45807</v>
      </c>
      <c r="E238" s="1" t="n">
        <v>46312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46312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46009</v>
      </c>
      <c r="E240" s="1" t="n">
        <v>46312</v>
      </c>
      <c r="F240" t="inlineStr">
        <is>
          <t>NORRBOTTENS LÄN</t>
        </is>
      </c>
      <c r="G240" t="inlineStr">
        <is>
          <t>ÖVERKALIX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46312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45588</v>
      </c>
      <c r="E242" s="1" t="n">
        <v>46312</v>
      </c>
      <c r="F242" t="inlineStr">
        <is>
          <t>NORRBOTTENS LÄN</t>
        </is>
      </c>
      <c r="G242" t="inlineStr">
        <is>
          <t>ÖVERKALIX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45379</v>
      </c>
      <c r="E243" s="1" t="n">
        <v>46312</v>
      </c>
      <c r="F243" t="inlineStr">
        <is>
          <t>NORRBOTTENS LÄN</t>
        </is>
      </c>
      <c r="G243" t="inlineStr">
        <is>
          <t>ÖVERKALIX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46312</v>
      </c>
      <c r="F244" t="inlineStr">
        <is>
          <t>NORRBOTTENS LÄN</t>
        </is>
      </c>
      <c r="G244" t="inlineStr">
        <is>
          <t>ÖVERKALIX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46312</v>
      </c>
      <c r="F245" t="inlineStr">
        <is>
          <t>NORRBOTTENS LÄN</t>
        </is>
      </c>
      <c r="G245" t="inlineStr">
        <is>
          <t>ÖVERKALIX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46312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46312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45513</v>
      </c>
      <c r="E248" s="1" t="n">
        <v>46312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46312</v>
      </c>
      <c r="F249" t="inlineStr">
        <is>
          <t>NORRBOTTENS LÄN</t>
        </is>
      </c>
      <c r="G249" t="inlineStr">
        <is>
          <t>ÖVERKALIX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46312</v>
      </c>
      <c r="F250" t="inlineStr">
        <is>
          <t>NORRBOTTENS LÄN</t>
        </is>
      </c>
      <c r="G250" t="inlineStr">
        <is>
          <t>ÖVERKALIX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46312</v>
      </c>
      <c r="F251" t="inlineStr">
        <is>
          <t>NORRBOTTENS LÄN</t>
        </is>
      </c>
      <c r="G251" t="inlineStr">
        <is>
          <t>ÖVERKALIX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45709</v>
      </c>
      <c r="E252" s="1" t="n">
        <v>46312</v>
      </c>
      <c r="F252" t="inlineStr">
        <is>
          <t>NORRBOTTENS LÄN</t>
        </is>
      </c>
      <c r="G252" t="inlineStr">
        <is>
          <t>ÖVERKALIX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46312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45747</v>
      </c>
      <c r="E254" s="1" t="n">
        <v>46312</v>
      </c>
      <c r="F254" t="inlineStr">
        <is>
          <t>NORRBOTTENS LÄN</t>
        </is>
      </c>
      <c r="G254" t="inlineStr">
        <is>
          <t>ÖVERKALIX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59832-2024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46312</v>
      </c>
      <c r="F255" t="inlineStr">
        <is>
          <t>NORRBOTTENS LÄN</t>
        </is>
      </c>
      <c r="G255" t="inlineStr">
        <is>
          <t>ÖVERKALIX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46312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46042</v>
      </c>
      <c r="E257" s="1" t="n">
        <v>46312</v>
      </c>
      <c r="F257" t="inlineStr">
        <is>
          <t>NORRBOTTENS LÄN</t>
        </is>
      </c>
      <c r="G257" t="inlineStr">
        <is>
          <t>ÖVERKALIX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46312</v>
      </c>
      <c r="F258" t="inlineStr">
        <is>
          <t>NORRBOTTENS LÄN</t>
        </is>
      </c>
      <c r="G258" t="inlineStr">
        <is>
          <t>ÖVERKALIX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46312</v>
      </c>
      <c r="F259" t="inlineStr">
        <is>
          <t>NORRBOTTENS LÄN</t>
        </is>
      </c>
      <c r="G259" t="inlineStr">
        <is>
          <t>ÖVERKALIX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45712</v>
      </c>
      <c r="E260" s="1" t="n">
        <v>46312</v>
      </c>
      <c r="F260" t="inlineStr">
        <is>
          <t>NORRBOTTENS LÄN</t>
        </is>
      </c>
      <c r="G260" t="inlineStr">
        <is>
          <t>ÖVERKALIX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46312</v>
      </c>
      <c r="F261" t="inlineStr">
        <is>
          <t>NORRBOTTENS LÄN</t>
        </is>
      </c>
      <c r="G261" t="inlineStr">
        <is>
          <t>ÖVERKALIX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46312</v>
      </c>
      <c r="F262" t="inlineStr">
        <is>
          <t>NORRBOTTENS LÄN</t>
        </is>
      </c>
      <c r="G262" t="inlineStr">
        <is>
          <t>ÖVERKALIX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46312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46181</v>
      </c>
      <c r="E264" s="1" t="n">
        <v>46312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45181</v>
      </c>
      <c r="E265" s="1" t="n">
        <v>46312</v>
      </c>
      <c r="F265" t="inlineStr">
        <is>
          <t>NORRBOTTENS LÄN</t>
        </is>
      </c>
      <c r="G265" t="inlineStr">
        <is>
          <t>ÖVERKALIX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46312</v>
      </c>
      <c r="F266" t="inlineStr">
        <is>
          <t>NORRBOTTENS LÄN</t>
        </is>
      </c>
      <c r="G266" t="inlineStr">
        <is>
          <t>ÖVERKALIX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45693</v>
      </c>
      <c r="E267" s="1" t="n">
        <v>46312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46312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46312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17.7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46312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44899</v>
      </c>
      <c r="E271" s="1" t="n">
        <v>46312</v>
      </c>
      <c r="F271" t="inlineStr">
        <is>
          <t>NORRBOTTENS LÄN</t>
        </is>
      </c>
      <c r="G271" t="inlineStr">
        <is>
          <t>ÖVERKALIX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45709</v>
      </c>
      <c r="E272" s="1" t="n">
        <v>46312</v>
      </c>
      <c r="F272" t="inlineStr">
        <is>
          <t>NORRBOTTENS LÄN</t>
        </is>
      </c>
      <c r="G272" t="inlineStr">
        <is>
          <t>ÖVERKALIX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45540</v>
      </c>
      <c r="E273" s="1" t="n">
        <v>46312</v>
      </c>
      <c r="F273" t="inlineStr">
        <is>
          <t>NORRBOTTENS LÄN</t>
        </is>
      </c>
      <c r="G273" t="inlineStr">
        <is>
          <t>ÖVERKALIX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64524-2023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45281</v>
      </c>
      <c r="E274" s="1" t="n">
        <v>46312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46312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46312</v>
      </c>
      <c r="F276" t="inlineStr">
        <is>
          <t>NORRBOTTENS LÄN</t>
        </is>
      </c>
      <c r="G276" t="inlineStr">
        <is>
          <t>ÖVERKALIX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46312</v>
      </c>
      <c r="F277" t="inlineStr">
        <is>
          <t>NORRBOTTENS LÄN</t>
        </is>
      </c>
      <c r="G277" t="inlineStr">
        <is>
          <t>ÖVERKALIX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46312</v>
      </c>
      <c r="F278" t="inlineStr">
        <is>
          <t>NORRBOTTENS LÄN</t>
        </is>
      </c>
      <c r="G278" t="inlineStr">
        <is>
          <t>ÖVERKALIX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45429</v>
      </c>
      <c r="E279" s="1" t="n">
        <v>46312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22.7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46312</v>
      </c>
      <c r="F280" t="inlineStr">
        <is>
          <t>NORRBOTTENS LÄN</t>
        </is>
      </c>
      <c r="G280" t="inlineStr">
        <is>
          <t>ÖVERKALIX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46312</v>
      </c>
      <c r="F281" t="inlineStr">
        <is>
          <t>NORRBOTTENS LÄN</t>
        </is>
      </c>
      <c r="G281" t="inlineStr">
        <is>
          <t>ÖVERKALIX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46080</v>
      </c>
      <c r="E282" s="1" t="n">
        <v>46312</v>
      </c>
      <c r="F282" t="inlineStr">
        <is>
          <t>NORRBOTTENS LÄN</t>
        </is>
      </c>
      <c r="G282" t="inlineStr">
        <is>
          <t>ÖVERKALIX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46080</v>
      </c>
      <c r="E283" s="1" t="n">
        <v>46312</v>
      </c>
      <c r="F283" t="inlineStr">
        <is>
          <t>NORRBOTTENS LÄN</t>
        </is>
      </c>
      <c r="G283" t="inlineStr">
        <is>
          <t>ÖVERKALIX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28343-2025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45818</v>
      </c>
      <c r="E284" s="1" t="n">
        <v>46312</v>
      </c>
      <c r="F284" t="inlineStr">
        <is>
          <t>NORRBOTTENS LÄN</t>
        </is>
      </c>
      <c r="G284" t="inlineStr">
        <is>
          <t>ÖVERKALIX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46312</v>
      </c>
      <c r="F285" t="inlineStr">
        <is>
          <t>NORRBOTTENS LÄN</t>
        </is>
      </c>
      <c r="G285" t="inlineStr">
        <is>
          <t>ÖVERKALIX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46312</v>
      </c>
      <c r="F286" t="inlineStr">
        <is>
          <t>NORRBOTTENS LÄN</t>
        </is>
      </c>
      <c r="G286" t="inlineStr">
        <is>
          <t>ÖVERKALIX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46312</v>
      </c>
      <c r="F287" t="inlineStr">
        <is>
          <t>NORRBOTTENS LÄN</t>
        </is>
      </c>
      <c r="G287" t="inlineStr">
        <is>
          <t>ÖVERKALIX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46312</v>
      </c>
      <c r="F288" t="inlineStr">
        <is>
          <t>NORRBOTTENS LÄN</t>
        </is>
      </c>
      <c r="G288" t="inlineStr">
        <is>
          <t>ÖVERKALIX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46312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46312</v>
      </c>
      <c r="F290" t="inlineStr">
        <is>
          <t>NORRBOTTENS LÄN</t>
        </is>
      </c>
      <c r="G290" t="inlineStr">
        <is>
          <t>ÖVERKALIX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46312</v>
      </c>
      <c r="F291" t="inlineStr">
        <is>
          <t>NORRBOTTENS LÄN</t>
        </is>
      </c>
      <c r="G291" t="inlineStr">
        <is>
          <t>ÖVERKALIX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46087</v>
      </c>
      <c r="E292" s="1" t="n">
        <v>46312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46087</v>
      </c>
      <c r="E293" s="1" t="n">
        <v>46312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72623-2021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46312</v>
      </c>
      <c r="F294" t="inlineStr">
        <is>
          <t>NORRBOTTENS LÄN</t>
        </is>
      </c>
      <c r="G294" t="inlineStr">
        <is>
          <t>ÖVERKALIX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46312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45513</v>
      </c>
      <c r="E296" s="1" t="n">
        <v>46312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9.800000000000001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46312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46312</v>
      </c>
      <c r="F298" t="inlineStr">
        <is>
          <t>NORRBOTTENS LÄN</t>
        </is>
      </c>
      <c r="G298" t="inlineStr">
        <is>
          <t>ÖVERKALIX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15011-2026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46312</v>
      </c>
      <c r="F299" t="inlineStr">
        <is>
          <t>NORRBOTTENS LÄN</t>
        </is>
      </c>
      <c r="G299" t="inlineStr">
        <is>
          <t>ÖVERKALIX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45548</v>
      </c>
      <c r="E300" s="1" t="n">
        <v>46312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28210-2026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46196</v>
      </c>
      <c r="E301" s="1" t="n">
        <v>46312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45604</v>
      </c>
      <c r="E302" s="1" t="n">
        <v>46312</v>
      </c>
      <c r="F302" t="inlineStr">
        <is>
          <t>NORRBOTTENS LÄN</t>
        </is>
      </c>
      <c r="G302" t="inlineStr">
        <is>
          <t>ÖVERKALIX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46312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22.8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44938</v>
      </c>
      <c r="E304" s="1" t="n">
        <v>46312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16487-2026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46312</v>
      </c>
      <c r="F305" t="inlineStr">
        <is>
          <t>NORRBOTTENS LÄN</t>
        </is>
      </c>
      <c r="G305" t="inlineStr">
        <is>
          <t>ÖVERKALIX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46312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46312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46312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46312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46312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46312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46312</v>
      </c>
      <c r="F312" t="inlineStr">
        <is>
          <t>NORRBOTTENS LÄN</t>
        </is>
      </c>
      <c r="G312" t="inlineStr">
        <is>
          <t>ÖVERKALIX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46312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18522-2026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46127</v>
      </c>
      <c r="E314" s="1" t="n">
        <v>46312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46312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46133</v>
      </c>
      <c r="E316" s="1" t="n">
        <v>46312</v>
      </c>
      <c r="F316" t="inlineStr">
        <is>
          <t>NORRBOTTENS LÄN</t>
        </is>
      </c>
      <c r="G316" t="inlineStr">
        <is>
          <t>ÖVERKALIX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46312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46312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46134</v>
      </c>
      <c r="E319" s="1" t="n">
        <v>46312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15301-2022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44659</v>
      </c>
      <c r="E320" s="1" t="n">
        <v>46312</v>
      </c>
      <c r="F320" t="inlineStr">
        <is>
          <t>NORRBOTTENS LÄN</t>
        </is>
      </c>
      <c r="G320" t="inlineStr">
        <is>
          <t>ÖVERKALIX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46312</v>
      </c>
      <c r="F321" t="inlineStr">
        <is>
          <t>NORRBOTTENS LÄN</t>
        </is>
      </c>
      <c r="G321" t="inlineStr">
        <is>
          <t>ÖVERKALIX</t>
        </is>
      </c>
      <c r="I321" t="n">
        <v>22.3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45518</v>
      </c>
      <c r="E322" s="1" t="n">
        <v>46312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46312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46312</v>
      </c>
      <c r="F324" t="inlineStr">
        <is>
          <t>NORRBOTTENS LÄN</t>
        </is>
      </c>
      <c r="G324" t="inlineStr">
        <is>
          <t>ÖVERKALIX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46312</v>
      </c>
      <c r="F325" t="inlineStr">
        <is>
          <t>NORRBOTTENS LÄN</t>
        </is>
      </c>
      <c r="G325" t="inlineStr">
        <is>
          <t>ÖVERKALIX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45699</v>
      </c>
      <c r="E326" s="1" t="n">
        <v>46312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28.8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46312</v>
      </c>
      <c r="F327" t="inlineStr">
        <is>
          <t>NORRBOTTENS LÄN</t>
        </is>
      </c>
      <c r="G327" t="inlineStr">
        <is>
          <t>ÖVERKALIX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49473-2023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45205</v>
      </c>
      <c r="E328" s="1" t="n">
        <v>46312</v>
      </c>
      <c r="F328" t="inlineStr">
        <is>
          <t>NORRBOTTENS LÄN</t>
        </is>
      </c>
      <c r="G328" t="inlineStr">
        <is>
          <t>ÖVERKALIX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29927-2026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46205</v>
      </c>
      <c r="E329" s="1" t="n">
        <v>46312</v>
      </c>
      <c r="F329" t="inlineStr">
        <is>
          <t>NORRBOTTENS LÄN</t>
        </is>
      </c>
      <c r="G329" t="inlineStr">
        <is>
          <t>ÖVERKALIX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29937-2026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46205</v>
      </c>
      <c r="E330" s="1" t="n">
        <v>46312</v>
      </c>
      <c r="F330" t="inlineStr">
        <is>
          <t>NORRBOTTENS LÄN</t>
        </is>
      </c>
      <c r="G330" t="inlineStr">
        <is>
          <t>ÖVERKALIX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30326-2026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46207</v>
      </c>
      <c r="E331" s="1" t="n">
        <v>46312</v>
      </c>
      <c r="F331" t="inlineStr">
        <is>
          <t>NORRBOTTENS LÄN</t>
        </is>
      </c>
      <c r="G331" t="inlineStr">
        <is>
          <t>ÖVERKALIX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30327-2026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46207</v>
      </c>
      <c r="E332" s="1" t="n">
        <v>46312</v>
      </c>
      <c r="F332" t="inlineStr">
        <is>
          <t>NORRBOTTENS LÄN</t>
        </is>
      </c>
      <c r="G332" t="inlineStr">
        <is>
          <t>ÖVERKALIX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30328-2026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46207</v>
      </c>
      <c r="E333" s="1" t="n">
        <v>46312</v>
      </c>
      <c r="F333" t="inlineStr">
        <is>
          <t>NORRBOTTENS LÄN</t>
        </is>
      </c>
      <c r="G333" t="inlineStr">
        <is>
          <t>ÖVERKALIX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30019-2026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46312</v>
      </c>
      <c r="F334" t="inlineStr">
        <is>
          <t>NORRBOTTENS LÄN</t>
        </is>
      </c>
      <c r="G334" t="inlineStr">
        <is>
          <t>ÖVERKALIX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46312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30241-2026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46206</v>
      </c>
      <c r="E336" s="1" t="n">
        <v>46312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46312</v>
      </c>
      <c r="F337" t="inlineStr">
        <is>
          <t>NORRBOTTENS LÄN</t>
        </is>
      </c>
      <c r="G337" t="inlineStr">
        <is>
          <t>ÖVERKALIX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46312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17.6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55227-2024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45621</v>
      </c>
      <c r="E339" s="1" t="n">
        <v>46312</v>
      </c>
      <c r="F339" t="inlineStr">
        <is>
          <t>NORRBOTTENS LÄN</t>
        </is>
      </c>
      <c r="G339" t="inlineStr">
        <is>
          <t>ÖVERKALIX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46312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45699</v>
      </c>
      <c r="E341" s="1" t="n">
        <v>46312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18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46312</v>
      </c>
      <c r="F342" t="inlineStr">
        <is>
          <t>NORRBOTTENS LÄN</t>
        </is>
      </c>
      <c r="G342" t="inlineStr">
        <is>
          <t>ÖVERKALIX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46312</v>
      </c>
      <c r="F343" t="inlineStr">
        <is>
          <t>NORRBOTTENS LÄN</t>
        </is>
      </c>
      <c r="G343" t="inlineStr">
        <is>
          <t>ÖVERKALIX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46312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72212-2021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44543</v>
      </c>
      <c r="E345" s="1" t="n">
        <v>46312</v>
      </c>
      <c r="F345" t="inlineStr">
        <is>
          <t>NORRBOTTENS LÄN</t>
        </is>
      </c>
      <c r="G345" t="inlineStr">
        <is>
          <t>ÖVERKALIX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45641</v>
      </c>
      <c r="E346" s="1" t="n">
        <v>46312</v>
      </c>
      <c r="F346" t="inlineStr">
        <is>
          <t>NORRBOTTENS LÄN</t>
        </is>
      </c>
      <c r="G346" t="inlineStr">
        <is>
          <t>ÖVERKALIX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45404</v>
      </c>
      <c r="E347" s="1" t="n">
        <v>46312</v>
      </c>
      <c r="F347" t="inlineStr">
        <is>
          <t>NORRBOTTENS LÄN</t>
        </is>
      </c>
      <c r="G347" t="inlineStr">
        <is>
          <t>ÖVERKALIX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46225</v>
      </c>
      <c r="E348" s="1" t="n">
        <v>46312</v>
      </c>
      <c r="F348" t="inlineStr">
        <is>
          <t>NORRBOTTENS LÄN</t>
        </is>
      </c>
      <c r="G348" t="inlineStr">
        <is>
          <t>ÖVERKALIX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46272</v>
      </c>
      <c r="E349" s="1" t="n">
        <v>46312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20.5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46312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29.9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46230</v>
      </c>
      <c r="E351" s="1" t="n">
        <v>46312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46312</v>
      </c>
      <c r="F352" t="inlineStr">
        <is>
          <t>NORRBOTTENS LÄN</t>
        </is>
      </c>
      <c r="G352" t="inlineStr">
        <is>
          <t>ÖVERKALIX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46312</v>
      </c>
      <c r="F353" t="inlineStr">
        <is>
          <t>NORRBOTTENS LÄN</t>
        </is>
      </c>
      <c r="G353" t="inlineStr">
        <is>
          <t>ÖVERKALIX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46312</v>
      </c>
      <c r="F354" t="inlineStr">
        <is>
          <t>NORRBOTTENS LÄN</t>
        </is>
      </c>
      <c r="G354" t="inlineStr">
        <is>
          <t>ÖVERKALIX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44817</v>
      </c>
      <c r="E355" s="1" t="n">
        <v>46312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8.800000000000001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37683-2026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46278</v>
      </c>
      <c r="E356" s="1" t="n">
        <v>46312</v>
      </c>
      <c r="F356" t="inlineStr">
        <is>
          <t>NORRBOTTENS LÄN</t>
        </is>
      </c>
      <c r="G356" t="inlineStr">
        <is>
          <t>ÖVERKALIX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46281</v>
      </c>
      <c r="E357" s="1" t="n">
        <v>46312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46312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46281</v>
      </c>
      <c r="E359" s="1" t="n">
        <v>46312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8.9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46280</v>
      </c>
      <c r="E360" s="1" t="n">
        <v>46312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46238</v>
      </c>
      <c r="E361" s="1" t="n">
        <v>46312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46312</v>
      </c>
      <c r="F362" t="inlineStr">
        <is>
          <t>NORRBOTTENS LÄN</t>
        </is>
      </c>
      <c r="G362" t="inlineStr">
        <is>
          <t>ÖVERKALIX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46281</v>
      </c>
      <c r="E363" s="1" t="n">
        <v>46312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51058-2024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46312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45693</v>
      </c>
      <c r="E365" s="1" t="n">
        <v>46312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46312</v>
      </c>
      <c r="F366" t="inlineStr">
        <is>
          <t>NORRBOTTENS LÄN</t>
        </is>
      </c>
      <c r="G366" t="inlineStr">
        <is>
          <t>ÖVERKALIX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45621</v>
      </c>
      <c r="E367" s="1" t="n">
        <v>46312</v>
      </c>
      <c r="F367" t="inlineStr">
        <is>
          <t>NORRBOTTENS LÄN</t>
        </is>
      </c>
      <c r="G367" t="inlineStr">
        <is>
          <t>ÖVERKALIX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45744</v>
      </c>
      <c r="E368" s="1" t="n">
        <v>46312</v>
      </c>
      <c r="F368" t="inlineStr">
        <is>
          <t>NORRBOTTENS LÄN</t>
        </is>
      </c>
      <c r="G368" t="inlineStr">
        <is>
          <t>ÖVERKALIX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46287</v>
      </c>
      <c r="E369" s="1" t="n">
        <v>46312</v>
      </c>
      <c r="F369" t="inlineStr">
        <is>
          <t>NORRBOTTENS LÄN</t>
        </is>
      </c>
      <c r="G369" t="inlineStr">
        <is>
          <t>ÖVERKALIX</t>
        </is>
      </c>
      <c r="I369" t="n">
        <v>12.9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46312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46312</v>
      </c>
      <c r="F371" t="inlineStr">
        <is>
          <t>NORRBOTTENS LÄN</t>
        </is>
      </c>
      <c r="G371" t="inlineStr">
        <is>
          <t>ÖVERKALIX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46287</v>
      </c>
      <c r="E372" s="1" t="n">
        <v>46312</v>
      </c>
      <c r="F372" t="inlineStr">
        <is>
          <t>NORRBOTTENS LÄN</t>
        </is>
      </c>
      <c r="G372" t="inlineStr">
        <is>
          <t>ÖVERKALIX</t>
        </is>
      </c>
      <c r="I372" t="n">
        <v>9.5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46312</v>
      </c>
      <c r="F373" t="inlineStr">
        <is>
          <t>NORRBOTTENS LÄN</t>
        </is>
      </c>
      <c r="G373" t="inlineStr">
        <is>
          <t>ÖVERKALIX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19985-2025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45771</v>
      </c>
      <c r="E374" s="1" t="n">
        <v>46312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45268</v>
      </c>
      <c r="E375" s="1" t="n">
        <v>46312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32962-2026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46312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48577-2023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45208</v>
      </c>
      <c r="E377" s="1" t="n">
        <v>46312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38941-2024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46312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46312</v>
      </c>
      <c r="F379" t="inlineStr">
        <is>
          <t>NORRBOTTENS LÄN</t>
        </is>
      </c>
      <c r="G379" t="inlineStr">
        <is>
          <t>ÖVERKALIX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46288</v>
      </c>
      <c r="E380" s="1" t="n">
        <v>46312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46288</v>
      </c>
      <c r="E381" s="1" t="n">
        <v>46312</v>
      </c>
      <c r="F381" t="inlineStr">
        <is>
          <t>NORRBOTTENS LÄN</t>
        </is>
      </c>
      <c r="G381" t="inlineStr">
        <is>
          <t>ÖVERKALIX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33284-2026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46246</v>
      </c>
      <c r="E382" s="1" t="n">
        <v>46312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45153</v>
      </c>
      <c r="E383" s="1" t="n">
        <v>46312</v>
      </c>
      <c r="F383" t="inlineStr">
        <is>
          <t>NORRBOTTENS LÄN</t>
        </is>
      </c>
      <c r="G383" t="inlineStr">
        <is>
          <t>ÖVERKALIX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52976-2024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45611</v>
      </c>
      <c r="E384" s="1" t="n">
        <v>46312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46312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46312</v>
      </c>
      <c r="F386" t="inlineStr">
        <is>
          <t>NORRBOTTENS LÄN</t>
        </is>
      </c>
      <c r="G386" t="inlineStr">
        <is>
          <t>ÖVERKALIX</t>
        </is>
      </c>
      <c r="H386" t="inlineStr">
        <is>
          <t>Övriga statliga verk och myndigheter</t>
        </is>
      </c>
      <c r="I386" t="n">
        <v>38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46312</v>
      </c>
      <c r="F387" t="inlineStr">
        <is>
          <t>NORRBOTTENS LÄN</t>
        </is>
      </c>
      <c r="G387" t="inlineStr">
        <is>
          <t>ÖVERKALIX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40155-2026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46293</v>
      </c>
      <c r="E388" s="1" t="n">
        <v>46312</v>
      </c>
      <c r="F388" t="inlineStr">
        <is>
          <t>NORRBOTTENS LÄN</t>
        </is>
      </c>
      <c r="G388" t="inlineStr">
        <is>
          <t>ÖVERKALIX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45429</v>
      </c>
      <c r="E389" s="1" t="n">
        <v>46312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45593</v>
      </c>
      <c r="E390" s="1" t="n">
        <v>46312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8.199999999999999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46247</v>
      </c>
      <c r="E391" s="1" t="n">
        <v>46312</v>
      </c>
      <c r="F391" t="inlineStr">
        <is>
          <t>NORRBOTTENS LÄN</t>
        </is>
      </c>
      <c r="G391" t="inlineStr">
        <is>
          <t>ÖVERKALIX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45692</v>
      </c>
      <c r="E392" s="1" t="n">
        <v>46312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46290</v>
      </c>
      <c r="E393" s="1" t="n">
        <v>46312</v>
      </c>
      <c r="F393" t="inlineStr">
        <is>
          <t>NORRBOTTENS LÄN</t>
        </is>
      </c>
      <c r="G393" t="inlineStr">
        <is>
          <t>ÖVERKALIX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39658-2025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45890</v>
      </c>
      <c r="E394" s="1" t="n">
        <v>46312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46295</v>
      </c>
      <c r="E395" s="1" t="n">
        <v>46312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33927-2026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46252</v>
      </c>
      <c r="E396" s="1" t="n">
        <v>46312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46312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45693</v>
      </c>
      <c r="E398" s="1" t="n">
        <v>46312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46296</v>
      </c>
      <c r="E399" s="1" t="n">
        <v>46312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27.1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46296</v>
      </c>
      <c r="E400" s="1" t="n">
        <v>46312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32933-2026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46244</v>
      </c>
      <c r="E401" s="1" t="n">
        <v>46312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40980-2026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46297</v>
      </c>
      <c r="E402" s="1" t="n">
        <v>46312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46312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33.7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46254</v>
      </c>
      <c r="E404" s="1" t="n">
        <v>46312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46312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41497-2026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46301</v>
      </c>
      <c r="E406" s="1" t="n">
        <v>46312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41508-2026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46301</v>
      </c>
      <c r="E407" s="1" t="n">
        <v>46312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46301</v>
      </c>
      <c r="E408" s="1" t="n">
        <v>46312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46312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11.5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45782</v>
      </c>
      <c r="E410" s="1" t="n">
        <v>46312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22108-2025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45785</v>
      </c>
      <c r="E411" s="1" t="n">
        <v>46312</v>
      </c>
      <c r="F411" t="inlineStr">
        <is>
          <t>NORRBOTTENS LÄN</t>
        </is>
      </c>
      <c r="G411" t="inlineStr">
        <is>
          <t>ÖVERKALIX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46312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46260</v>
      </c>
      <c r="E413" s="1" t="n">
        <v>46312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46312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35226-2026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46260</v>
      </c>
      <c r="E415" s="1" t="n">
        <v>46312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35191-2026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46260</v>
      </c>
      <c r="E416" s="1" t="n">
        <v>46312</v>
      </c>
      <c r="F416" t="inlineStr">
        <is>
          <t>NORRBOTTENS LÄN</t>
        </is>
      </c>
      <c r="G416" t="inlineStr">
        <is>
          <t>ÖVERKALIX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46312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46312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45793</v>
      </c>
      <c r="E419" s="1" t="n">
        <v>46312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8.5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42152-2026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46304</v>
      </c>
      <c r="E420" s="1" t="n">
        <v>46312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45796</v>
      </c>
      <c r="E421" s="1" t="n">
        <v>46312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46059</v>
      </c>
      <c r="E422" s="1" t="n">
        <v>46312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46307</v>
      </c>
      <c r="E423" s="1" t="n">
        <v>46312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20.1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46312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46312</v>
      </c>
      <c r="F425" t="inlineStr">
        <is>
          <t>NORRBOTTENS LÄN</t>
        </is>
      </c>
      <c r="G425" t="inlineStr">
        <is>
          <t>ÖVERKALIX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42151-2026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46304</v>
      </c>
      <c r="E426" s="1" t="n">
        <v>46312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42109-2026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46304</v>
      </c>
      <c r="E427" s="1" t="n">
        <v>46312</v>
      </c>
      <c r="F427" t="inlineStr">
        <is>
          <t>NORRBOTTENS LÄN</t>
        </is>
      </c>
      <c r="G427" t="inlineStr">
        <is>
          <t>ÖVERKALIX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45803</v>
      </c>
      <c r="E428" s="1" t="n">
        <v>46312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12177-2024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45377</v>
      </c>
      <c r="E429" s="1" t="n">
        <v>46312</v>
      </c>
      <c r="F429" t="inlineStr">
        <is>
          <t>NORRBOTTENS LÄN</t>
        </is>
      </c>
      <c r="G429" t="inlineStr">
        <is>
          <t>ÖVERKALIX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46312</v>
      </c>
      <c r="F430" t="inlineStr">
        <is>
          <t>NORRBOTTENS LÄN</t>
        </is>
      </c>
      <c r="G430" t="inlineStr">
        <is>
          <t>ÖVERKALIX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46312</v>
      </c>
      <c r="F431" t="inlineStr">
        <is>
          <t>NORRBOTTENS LÄN</t>
        </is>
      </c>
      <c r="G431" t="inlineStr">
        <is>
          <t>ÖVERKALIX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46309</v>
      </c>
      <c r="E432" s="1" t="n">
        <v>46312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42490-2026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46308</v>
      </c>
      <c r="E433" s="1" t="n">
        <v>46312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46312</v>
      </c>
      <c r="F434" t="inlineStr">
        <is>
          <t>NORRBOTTENS LÄN</t>
        </is>
      </c>
      <c r="G434" t="inlineStr">
        <is>
          <t>ÖVERKALIX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46312</v>
      </c>
      <c r="F435" t="inlineStr">
        <is>
          <t>NORRBOTTENS LÄN</t>
        </is>
      </c>
      <c r="G435" t="inlineStr">
        <is>
          <t>ÖVERKALIX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45810</v>
      </c>
      <c r="E436" s="1" t="n">
        <v>46312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46312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46312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46312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46312</v>
      </c>
      <c r="F440" t="inlineStr">
        <is>
          <t>NORRBOTTENS LÄN</t>
        </is>
      </c>
      <c r="G440" t="inlineStr">
        <is>
          <t>ÖVERKALIX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46312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45813</v>
      </c>
      <c r="E442" s="1" t="n">
        <v>46312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8.699999999999999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27455-2025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45813</v>
      </c>
      <c r="E443" s="1" t="n">
        <v>46312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46267</v>
      </c>
      <c r="E444" s="1" t="n">
        <v>46312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46312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46269</v>
      </c>
      <c r="E446" s="1" t="n">
        <v>46312</v>
      </c>
      <c r="F446" t="inlineStr">
        <is>
          <t>NORRBOTTENS LÄN</t>
        </is>
      </c>
      <c r="G446" t="inlineStr">
        <is>
          <t>ÖVERKALIX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46312</v>
      </c>
      <c r="F447" t="inlineStr">
        <is>
          <t>NORRBOTTENS LÄN</t>
        </is>
      </c>
      <c r="G447" t="inlineStr">
        <is>
          <t>ÖVERKALIX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45821</v>
      </c>
      <c r="E448" s="1" t="n">
        <v>46312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45820</v>
      </c>
      <c r="E449" s="1" t="n">
        <v>46312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46312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46312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45820</v>
      </c>
      <c r="E452" s="1" t="n">
        <v>46312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46310</v>
      </c>
      <c r="E453" s="1" t="n">
        <v>46312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45825</v>
      </c>
      <c r="E454" s="1" t="n">
        <v>46312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45824</v>
      </c>
      <c r="E455" s="1" t="n">
        <v>46312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46312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45824</v>
      </c>
      <c r="E457" s="1" t="n">
        <v>46312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29213-2025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45824</v>
      </c>
      <c r="E458" s="1" t="n">
        <v>46312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45826</v>
      </c>
      <c r="E459" s="1" t="n">
        <v>46312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45826</v>
      </c>
      <c r="E460" s="1" t="n">
        <v>46312</v>
      </c>
      <c r="F460" t="inlineStr">
        <is>
          <t>NORRBOTTENS LÄN</t>
        </is>
      </c>
      <c r="G460" t="inlineStr">
        <is>
          <t>ÖVERKALIX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46312</v>
      </c>
      <c r="F461" t="inlineStr">
        <is>
          <t>NORRBOTTENS LÄN</t>
        </is>
      </c>
      <c r="G461" t="inlineStr">
        <is>
          <t>ÖVERKALIX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45835</v>
      </c>
      <c r="E462" s="1" t="n">
        <v>46312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46312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31744-2025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45834</v>
      </c>
      <c r="E464" s="1" t="n">
        <v>46312</v>
      </c>
      <c r="F464" t="inlineStr">
        <is>
          <t>NORRBOTTENS LÄN</t>
        </is>
      </c>
      <c r="G464" t="inlineStr">
        <is>
          <t>ÖVERKALIX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45835</v>
      </c>
      <c r="E465" s="1" t="n">
        <v>46312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32636-2025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45838</v>
      </c>
      <c r="E466" s="1" t="n">
        <v>46312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45837</v>
      </c>
      <c r="E467" s="1" t="n">
        <v>46312</v>
      </c>
      <c r="F467" t="inlineStr">
        <is>
          <t>NORRBOTTENS LÄN</t>
        </is>
      </c>
      <c r="G467" t="inlineStr">
        <is>
          <t>ÖVERKALIX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45839</v>
      </c>
      <c r="E468" s="1" t="n">
        <v>46312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9.199999999999999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32535-2025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45838</v>
      </c>
      <c r="E469" s="1" t="n">
        <v>46312</v>
      </c>
      <c r="F469" t="inlineStr">
        <is>
          <t>NORRBOTTENS LÄN</t>
        </is>
      </c>
      <c r="G469" t="inlineStr">
        <is>
          <t>ÖVERKALIX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45837</v>
      </c>
      <c r="E470" s="1" t="n">
        <v>46312</v>
      </c>
      <c r="F470" t="inlineStr">
        <is>
          <t>NORRBOTTENS LÄN</t>
        </is>
      </c>
      <c r="G470" t="inlineStr">
        <is>
          <t>ÖVERKALIX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32377-2025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45837</v>
      </c>
      <c r="E471" s="1" t="n">
        <v>46312</v>
      </c>
      <c r="F471" t="inlineStr">
        <is>
          <t>NORRBOTTENS LÄN</t>
        </is>
      </c>
      <c r="G471" t="inlineStr">
        <is>
          <t>ÖVERKALIX</t>
        </is>
      </c>
      <c r="I471" t="n">
        <v>8.5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46312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45840</v>
      </c>
      <c r="E473" s="1" t="n">
        <v>46312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34128-2025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45845</v>
      </c>
      <c r="E474" s="1" t="n">
        <v>46312</v>
      </c>
      <c r="F474" t="inlineStr">
        <is>
          <t>NORRBOTTENS LÄN</t>
        </is>
      </c>
      <c r="G474" t="inlineStr">
        <is>
          <t>ÖVERKALIX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45869</v>
      </c>
      <c r="E475" s="1" t="n">
        <v>46312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45869</v>
      </c>
      <c r="E476" s="1" t="n">
        <v>46312</v>
      </c>
      <c r="F476" t="inlineStr">
        <is>
          <t>NORRBOTTENS LÄN</t>
        </is>
      </c>
      <c r="G476" t="inlineStr">
        <is>
          <t>ÖVERKALIX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36620-2025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45870</v>
      </c>
      <c r="E477" s="1" t="n">
        <v>46312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45870</v>
      </c>
      <c r="E478" s="1" t="n">
        <v>46312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46312</v>
      </c>
      <c r="F479" t="inlineStr">
        <is>
          <t>NORRBOTTENS LÄN</t>
        </is>
      </c>
      <c r="G479" t="inlineStr">
        <is>
          <t>ÖVERKALIX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45882</v>
      </c>
      <c r="E480" s="1" t="n">
        <v>46312</v>
      </c>
      <c r="F480" t="inlineStr">
        <is>
          <t>NORRBOTTENS LÄN</t>
        </is>
      </c>
      <c r="G480" t="inlineStr">
        <is>
          <t>ÖVERKALIX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38081-2025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46312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13.4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38191-2025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45882</v>
      </c>
      <c r="E482" s="1" t="n">
        <v>46312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SCA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38026-2025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45882</v>
      </c>
      <c r="E483" s="1" t="n">
        <v>46312</v>
      </c>
      <c r="F483" t="inlineStr">
        <is>
          <t>NORRBOTTENS LÄN</t>
        </is>
      </c>
      <c r="G483" t="inlineStr">
        <is>
          <t>ÖVERKALIX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3721-2022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44741</v>
      </c>
      <c r="E484" s="1" t="n">
        <v>46312</v>
      </c>
      <c r="F484" t="inlineStr">
        <is>
          <t>NORRBOTTENS LÄN</t>
        </is>
      </c>
      <c r="G484" t="inlineStr">
        <is>
          <t>ÖVERKALIX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2792-2024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45485</v>
      </c>
      <c r="E485" s="1" t="n">
        <v>46312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2700-2024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45482</v>
      </c>
      <c r="E486" s="1" t="n">
        <v>46312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4734-2024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45607</v>
      </c>
      <c r="E487" s="1" t="n">
        <v>46312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1178-2025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45756</v>
      </c>
      <c r="E488" s="1" t="n">
        <v>46312</v>
      </c>
      <c r="F488" t="inlineStr">
        <is>
          <t>NORRBOTTENS LÄN</t>
        </is>
      </c>
      <c r="G488" t="inlineStr">
        <is>
          <t>ÖVERKALIX</t>
        </is>
      </c>
      <c r="I488" t="n">
        <v>39.9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1667-2025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45800</v>
      </c>
      <c r="E489" s="1" t="n">
        <v>46312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SCA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50-2026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46030</v>
      </c>
      <c r="E490" s="1" t="n">
        <v>46312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Sveaskog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2026-10-17T02:04:01Z</dcterms:created>
  <dcterms:modified xmlns:dcterms="http://purl.org/dc/terms/" xmlns:xsi="http://www.w3.org/2001/XMLSchema-instance" xsi:type="dcterms:W3CDTF">2026-10-17T02:04:02Z</dcterms:modified>
</cp:coreProperties>
</file>