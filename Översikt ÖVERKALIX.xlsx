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46301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46301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46301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46301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46301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46301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46301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46301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46301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46301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46301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46301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46301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46301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46301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46301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46301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30525-2025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45831</v>
      </c>
      <c r="E19" s="1" t="n">
        <v>46301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5.3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Gammelgransskål
Bollvitmossa
Järpe</t>
        </is>
      </c>
      <c r="W19">
        <f>HYPERLINK("https://klasma.github.io/Logging_2513/artfynd/A 30525-2025 artfynd.xlsx", "A 30525-2025")</f>
        <v/>
      </c>
      <c r="X19">
        <f>HYPERLINK("https://klasma.github.io/Logging_2513/kartor/A 30525-2025 karta.png", "A 30525-2025")</f>
        <v/>
      </c>
      <c r="Y19">
        <f>HYPERLINK("https://klasma.github.io/Logging_2513/kartor_geotiff/A 30525-2025 georefererad karta.tif", "A 30525-2025")</f>
        <v/>
      </c>
      <c r="AA19">
        <f>HYPERLINK("https://klasma.github.io/Logging_2513/klagomål/A 30525-2025 FSC-klagomål.docx", "A 30525-2025")</f>
        <v/>
      </c>
      <c r="AB19">
        <f>HYPERLINK("https://klasma.github.io/Logging_2513/klagomålsmail/A 30525-2025 FSC-klagomål mail.docx", "A 30525-2025")</f>
        <v/>
      </c>
      <c r="AC19">
        <f>HYPERLINK("https://klasma.github.io/Logging_2513/tillsyn/A 30525-2025 tillsynsbegäran.docx", "A 30525-2025")</f>
        <v/>
      </c>
      <c r="AD19">
        <f>HYPERLINK("https://klasma.github.io/Logging_2513/tillsynsmail/A 30525-2025 tillsynsbegäran mail.docx", "A 30525-2025")</f>
        <v/>
      </c>
      <c r="AE19">
        <f>HYPERLINK("https://klasma.github.io/Logging_2513/fåglar/A 30525-2025 prioriterade fågelarter.docx", "A 30525-2025")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46301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46301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46301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46301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46301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46301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46301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17802-2025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46301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1.6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Hökuggla
Älg
Tjäder</t>
        </is>
      </c>
      <c r="W27">
        <f>HYPERLINK("https://klasma.github.io/Logging_2513/artfynd/A 17802-2025 artfynd.xlsx", "A 17802-2025")</f>
        <v/>
      </c>
      <c r="X27">
        <f>HYPERLINK("https://klasma.github.io/Logging_2513/kartor/A 17802-2025 karta.png", "A 17802-2025")</f>
        <v/>
      </c>
      <c r="Y27">
        <f>HYPERLINK("https://klasma.github.io/Logging_2513/kartor_geotiff/A 17802-2025 georefererad karta.tif", "A 17802-2025")</f>
        <v/>
      </c>
      <c r="AA27">
        <f>HYPERLINK("https://klasma.github.io/Logging_2513/klagomål/A 17802-2025 FSC-klagomål.docx", "A 17802-2025")</f>
        <v/>
      </c>
      <c r="AB27">
        <f>HYPERLINK("https://klasma.github.io/Logging_2513/klagomålsmail/A 17802-2025 FSC-klagomål mail.docx", "A 17802-2025")</f>
        <v/>
      </c>
      <c r="AC27">
        <f>HYPERLINK("https://klasma.github.io/Logging_2513/tillsyn/A 17802-2025 tillsynsbegäran.docx", "A 17802-2025")</f>
        <v/>
      </c>
      <c r="AD27">
        <f>HYPERLINK("https://klasma.github.io/Logging_2513/tillsynsmail/A 17802-2025 tillsynsbegäran mail.docx", "A 17802-2025")</f>
        <v/>
      </c>
      <c r="AE27">
        <f>HYPERLINK("https://klasma.github.io/Logging_2513/fåglar/A 17802-2025 prioriterade fågelarter.docx", "A 17802-2025")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46301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46301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46301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46301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46301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26452-2025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45807</v>
      </c>
      <c r="E33" s="1" t="n">
        <v>46301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1.2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Stor aspticka</t>
        </is>
      </c>
      <c r="W33">
        <f>HYPERLINK("https://klasma.github.io/Logging_2513/artfynd/A 26452-2025 artfynd.xlsx", "A 26452-2025")</f>
        <v/>
      </c>
      <c r="X33">
        <f>HYPERLINK("https://klasma.github.io/Logging_2513/kartor/A 26452-2025 karta.png", "A 26452-2025")</f>
        <v/>
      </c>
      <c r="Y33">
        <f>HYPERLINK("https://klasma.github.io/Logging_2513/kartor_geotiff/A 26452-2025 georefererad karta.tif", "A 26452-2025")</f>
        <v/>
      </c>
      <c r="AA33">
        <f>HYPERLINK("https://klasma.github.io/Logging_2513/klagomål/A 26452-2025 FSC-klagomål.docx", "A 26452-2025")</f>
        <v/>
      </c>
      <c r="AB33">
        <f>HYPERLINK("https://klasma.github.io/Logging_2513/klagomålsmail/A 26452-2025 FSC-klagomål mail.docx", "A 26452-2025")</f>
        <v/>
      </c>
      <c r="AC33">
        <f>HYPERLINK("https://klasma.github.io/Logging_2513/tillsyn/A 26452-2025 tillsynsbegäran.docx", "A 26452-2025")</f>
        <v/>
      </c>
      <c r="AD33">
        <f>HYPERLINK("https://klasma.github.io/Logging_2513/tillsynsmail/A 26452-2025 tillsynsbegäran mail.docx", "A 26452-2025")</f>
        <v/>
      </c>
    </row>
    <row r="34" ht="15" customHeight="1">
      <c r="A34" t="inlineStr">
        <is>
          <t>A 40116-2025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46301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29.7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5</v>
      </c>
      <c r="U34" t="n">
        <v>3</v>
      </c>
      <c r="V34" s="2" t="inlineStr">
        <is>
          <t>Lunglav
Skrovellav</t>
        </is>
      </c>
      <c r="W34">
        <f>HYPERLINK("https://klasma.github.io/Logging_2513/artfynd/A 40116-2025 artfynd.xlsx", "A 40116-2025")</f>
        <v/>
      </c>
      <c r="X34">
        <f>HYPERLINK("https://klasma.github.io/Logging_2513/kartor/A 40116-2025 karta.png", "A 40116-2025")</f>
        <v/>
      </c>
      <c r="Y34">
        <f>HYPERLINK("https://klasma.github.io/Logging_2513/kartor_geotiff/A 40116-2025 georefererad karta.tif", "A 40116-2025")</f>
        <v/>
      </c>
      <c r="AA34">
        <f>HYPERLINK("https://klasma.github.io/Logging_2513/klagomål/A 40116-2025 FSC-klagomål.docx", "A 40116-2025")</f>
        <v/>
      </c>
      <c r="AB34">
        <f>HYPERLINK("https://klasma.github.io/Logging_2513/klagomålsmail/A 40116-2025 FSC-klagomål mail.docx", "A 40116-2025")</f>
        <v/>
      </c>
      <c r="AC34">
        <f>HYPERLINK("https://klasma.github.io/Logging_2513/tillsyn/A 40116-2025 tillsynsbegäran.docx", "A 40116-2025")</f>
        <v/>
      </c>
      <c r="AD34">
        <f>HYPERLINK("https://klasma.github.io/Logging_2513/tillsynsmail/A 40116-2025 tillsynsbegäran mail.docx", "A 40116-2025")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46301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42285-2025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45904</v>
      </c>
      <c r="E36" s="1" t="n">
        <v>46301</v>
      </c>
      <c r="F36" t="inlineStr">
        <is>
          <t>NORRBOTTENS LÄN</t>
        </is>
      </c>
      <c r="G36" t="inlineStr">
        <is>
          <t>ÖVERKALIX</t>
        </is>
      </c>
      <c r="I36" t="n">
        <v>0.3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Kungsfågel
Vanlig padda</t>
        </is>
      </c>
      <c r="W36">
        <f>HYPERLINK("https://klasma.github.io/Logging_2513/artfynd/A 42285-2025 artfynd.xlsx", "A 42285-2025")</f>
        <v/>
      </c>
      <c r="X36">
        <f>HYPERLINK("https://klasma.github.io/Logging_2513/kartor/A 42285-2025 karta.png", "A 42285-2025")</f>
        <v/>
      </c>
      <c r="Y36">
        <f>HYPERLINK("https://klasma.github.io/Logging_2513/kartor_geotiff/A 42285-2025 georefererad karta.tif", "A 42285-2025")</f>
        <v/>
      </c>
      <c r="AA36">
        <f>HYPERLINK("https://klasma.github.io/Logging_2513/klagomål/A 42285-2025 FSC-klagomål.docx", "A 42285-2025")</f>
        <v/>
      </c>
      <c r="AB36">
        <f>HYPERLINK("https://klasma.github.io/Logging_2513/klagomålsmail/A 42285-2025 FSC-klagomål mail.docx", "A 42285-2025")</f>
        <v/>
      </c>
      <c r="AC36">
        <f>HYPERLINK("https://klasma.github.io/Logging_2513/tillsyn/A 42285-2025 tillsynsbegäran.docx", "A 42285-2025")</f>
        <v/>
      </c>
      <c r="AD36">
        <f>HYPERLINK("https://klasma.github.io/Logging_2513/tillsynsmail/A 42285-2025 tillsynsbegäran mail.docx", "A 42285-2025")</f>
        <v/>
      </c>
    </row>
    <row r="37" ht="15" customHeight="1">
      <c r="A37" t="inlineStr">
        <is>
          <t>A 34921-2025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46301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16.4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Gammelgransskål
Lunglav</t>
        </is>
      </c>
      <c r="W37">
        <f>HYPERLINK("https://klasma.github.io/Logging_2513/artfynd/A 34921-2025 artfynd.xlsx", "A 34921-2025")</f>
        <v/>
      </c>
      <c r="X37">
        <f>HYPERLINK("https://klasma.github.io/Logging_2513/kartor/A 34921-2025 karta.png", "A 34921-2025")</f>
        <v/>
      </c>
      <c r="Y37">
        <f>HYPERLINK("https://klasma.github.io/Logging_2513/kartor_geotiff/A 34921-2025 georefererad karta.tif", "A 34921-2025")</f>
        <v/>
      </c>
      <c r="AA37">
        <f>HYPERLINK("https://klasma.github.io/Logging_2513/klagomål/A 34921-2025 FSC-klagomål.docx", "A 34921-2025")</f>
        <v/>
      </c>
      <c r="AB37">
        <f>HYPERLINK("https://klasma.github.io/Logging_2513/klagomålsmail/A 34921-2025 FSC-klagomål mail.docx", "A 34921-2025")</f>
        <v/>
      </c>
      <c r="AC37">
        <f>HYPERLINK("https://klasma.github.io/Logging_2513/tillsyn/A 34921-2025 tillsynsbegäran.docx", "A 34921-2025")</f>
        <v/>
      </c>
      <c r="AD37">
        <f>HYPERLINK("https://klasma.github.io/Logging_2513/tillsynsmail/A 34921-2025 tillsynsbegäran mail.docx", "A 34921-2025")</f>
        <v/>
      </c>
    </row>
    <row r="38" ht="15" customHeight="1">
      <c r="A38" t="inlineStr">
        <is>
          <t>A 50691-2024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46301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4.2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Vedticka</t>
        </is>
      </c>
      <c r="W38">
        <f>HYPERLINK("https://klasma.github.io/Logging_2513/artfynd/A 50691-2024 artfynd.xlsx", "A 50691-2024")</f>
        <v/>
      </c>
      <c r="X38">
        <f>HYPERLINK("https://klasma.github.io/Logging_2513/kartor/A 50691-2024 karta.png", "A 50691-2024")</f>
        <v/>
      </c>
      <c r="Y38">
        <f>HYPERLINK("https://klasma.github.io/Logging_2513/kartor_geotiff/A 50691-2024 georefererad karta.tif", "A 50691-2024")</f>
        <v/>
      </c>
      <c r="AA38">
        <f>HYPERLINK("https://klasma.github.io/Logging_2513/klagomål/A 50691-2024 FSC-klagomål.docx", "A 50691-2024")</f>
        <v/>
      </c>
      <c r="AB38">
        <f>HYPERLINK("https://klasma.github.io/Logging_2513/klagomålsmail/A 50691-2024 FSC-klagomål mail.docx", "A 50691-2024")</f>
        <v/>
      </c>
      <c r="AC38">
        <f>HYPERLINK("https://klasma.github.io/Logging_2513/tillsyn/A 50691-2024 tillsynsbegäran.docx", "A 50691-2024")</f>
        <v/>
      </c>
      <c r="AD38">
        <f>HYPERLINK("https://klasma.github.io/Logging_2513/tillsynsmail/A 50691-2024 tillsynsbegäran mail.docx", "A 50691-2024")</f>
        <v/>
      </c>
    </row>
    <row r="39" ht="15" customHeight="1">
      <c r="A39" t="inlineStr">
        <is>
          <t>A 14152-2026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46301</v>
      </c>
      <c r="F39" t="inlineStr">
        <is>
          <t>NORRBOTTENS LÄN</t>
        </is>
      </c>
      <c r="G39" t="inlineStr">
        <is>
          <t>ÖVERKALIX</t>
        </is>
      </c>
      <c r="I39" t="n">
        <v>4.6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Källpraktmossa
Spädstarr</t>
        </is>
      </c>
      <c r="W39">
        <f>HYPERLINK("https://klasma.github.io/Logging_2513/artfynd/A 14152-2026 artfynd.xlsx", "A 14152-2026")</f>
        <v/>
      </c>
      <c r="X39">
        <f>HYPERLINK("https://klasma.github.io/Logging_2513/kartor/A 14152-2026 karta.png", "A 14152-2026")</f>
        <v/>
      </c>
      <c r="Y39">
        <f>HYPERLINK("https://klasma.github.io/Logging_2513/kartor_geotiff/A 14152-2026 georefererad karta.tif", "A 14152-2026")</f>
        <v/>
      </c>
      <c r="AA39">
        <f>HYPERLINK("https://klasma.github.io/Logging_2513/klagomål/A 14152-2026 FSC-klagomål.docx", "A 14152-2026")</f>
        <v/>
      </c>
      <c r="AB39">
        <f>HYPERLINK("https://klasma.github.io/Logging_2513/klagomålsmail/A 14152-2026 FSC-klagomål mail.docx", "A 14152-2026")</f>
        <v/>
      </c>
      <c r="AC39">
        <f>HYPERLINK("https://klasma.github.io/Logging_2513/tillsyn/A 14152-2026 tillsynsbegäran.docx", "A 14152-2026")</f>
        <v/>
      </c>
      <c r="AD39">
        <f>HYPERLINK("https://klasma.github.io/Logging_2513/tillsynsmail/A 14152-2026 tillsynsbegäran mail.docx", "A 14152-2026")</f>
        <v/>
      </c>
    </row>
    <row r="40" ht="15" customHeight="1">
      <c r="A40" t="inlineStr">
        <is>
          <t>A 40706-2023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45170</v>
      </c>
      <c r="E40" s="1" t="n">
        <v>46301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7.1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Knärot
Dropptaggsvamp</t>
        </is>
      </c>
      <c r="W40">
        <f>HYPERLINK("https://klasma.github.io/Logging_2513/artfynd/A 40706-2023 artfynd.xlsx", "A 40706-2023")</f>
        <v/>
      </c>
      <c r="X40">
        <f>HYPERLINK("https://klasma.github.io/Logging_2513/kartor/A 40706-2023 karta.png", "A 40706-2023")</f>
        <v/>
      </c>
      <c r="Y40">
        <f>HYPERLINK("https://klasma.github.io/Logging_2513/kartor_geotiff/A 40706-2023 georefererad karta.tif", "A 40706-2023")</f>
        <v/>
      </c>
      <c r="Z40">
        <f>HYPERLINK("https://klasma.github.io/Logging_2513/knärot/A 40706-2023 karta knärot.png", "A 40706-2023")</f>
        <v/>
      </c>
      <c r="AA40">
        <f>HYPERLINK("https://klasma.github.io/Logging_2513/klagomål/A 40706-2023 FSC-klagomål.docx", "A 40706-2023")</f>
        <v/>
      </c>
      <c r="AB40">
        <f>HYPERLINK("https://klasma.github.io/Logging_2513/klagomålsmail/A 40706-2023 FSC-klagomål mail.docx", "A 40706-2023")</f>
        <v/>
      </c>
      <c r="AC40">
        <f>HYPERLINK("https://klasma.github.io/Logging_2513/tillsyn/A 40706-2023 tillsynsbegäran.docx", "A 40706-2023")</f>
        <v/>
      </c>
      <c r="AD40">
        <f>HYPERLINK("https://klasma.github.io/Logging_2513/tillsynsmail/A 40706-2023 tillsynsbegäran mail.docx", "A 40706-2023")</f>
        <v/>
      </c>
    </row>
    <row r="41" ht="15" customHeight="1">
      <c r="A41" t="inlineStr">
        <is>
          <t>A 62951-2025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46301</v>
      </c>
      <c r="F41" t="inlineStr">
        <is>
          <t>NORRBOTTENS LÄN</t>
        </is>
      </c>
      <c r="G41" t="inlineStr">
        <is>
          <t>ÖVERKALIX</t>
        </is>
      </c>
      <c r="H41" t="inlineStr">
        <is>
          <t>SCA</t>
        </is>
      </c>
      <c r="I41" t="n">
        <v>4.2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Ullticka</t>
        </is>
      </c>
      <c r="W41">
        <f>HYPERLINK("https://klasma.github.io/Logging_2513/artfynd/A 62951-2025 artfynd.xlsx", "A 62951-2025")</f>
        <v/>
      </c>
      <c r="X41">
        <f>HYPERLINK("https://klasma.github.io/Logging_2513/kartor/A 62951-2025 karta.png", "A 62951-2025")</f>
        <v/>
      </c>
      <c r="Y41">
        <f>HYPERLINK("https://klasma.github.io/Logging_2513/kartor_geotiff/A 62951-2025 georefererad karta.tif", "A 62951-2025")</f>
        <v/>
      </c>
      <c r="AA41">
        <f>HYPERLINK("https://klasma.github.io/Logging_2513/klagomål/A 62951-2025 FSC-klagomål.docx", "A 62951-2025")</f>
        <v/>
      </c>
      <c r="AB41">
        <f>HYPERLINK("https://klasma.github.io/Logging_2513/klagomålsmail/A 62951-2025 FSC-klagomål mail.docx", "A 62951-2025")</f>
        <v/>
      </c>
      <c r="AC41">
        <f>HYPERLINK("https://klasma.github.io/Logging_2513/tillsyn/A 62951-2025 tillsynsbegäran.docx", "A 62951-2025")</f>
        <v/>
      </c>
      <c r="AD41">
        <f>HYPERLINK("https://klasma.github.io/Logging_2513/tillsynsmail/A 62951-2025 tillsynsbegäran mail.docx", "A 62951-2025")</f>
        <v/>
      </c>
    </row>
    <row r="42" ht="15" customHeight="1">
      <c r="A42" t="inlineStr">
        <is>
          <t>A 47680-2024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46301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Blå taggsvamp
Skarp dropptaggsvamp</t>
        </is>
      </c>
      <c r="W42">
        <f>HYPERLINK("https://klasma.github.io/Logging_2513/artfynd/A 47680-2024 artfynd.xlsx", "A 47680-2024")</f>
        <v/>
      </c>
      <c r="X42">
        <f>HYPERLINK("https://klasma.github.io/Logging_2513/kartor/A 47680-2024 karta.png", "A 47680-2024")</f>
        <v/>
      </c>
      <c r="Y42">
        <f>HYPERLINK("https://klasma.github.io/Logging_2513/kartor_geotiff/A 47680-2024 georefererad karta.tif", "A 47680-2024")</f>
        <v/>
      </c>
      <c r="AA42">
        <f>HYPERLINK("https://klasma.github.io/Logging_2513/klagomål/A 47680-2024 FSC-klagomål.docx", "A 47680-2024")</f>
        <v/>
      </c>
      <c r="AB42">
        <f>HYPERLINK("https://klasma.github.io/Logging_2513/klagomålsmail/A 47680-2024 FSC-klagomål mail.docx", "A 47680-2024")</f>
        <v/>
      </c>
      <c r="AC42">
        <f>HYPERLINK("https://klasma.github.io/Logging_2513/tillsyn/A 47680-2024 tillsynsbegäran.docx", "A 47680-2024")</f>
        <v/>
      </c>
      <c r="AD42">
        <f>HYPERLINK("https://klasma.github.io/Logging_2513/tillsynsmail/A 47680-2024 tillsynsbegäran mail.docx", "A 47680-2024")</f>
        <v/>
      </c>
    </row>
    <row r="43" ht="15" customHeight="1">
      <c r="A43" t="inlineStr">
        <is>
          <t>A 36803-2023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45154</v>
      </c>
      <c r="E43" s="1" t="n">
        <v>46301</v>
      </c>
      <c r="F43" t="inlineStr">
        <is>
          <t>NORRBOTTENS LÄN</t>
        </is>
      </c>
      <c r="G43" t="inlineStr">
        <is>
          <t>ÖVERKALIX</t>
        </is>
      </c>
      <c r="I43" t="n">
        <v>3.1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6</v>
      </c>
      <c r="U43" t="n">
        <v>6</v>
      </c>
      <c r="V43" s="2" t="inlineStr">
        <is>
          <t>Knärot
Revlummer</t>
        </is>
      </c>
      <c r="W43">
        <f>HYPERLINK("https://klasma.github.io/Logging_2513/artfynd/A 36803-2023 artfynd.xlsx", "A 36803-2023")</f>
        <v/>
      </c>
      <c r="X43">
        <f>HYPERLINK("https://klasma.github.io/Logging_2513/kartor/A 36803-2023 karta.png", "A 36803-2023")</f>
        <v/>
      </c>
      <c r="Y43">
        <f>HYPERLINK("https://klasma.github.io/Logging_2513/kartor_geotiff/A 36803-2023 georefererad karta.tif", "A 36803-2023")</f>
        <v/>
      </c>
      <c r="Z43">
        <f>HYPERLINK("https://klasma.github.io/Logging_2513/knärot/A 36803-2023 karta knärot.png", "A 36803-2023")</f>
        <v/>
      </c>
      <c r="AA43">
        <f>HYPERLINK("https://klasma.github.io/Logging_2513/klagomål/A 36803-2023 FSC-klagomål.docx", "A 36803-2023")</f>
        <v/>
      </c>
      <c r="AB43">
        <f>HYPERLINK("https://klasma.github.io/Logging_2513/klagomålsmail/A 36803-2023 FSC-klagomål mail.docx", "A 36803-2023")</f>
        <v/>
      </c>
      <c r="AC43">
        <f>HYPERLINK("https://klasma.github.io/Logging_2513/tillsyn/A 36803-2023 tillsynsbegäran.docx", "A 36803-2023")</f>
        <v/>
      </c>
      <c r="AD43">
        <f>HYPERLINK("https://klasma.github.io/Logging_2513/tillsynsmail/A 36803-2023 tillsynsbegäran mail.docx", "A 36803-2023")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46301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28929-2026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46301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3.9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5</v>
      </c>
      <c r="V45" s="2" t="inlineStr">
        <is>
          <t>Knärot
Fläcknycklar</t>
        </is>
      </c>
      <c r="W45">
        <f>HYPERLINK("https://klasma.github.io/Logging_2513/artfynd/A 28929-2026 artfynd.xlsx", "A 28929-2026")</f>
        <v/>
      </c>
      <c r="X45">
        <f>HYPERLINK("https://klasma.github.io/Logging_2513/kartor/A 28929-2026 karta.png", "A 28929-2026")</f>
        <v/>
      </c>
      <c r="Y45">
        <f>HYPERLINK("https://klasma.github.io/Logging_2513/kartor_geotiff/A 28929-2026 georefererad karta.tif", "A 28929-2026")</f>
        <v/>
      </c>
      <c r="Z45">
        <f>HYPERLINK("https://klasma.github.io/Logging_2513/knärot/A 28929-2026 karta knärot.png", "A 28929-2026")</f>
        <v/>
      </c>
      <c r="AA45">
        <f>HYPERLINK("https://klasma.github.io/Logging_2513/klagomål/A 28929-2026 FSC-klagomål.docx", "A 28929-2026")</f>
        <v/>
      </c>
      <c r="AB45">
        <f>HYPERLINK("https://klasma.github.io/Logging_2513/klagomålsmail/A 28929-2026 FSC-klagomål mail.docx", "A 28929-2026")</f>
        <v/>
      </c>
      <c r="AC45">
        <f>HYPERLINK("https://klasma.github.io/Logging_2513/tillsyn/A 28929-2026 tillsynsbegäran.docx", "A 28929-2026")</f>
        <v/>
      </c>
      <c r="AD45">
        <f>HYPERLINK("https://klasma.github.io/Logging_2513/tillsynsmail/A 28929-2026 tillsynsbegäran mail.docx", "A 28929-2026")</f>
        <v/>
      </c>
    </row>
    <row r="46" ht="15" customHeight="1">
      <c r="A46" t="inlineStr">
        <is>
          <t>A 35594-2026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46301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40.3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7</v>
      </c>
      <c r="U46" t="n">
        <v>4</v>
      </c>
      <c r="V46" s="2" t="inlineStr">
        <is>
          <t>Dropptaggsvamp
Lunglav</t>
        </is>
      </c>
      <c r="W46">
        <f>HYPERLINK("https://klasma.github.io/Logging_2513/artfynd/A 35594-2026 artfynd.xlsx", "A 35594-2026")</f>
        <v/>
      </c>
      <c r="X46">
        <f>HYPERLINK("https://klasma.github.io/Logging_2513/kartor/A 35594-2026 karta.png", "A 35594-2026")</f>
        <v/>
      </c>
      <c r="Y46">
        <f>HYPERLINK("https://klasma.github.io/Logging_2513/kartor_geotiff/A 35594-2026 georefererad karta.tif", "A 35594-2026")</f>
        <v/>
      </c>
      <c r="AA46">
        <f>HYPERLINK("https://klasma.github.io/Logging_2513/klagomål/A 35594-2026 FSC-klagomål.docx", "A 35594-2026")</f>
        <v/>
      </c>
      <c r="AB46">
        <f>HYPERLINK("https://klasma.github.io/Logging_2513/klagomålsmail/A 35594-2026 FSC-klagomål mail.docx", "A 35594-2026")</f>
        <v/>
      </c>
      <c r="AC46">
        <f>HYPERLINK("https://klasma.github.io/Logging_2513/tillsyn/A 35594-2026 tillsynsbegäran.docx", "A 35594-2026")</f>
        <v/>
      </c>
      <c r="AD46">
        <f>HYPERLINK("https://klasma.github.io/Logging_2513/tillsynsmail/A 35594-2026 tillsynsbegäran mail.docx", "A 35594-2026")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46301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A 60509-2021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44496</v>
      </c>
      <c r="E48" s="1" t="n">
        <v>46301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13.5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Stor aspticka
Vedticka</t>
        </is>
      </c>
      <c r="W48">
        <f>HYPERLINK("https://klasma.github.io/Logging_2513/artfynd/A 60509-2021 artfynd.xlsx", "A 60509-2021")</f>
        <v/>
      </c>
      <c r="X48">
        <f>HYPERLINK("https://klasma.github.io/Logging_2513/kartor/A 60509-2021 karta.png", "A 60509-2021")</f>
        <v/>
      </c>
      <c r="Y48">
        <f>HYPERLINK("https://klasma.github.io/Logging_2513/kartor_geotiff/A 60509-2021 georefererad karta.tif", "A 60509-2021")</f>
        <v/>
      </c>
      <c r="AA48">
        <f>HYPERLINK("https://klasma.github.io/Logging_2513/klagomål/A 60509-2021 FSC-klagomål.docx", "A 60509-2021")</f>
        <v/>
      </c>
      <c r="AB48">
        <f>HYPERLINK("https://klasma.github.io/Logging_2513/klagomålsmail/A 60509-2021 FSC-klagomål mail.docx", "A 60509-2021")</f>
        <v/>
      </c>
      <c r="AC48">
        <f>HYPERLINK("https://klasma.github.io/Logging_2513/tillsyn/A 60509-2021 tillsynsbegäran.docx", "A 60509-2021")</f>
        <v/>
      </c>
      <c r="AD48">
        <f>HYPERLINK("https://klasma.github.io/Logging_2513/tillsynsmail/A 60509-2021 tillsynsbegäran mail.docx", "A 60509-2021")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46301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46301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21777-2024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45442</v>
      </c>
      <c r="E51" s="1" t="n">
        <v>46301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30.5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HYPERLINK("https://klasma.github.io/Logging_2513/artfynd/A 21777-2024 artfynd.xlsx", "A 21777-2024")</f>
        <v/>
      </c>
      <c r="X51">
        <f>HYPERLINK("https://klasma.github.io/Logging_2513/kartor/A 21777-2024 karta.png", "A 21777-2024")</f>
        <v/>
      </c>
      <c r="Y51">
        <f>HYPERLINK("https://klasma.github.io/Logging_2513/kartor_geotiff/A 21777-2024 georefererad karta.tif", "A 21777-2024")</f>
        <v/>
      </c>
      <c r="AA51">
        <f>HYPERLINK("https://klasma.github.io/Logging_2513/klagomål/A 21777-2024 FSC-klagomål.docx", "A 21777-2024")</f>
        <v/>
      </c>
      <c r="AB51">
        <f>HYPERLINK("https://klasma.github.io/Logging_2513/klagomålsmail/A 21777-2024 FSC-klagomål mail.docx", "A 21777-2024")</f>
        <v/>
      </c>
      <c r="AC51">
        <f>HYPERLINK("https://klasma.github.io/Logging_2513/tillsyn/A 21777-2024 tillsynsbegäran.docx", "A 21777-2024")</f>
        <v/>
      </c>
      <c r="AD51">
        <f>HYPERLINK("https://klasma.github.io/Logging_2513/tillsynsmail/A 21777-2024 tillsynsbegäran mail.docx", "A 21777-2024")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46301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Luddlav</t>
        </is>
      </c>
      <c r="W52">
        <f>HYPERLINK("https://klasma.github.io/Logging_2513/artfynd/A 26305-2025 artfynd.xlsx", "A 26305-2025")</f>
        <v/>
      </c>
      <c r="X52">
        <f>HYPERLINK("https://klasma.github.io/Logging_2513/kartor/A 26305-2025 karta.png", "A 26305-2025")</f>
        <v/>
      </c>
      <c r="Y52">
        <f>HYPERLINK("https://klasma.github.io/Logging_2513/kartor_geotiff/A 26305-2025 georefererad karta.tif", "A 26305-2025")</f>
        <v/>
      </c>
      <c r="AA52">
        <f>HYPERLINK("https://klasma.github.io/Logging_2513/klagomål/A 26305-2025 FSC-klagomål.docx", "A 26305-2025")</f>
        <v/>
      </c>
      <c r="AB52">
        <f>HYPERLINK("https://klasma.github.io/Logging_2513/klagomålsmail/A 26305-2025 FSC-klagomål mail.docx", "A 26305-2025")</f>
        <v/>
      </c>
      <c r="AC52">
        <f>HYPERLINK("https://klasma.github.io/Logging_2513/tillsyn/A 26305-2025 tillsynsbegäran.docx", "A 26305-2025")</f>
        <v/>
      </c>
      <c r="AD52">
        <f>HYPERLINK("https://klasma.github.io/Logging_2513/tillsynsmail/A 26305-2025 tillsynsbegäran mail.docx", "A 26305-2025")</f>
        <v/>
      </c>
    </row>
    <row r="53" ht="15" customHeight="1">
      <c r="A53" t="inlineStr">
        <is>
          <t>A 27452-2025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46301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HYPERLINK("https://klasma.github.io/Logging_2513/artfynd/A 27452-2025 artfynd.xlsx", "A 27452-2025")</f>
        <v/>
      </c>
      <c r="X53">
        <f>HYPERLINK("https://klasma.github.io/Logging_2513/kartor/A 27452-2025 karta.png", "A 27452-2025")</f>
        <v/>
      </c>
      <c r="Y53">
        <f>HYPERLINK("https://klasma.github.io/Logging_2513/kartor_geotiff/A 27452-2025 georefererad karta.tif", "A 27452-2025")</f>
        <v/>
      </c>
      <c r="AA53">
        <f>HYPERLINK("https://klasma.github.io/Logging_2513/klagomål/A 27452-2025 FSC-klagomål.docx", "A 27452-2025")</f>
        <v/>
      </c>
      <c r="AB53">
        <f>HYPERLINK("https://klasma.github.io/Logging_2513/klagomålsmail/A 27452-2025 FSC-klagomål mail.docx", "A 27452-2025")</f>
        <v/>
      </c>
      <c r="AC53">
        <f>HYPERLINK("https://klasma.github.io/Logging_2513/tillsyn/A 27452-2025 tillsynsbegäran.docx", "A 27452-2025")</f>
        <v/>
      </c>
      <c r="AD53">
        <f>HYPERLINK("https://klasma.github.io/Logging_2513/tillsynsmail/A 27452-2025 tillsynsbegäran mail.docx", "A 27452-2025")</f>
        <v/>
      </c>
      <c r="AE53">
        <f>HYPERLINK("https://klasma.github.io/Logging_2513/fåglar/A 27452-2025 prioriterade fågelarter.docx", "A 27452-2025")</f>
        <v/>
      </c>
    </row>
    <row r="54" ht="15" customHeight="1">
      <c r="A54" t="inlineStr">
        <is>
          <t>A 35602-2025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45859</v>
      </c>
      <c r="E54" s="1" t="n">
        <v>46301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HYPERLINK("https://klasma.github.io/Logging_2513/artfynd/A 35602-2025 artfynd.xlsx", "A 35602-2025")</f>
        <v/>
      </c>
      <c r="X54">
        <f>HYPERLINK("https://klasma.github.io/Logging_2513/kartor/A 35602-2025 karta.png", "A 35602-2025")</f>
        <v/>
      </c>
      <c r="Y54">
        <f>HYPERLINK("https://klasma.github.io/Logging_2513/kartor_geotiff/A 35602-2025 georefererad karta.tif", "A 35602-2025")</f>
        <v/>
      </c>
      <c r="AA54">
        <f>HYPERLINK("https://klasma.github.io/Logging_2513/klagomål/A 35602-2025 FSC-klagomål.docx", "A 35602-2025")</f>
        <v/>
      </c>
      <c r="AB54">
        <f>HYPERLINK("https://klasma.github.io/Logging_2513/klagomålsmail/A 35602-2025 FSC-klagomål mail.docx", "A 35602-2025")</f>
        <v/>
      </c>
      <c r="AC54">
        <f>HYPERLINK("https://klasma.github.io/Logging_2513/tillsyn/A 35602-2025 tillsynsbegäran.docx", "A 35602-2025")</f>
        <v/>
      </c>
      <c r="AD54">
        <f>HYPERLINK("https://klasma.github.io/Logging_2513/tillsynsmail/A 35602-2025 tillsynsbegäran mail.docx", "A 35602-2025")</f>
        <v/>
      </c>
    </row>
    <row r="55" ht="15" customHeight="1">
      <c r="A55" t="inlineStr">
        <is>
          <t>A 22977-2022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44717</v>
      </c>
      <c r="E55" s="1" t="n">
        <v>46301</v>
      </c>
      <c r="F55" t="inlineStr">
        <is>
          <t>NORRBOTTENS LÄN</t>
        </is>
      </c>
      <c r="G55" t="inlineStr">
        <is>
          <t>ÖVERKALIX</t>
        </is>
      </c>
      <c r="I55" t="n">
        <v>19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Bivråk</t>
        </is>
      </c>
      <c r="W55">
        <f>HYPERLINK("https://klasma.github.io/Logging_2513/artfynd/A 22977-2022 artfynd.xlsx", "A 22977-2022")</f>
        <v/>
      </c>
      <c r="X55">
        <f>HYPERLINK("https://klasma.github.io/Logging_2513/kartor/A 22977-2022 karta.png", "A 22977-2022")</f>
        <v/>
      </c>
      <c r="Y55">
        <f>HYPERLINK("https://klasma.github.io/Logging_2513/kartor_geotiff/A 22977-2022 georefererad karta.tif", "A 22977-2022")</f>
        <v/>
      </c>
      <c r="AA55">
        <f>HYPERLINK("https://klasma.github.io/Logging_2513/klagomål/A 22977-2022 FSC-klagomål.docx", "A 22977-2022")</f>
        <v/>
      </c>
      <c r="AB55">
        <f>HYPERLINK("https://klasma.github.io/Logging_2513/klagomålsmail/A 22977-2022 FSC-klagomål mail.docx", "A 22977-2022")</f>
        <v/>
      </c>
      <c r="AC55">
        <f>HYPERLINK("https://klasma.github.io/Logging_2513/tillsyn/A 22977-2022 tillsynsbegäran.docx", "A 22977-2022")</f>
        <v/>
      </c>
      <c r="AD55">
        <f>HYPERLINK("https://klasma.github.io/Logging_2513/tillsynsmail/A 22977-2022 tillsynsbegäran mail.docx", "A 22977-2022")</f>
        <v/>
      </c>
      <c r="AE55">
        <f>HYPERLINK("https://klasma.github.io/Logging_2513/fåglar/A 22977-2022 prioriterade fågelarter.docx", "A 22977-2022")</f>
        <v/>
      </c>
    </row>
    <row r="56" ht="15" customHeight="1">
      <c r="A56" t="inlineStr">
        <is>
          <t>A 37532-2022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46301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 taggsvamp</t>
        </is>
      </c>
      <c r="W56">
        <f>HYPERLINK("https://klasma.github.io/Logging_2513/artfynd/A 37532-2022 artfynd.xlsx", "A 37532-2022")</f>
        <v/>
      </c>
      <c r="X56">
        <f>HYPERLINK("https://klasma.github.io/Logging_2513/kartor/A 37532-2022 karta.png", "A 37532-2022")</f>
        <v/>
      </c>
      <c r="Y56">
        <f>HYPERLINK("https://klasma.github.io/Logging_2513/kartor_geotiff/A 37532-2022 georefererad karta.tif", "A 37532-2022")</f>
        <v/>
      </c>
      <c r="AA56">
        <f>HYPERLINK("https://klasma.github.io/Logging_2513/klagomål/A 37532-2022 FSC-klagomål.docx", "A 37532-2022")</f>
        <v/>
      </c>
      <c r="AB56">
        <f>HYPERLINK("https://klasma.github.io/Logging_2513/klagomålsmail/A 37532-2022 FSC-klagomål mail.docx", "A 37532-2022")</f>
        <v/>
      </c>
      <c r="AC56">
        <f>HYPERLINK("https://klasma.github.io/Logging_2513/tillsyn/A 37532-2022 tillsynsbegäran.docx", "A 37532-2022")</f>
        <v/>
      </c>
      <c r="AD56">
        <f>HYPERLINK("https://klasma.github.io/Logging_2513/tillsynsmail/A 37532-2022 tillsynsbegäran mail.docx", "A 37532-2022")</f>
        <v/>
      </c>
    </row>
    <row r="57" ht="15" customHeight="1">
      <c r="A57" t="inlineStr">
        <is>
          <t>A 71902-2021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46301</v>
      </c>
      <c r="F57" t="inlineStr">
        <is>
          <t>NORRBOTTENS LÄN</t>
        </is>
      </c>
      <c r="G57" t="inlineStr">
        <is>
          <t>ÖVERKALIX</t>
        </is>
      </c>
      <c r="I57" t="n">
        <v>24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HYPERLINK("https://klasma.github.io/Logging_2513/artfynd/A 71902-2021 artfynd.xlsx", "A 71902-2021")</f>
        <v/>
      </c>
      <c r="X57">
        <f>HYPERLINK("https://klasma.github.io/Logging_2513/kartor/A 71902-2021 karta.png", "A 71902-2021")</f>
        <v/>
      </c>
      <c r="Y57">
        <f>HYPERLINK("https://klasma.github.io/Logging_2513/kartor_geotiff/A 71902-2021 georefererad karta.tif", "A 71902-2021")</f>
        <v/>
      </c>
      <c r="AA57">
        <f>HYPERLINK("https://klasma.github.io/Logging_2513/klagomål/A 71902-2021 FSC-klagomål.docx", "A 71902-2021")</f>
        <v/>
      </c>
      <c r="AB57">
        <f>HYPERLINK("https://klasma.github.io/Logging_2513/klagomålsmail/A 71902-2021 FSC-klagomål mail.docx", "A 71902-2021")</f>
        <v/>
      </c>
      <c r="AC57">
        <f>HYPERLINK("https://klasma.github.io/Logging_2513/tillsyn/A 71902-2021 tillsynsbegäran.docx", "A 71902-2021")</f>
        <v/>
      </c>
      <c r="AD57">
        <f>HYPERLINK("https://klasma.github.io/Logging_2513/tillsynsmail/A 71902-2021 tillsynsbegäran mail.docx", "A 71902-2021")</f>
        <v/>
      </c>
      <c r="AE57">
        <f>HYPERLINK("https://klasma.github.io/Logging_2513/fåglar/A 71902-2021 prioriterade fågelarter.docx", "A 71902-2021")</f>
        <v/>
      </c>
    </row>
    <row r="58" ht="15" customHeight="1">
      <c r="A58" t="inlineStr">
        <is>
          <t>A 27087-2026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46187</v>
      </c>
      <c r="E58" s="1" t="n">
        <v>46301</v>
      </c>
      <c r="F58" t="inlineStr">
        <is>
          <t>NORRBOTTENS LÄN</t>
        </is>
      </c>
      <c r="G58" t="inlineStr">
        <is>
          <t>ÖVERKALIX</t>
        </is>
      </c>
      <c r="H58" t="inlineStr">
        <is>
          <t>SCA</t>
        </is>
      </c>
      <c r="I58" t="n">
        <v>5.1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HYPERLINK("https://klasma.github.io/Logging_2513/artfynd/A 27087-2026 artfynd.xlsx", "A 27087-2026")</f>
        <v/>
      </c>
      <c r="X58">
        <f>HYPERLINK("https://klasma.github.io/Logging_2513/kartor/A 27087-2026 karta.png", "A 27087-2026")</f>
        <v/>
      </c>
      <c r="Y58">
        <f>HYPERLINK("https://klasma.github.io/Logging_2513/kartor_geotiff/A 27087-2026 georefererad karta.tif", "A 27087-2026")</f>
        <v/>
      </c>
      <c r="AA58">
        <f>HYPERLINK("https://klasma.github.io/Logging_2513/klagomål/A 27087-2026 FSC-klagomål.docx", "A 27087-2026")</f>
        <v/>
      </c>
      <c r="AB58">
        <f>HYPERLINK("https://klasma.github.io/Logging_2513/klagomålsmail/A 27087-2026 FSC-klagomål mail.docx", "A 27087-2026")</f>
        <v/>
      </c>
      <c r="AC58">
        <f>HYPERLINK("https://klasma.github.io/Logging_2513/tillsyn/A 27087-2026 tillsynsbegäran.docx", "A 27087-2026")</f>
        <v/>
      </c>
      <c r="AD58">
        <f>HYPERLINK("https://klasma.github.io/Logging_2513/tillsynsmail/A 27087-2026 tillsynsbegäran mail.docx", "A 27087-2026")</f>
        <v/>
      </c>
      <c r="AE58">
        <f>HYPERLINK("https://klasma.github.io/Logging_2513/fåglar/A 27087-2026 prioriterade fågelarter.docx", "A 27087-2026")</f>
        <v/>
      </c>
    </row>
    <row r="59" ht="15" customHeight="1">
      <c r="A59" t="inlineStr">
        <is>
          <t>A 20949-2026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46142</v>
      </c>
      <c r="E59" s="1" t="n">
        <v>46301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9.1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HYPERLINK("https://klasma.github.io/Logging_2513/artfynd/A 20949-2026 artfynd.xlsx", "A 20949-2026")</f>
        <v/>
      </c>
      <c r="X59">
        <f>HYPERLINK("https://klasma.github.io/Logging_2513/kartor/A 20949-2026 karta.png", "A 20949-2026")</f>
        <v/>
      </c>
      <c r="Y59">
        <f>HYPERLINK("https://klasma.github.io/Logging_2513/kartor_geotiff/A 20949-2026 georefererad karta.tif", "A 20949-2026")</f>
        <v/>
      </c>
      <c r="AA59">
        <f>HYPERLINK("https://klasma.github.io/Logging_2513/klagomål/A 20949-2026 FSC-klagomål.docx", "A 20949-2026")</f>
        <v/>
      </c>
      <c r="AB59">
        <f>HYPERLINK("https://klasma.github.io/Logging_2513/klagomålsmail/A 20949-2026 FSC-klagomål mail.docx", "A 20949-2026")</f>
        <v/>
      </c>
      <c r="AC59">
        <f>HYPERLINK("https://klasma.github.io/Logging_2513/tillsyn/A 20949-2026 tillsynsbegäran.docx", "A 20949-2026")</f>
        <v/>
      </c>
      <c r="AD59">
        <f>HYPERLINK("https://klasma.github.io/Logging_2513/tillsynsmail/A 20949-2026 tillsynsbegäran mail.docx", "A 20949-2026")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46301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8407-2025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45709</v>
      </c>
      <c r="E61" s="1" t="n">
        <v>46301</v>
      </c>
      <c r="F61" t="inlineStr">
        <is>
          <t>NORRBOTTENS LÄN</t>
        </is>
      </c>
      <c r="G61" t="inlineStr">
        <is>
          <t>ÖVERKALIX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Tallbit</t>
        </is>
      </c>
      <c r="W61">
        <f>HYPERLINK("https://klasma.github.io/Logging_2513/artfynd/A 8407-2025 artfynd.xlsx", "A 8407-2025")</f>
        <v/>
      </c>
      <c r="X61">
        <f>HYPERLINK("https://klasma.github.io/Logging_2513/kartor/A 8407-2025 karta.png", "A 8407-2025")</f>
        <v/>
      </c>
      <c r="Y61">
        <f>HYPERLINK("https://klasma.github.io/Logging_2513/kartor_geotiff/A 8407-2025 georefererad karta.tif", "A 8407-2025")</f>
        <v/>
      </c>
      <c r="AA61">
        <f>HYPERLINK("https://klasma.github.io/Logging_2513/klagomål/A 8407-2025 FSC-klagomål.docx", "A 8407-2025")</f>
        <v/>
      </c>
      <c r="AB61">
        <f>HYPERLINK("https://klasma.github.io/Logging_2513/klagomålsmail/A 8407-2025 FSC-klagomål mail.docx", "A 8407-2025")</f>
        <v/>
      </c>
      <c r="AC61">
        <f>HYPERLINK("https://klasma.github.io/Logging_2513/tillsyn/A 8407-2025 tillsynsbegäran.docx", "A 8407-2025")</f>
        <v/>
      </c>
      <c r="AD61">
        <f>HYPERLINK("https://klasma.github.io/Logging_2513/tillsynsmail/A 8407-2025 tillsynsbegäran mail.docx", "A 8407-2025")</f>
        <v/>
      </c>
      <c r="AE61">
        <f>HYPERLINK("https://klasma.github.io/Logging_2513/fåglar/A 8407-2025 prioriterade fågelarter.docx", "A 8407-2025")</f>
        <v/>
      </c>
    </row>
    <row r="62" ht="15" customHeight="1">
      <c r="A62" t="inlineStr">
        <is>
          <t>A 7234-2023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44970</v>
      </c>
      <c r="E62" s="1" t="n">
        <v>46301</v>
      </c>
      <c r="F62" t="inlineStr">
        <is>
          <t>NORRBOTTENS LÄN</t>
        </is>
      </c>
      <c r="G62" t="inlineStr">
        <is>
          <t>ÖVERKALIX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Spillkråka</t>
        </is>
      </c>
      <c r="W62">
        <f>HYPERLINK("https://klasma.github.io/Logging_2513/artfynd/A 7234-2023 artfynd.xlsx", "A 7234-2023")</f>
        <v/>
      </c>
      <c r="X62">
        <f>HYPERLINK("https://klasma.github.io/Logging_2513/kartor/A 7234-2023 karta.png", "A 7234-2023")</f>
        <v/>
      </c>
      <c r="Y62">
        <f>HYPERLINK("https://klasma.github.io/Logging_2513/kartor_geotiff/A 7234-2023 georefererad karta.tif", "A 7234-2023")</f>
        <v/>
      </c>
      <c r="AA62">
        <f>HYPERLINK("https://klasma.github.io/Logging_2513/klagomål/A 7234-2023 FSC-klagomål.docx", "A 7234-2023")</f>
        <v/>
      </c>
      <c r="AB62">
        <f>HYPERLINK("https://klasma.github.io/Logging_2513/klagomålsmail/A 7234-2023 FSC-klagomål mail.docx", "A 7234-2023")</f>
        <v/>
      </c>
      <c r="AC62">
        <f>HYPERLINK("https://klasma.github.io/Logging_2513/tillsyn/A 7234-2023 tillsynsbegäran.docx", "A 7234-2023")</f>
        <v/>
      </c>
      <c r="AD62">
        <f>HYPERLINK("https://klasma.github.io/Logging_2513/tillsynsmail/A 7234-2023 tillsynsbegäran mail.docx", "A 7234-2023")</f>
        <v/>
      </c>
      <c r="AE62">
        <f>HYPERLINK("https://klasma.github.io/Logging_2513/fåglar/A 7234-2023 prioriterade fågelarter.docx", "A 7234-2023")</f>
        <v/>
      </c>
    </row>
    <row r="63" ht="15" customHeight="1">
      <c r="A63" t="inlineStr">
        <is>
          <t>A 46280-2024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45581</v>
      </c>
      <c r="E63" s="1" t="n">
        <v>46301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HYPERLINK("https://klasma.github.io/Logging_2513/artfynd/A 46280-2024 artfynd.xlsx", "A 46280-2024")</f>
        <v/>
      </c>
      <c r="X63">
        <f>HYPERLINK("https://klasma.github.io/Logging_2513/kartor/A 46280-2024 karta.png", "A 46280-2024")</f>
        <v/>
      </c>
      <c r="Y63">
        <f>HYPERLINK("https://klasma.github.io/Logging_2513/kartor_geotiff/A 46280-2024 georefererad karta.tif", "A 46280-2024")</f>
        <v/>
      </c>
      <c r="AA63">
        <f>HYPERLINK("https://klasma.github.io/Logging_2513/klagomål/A 46280-2024 FSC-klagomål.docx", "A 46280-2024")</f>
        <v/>
      </c>
      <c r="AB63">
        <f>HYPERLINK("https://klasma.github.io/Logging_2513/klagomålsmail/A 46280-2024 FSC-klagomål mail.docx", "A 46280-2024")</f>
        <v/>
      </c>
      <c r="AC63">
        <f>HYPERLINK("https://klasma.github.io/Logging_2513/tillsyn/A 46280-2024 tillsynsbegäran.docx", "A 46280-2024")</f>
        <v/>
      </c>
      <c r="AD63">
        <f>HYPERLINK("https://klasma.github.io/Logging_2513/tillsynsmail/A 46280-2024 tillsynsbegäran mail.docx", "A 46280-2024")</f>
        <v/>
      </c>
      <c r="AE63">
        <f>HYPERLINK("https://klasma.github.io/Logging_2513/fåglar/A 46280-2024 prioriterade fågelarter.docx", "A 46280-2024")</f>
        <v/>
      </c>
    </row>
    <row r="64" ht="15" customHeight="1">
      <c r="A64" t="inlineStr">
        <is>
          <t>A 46281-2024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46301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1.2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 taggsvamp</t>
        </is>
      </c>
      <c r="W64">
        <f>HYPERLINK("https://klasma.github.io/Logging_2513/artfynd/A 46281-2024 artfynd.xlsx", "A 46281-2024")</f>
        <v/>
      </c>
      <c r="X64">
        <f>HYPERLINK("https://klasma.github.io/Logging_2513/kartor/A 46281-2024 karta.png", "A 46281-2024")</f>
        <v/>
      </c>
      <c r="Y64">
        <f>HYPERLINK("https://klasma.github.io/Logging_2513/kartor_geotiff/A 46281-2024 georefererad karta.tif", "A 46281-2024")</f>
        <v/>
      </c>
      <c r="AA64">
        <f>HYPERLINK("https://klasma.github.io/Logging_2513/klagomål/A 46281-2024 FSC-klagomål.docx", "A 46281-2024")</f>
        <v/>
      </c>
      <c r="AB64">
        <f>HYPERLINK("https://klasma.github.io/Logging_2513/klagomålsmail/A 46281-2024 FSC-klagomål mail.docx", "A 46281-2024")</f>
        <v/>
      </c>
      <c r="AC64">
        <f>HYPERLINK("https://klasma.github.io/Logging_2513/tillsyn/A 46281-2024 tillsynsbegäran.docx", "A 46281-2024")</f>
        <v/>
      </c>
      <c r="AD64">
        <f>HYPERLINK("https://klasma.github.io/Logging_2513/tillsynsmail/A 46281-2024 tillsynsbegäran mail.docx", "A 46281-2024")</f>
        <v/>
      </c>
    </row>
    <row r="65" ht="15" customHeight="1">
      <c r="A65" t="inlineStr">
        <is>
          <t>A 31920-2026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46231</v>
      </c>
      <c r="E65" s="1" t="n">
        <v>46301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3.8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HYPERLINK("https://klasma.github.io/Logging_2513/artfynd/A 31920-2026 artfynd.xlsx", "A 31920-2026")</f>
        <v/>
      </c>
      <c r="X65">
        <f>HYPERLINK("https://klasma.github.io/Logging_2513/kartor/A 31920-2026 karta.png", "A 31920-2026")</f>
        <v/>
      </c>
      <c r="Y65">
        <f>HYPERLINK("https://klasma.github.io/Logging_2513/kartor_geotiff/A 31920-2026 georefererad karta.tif", "A 31920-2026")</f>
        <v/>
      </c>
      <c r="AA65">
        <f>HYPERLINK("https://klasma.github.io/Logging_2513/klagomål/A 31920-2026 FSC-klagomål.docx", "A 31920-2026")</f>
        <v/>
      </c>
      <c r="AB65">
        <f>HYPERLINK("https://klasma.github.io/Logging_2513/klagomålsmail/A 31920-2026 FSC-klagomål mail.docx", "A 31920-2026")</f>
        <v/>
      </c>
      <c r="AC65">
        <f>HYPERLINK("https://klasma.github.io/Logging_2513/tillsyn/A 31920-2026 tillsynsbegäran.docx", "A 31920-2026")</f>
        <v/>
      </c>
      <c r="AD65">
        <f>HYPERLINK("https://klasma.github.io/Logging_2513/tillsynsmail/A 31920-2026 tillsynsbegäran mail.docx", "A 31920-2026")</f>
        <v/>
      </c>
    </row>
    <row r="66" ht="15" customHeight="1">
      <c r="A66" t="inlineStr">
        <is>
          <t>S 4190-2024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45579</v>
      </c>
      <c r="E66" s="1" t="n">
        <v>46301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14</v>
      </c>
      <c r="U66" t="n">
        <v>0</v>
      </c>
      <c r="V66" s="2" t="inlineStr">
        <is>
          <t>Lunglav</t>
        </is>
      </c>
      <c r="W66">
        <f>HYPERLINK("https://klasma.github.io/Logging_2513/artfynd/S 4190-2024 artfynd.xlsx", "S 4190-2024")</f>
        <v/>
      </c>
      <c r="X66">
        <f>HYPERLINK("https://klasma.github.io/Logging_2513/kartor/S 4190-2024 karta.png", "S 4190-2024")</f>
        <v/>
      </c>
      <c r="Y66">
        <f>HYPERLINK("https://klasma.github.io/Logging_2513/kartor_geotiff/S 4190-2024 georefererad karta.tif", "S 4190-2024")</f>
        <v/>
      </c>
      <c r="AA66">
        <f>HYPERLINK("https://klasma.github.io/Logging_2513/klagomål/S 4190-2024 FSC-klagomål.docx", "S 4190-2024")</f>
        <v/>
      </c>
      <c r="AB66">
        <f>HYPERLINK("https://klasma.github.io/Logging_2513/klagomålsmail/S 4190-2024 FSC-klagomål mail.docx", "S 4190-2024")</f>
        <v/>
      </c>
      <c r="AC66">
        <f>HYPERLINK("https://klasma.github.io/Logging_2513/tillsyn/S 4190-2024 tillsynsbegäran.docx", "S 4190-2024")</f>
        <v/>
      </c>
      <c r="AD66">
        <f>HYPERLINK("https://klasma.github.io/Logging_2513/tillsynsmail/S 4190-2024 tillsynsbegäran mail.docx", "S 4190-2024")</f>
        <v/>
      </c>
    </row>
    <row r="67" ht="15" customHeight="1">
      <c r="A67" t="inlineStr">
        <is>
          <t>S 1156-2024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45394</v>
      </c>
      <c r="E67" s="1" t="n">
        <v>46301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491.9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Sävsparv</t>
        </is>
      </c>
      <c r="W67">
        <f>HYPERLINK("https://klasma.github.io/Logging_2513/artfynd/S 1156-2024 artfynd.xlsx", "S 1156-2024")</f>
        <v/>
      </c>
      <c r="X67">
        <f>HYPERLINK("https://klasma.github.io/Logging_2513/kartor/S 1156-2024 karta.png", "S 1156-2024")</f>
        <v/>
      </c>
      <c r="Y67">
        <f>HYPERLINK("https://klasma.github.io/Logging_2513/kartor_geotiff/S 1156-2024 georefererad karta.tif", "S 1156-2024")</f>
        <v/>
      </c>
      <c r="AA67">
        <f>HYPERLINK("https://klasma.github.io/Logging_2513/klagomål/S 1156-2024 FSC-klagomål.docx", "S 1156-2024")</f>
        <v/>
      </c>
      <c r="AB67">
        <f>HYPERLINK("https://klasma.github.io/Logging_2513/klagomålsmail/S 1156-2024 FSC-klagomål mail.docx", "S 1156-2024")</f>
        <v/>
      </c>
      <c r="AC67">
        <f>HYPERLINK("https://klasma.github.io/Logging_2513/tillsyn/S 1156-2024 tillsynsbegäran.docx", "S 1156-2024")</f>
        <v/>
      </c>
      <c r="AD67">
        <f>HYPERLINK("https://klasma.github.io/Logging_2513/tillsynsmail/S 1156-2024 tillsynsbegäran mail.docx", "S 1156-2024")</f>
        <v/>
      </c>
      <c r="AE67">
        <f>HYPERLINK("https://klasma.github.io/Logging_2513/fåglar/S 1156-2024 prioriterade fågelarter.docx", "S 1156-2024")</f>
        <v/>
      </c>
    </row>
    <row r="68" ht="15" customHeight="1">
      <c r="A68" t="inlineStr">
        <is>
          <t>A 3174-2022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44582</v>
      </c>
      <c r="E68" s="1" t="n">
        <v>46301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46301</v>
      </c>
      <c r="F69" t="inlineStr">
        <is>
          <t>NORRBOTTENS LÄN</t>
        </is>
      </c>
      <c r="G69" t="inlineStr">
        <is>
          <t>ÖVERKALIX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46301</v>
      </c>
      <c r="F70" t="inlineStr">
        <is>
          <t>NORRBOTTENS LÄN</t>
        </is>
      </c>
      <c r="G70" t="inlineStr">
        <is>
          <t>ÖVERKALIX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73757-2021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46301</v>
      </c>
      <c r="F71" t="inlineStr">
        <is>
          <t>NORRBOTTENS LÄN</t>
        </is>
      </c>
      <c r="G71" t="inlineStr">
        <is>
          <t>ÖVERKALIX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21847-2022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46301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44717</v>
      </c>
      <c r="E73" s="1" t="n">
        <v>46301</v>
      </c>
      <c r="F73" t="inlineStr">
        <is>
          <t>NORRBOTTENS LÄN</t>
        </is>
      </c>
      <c r="G73" t="inlineStr">
        <is>
          <t>ÖVERKALIX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46301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46301</v>
      </c>
      <c r="F75" t="inlineStr">
        <is>
          <t>NORRBOTTENS LÄN</t>
        </is>
      </c>
      <c r="G75" t="inlineStr">
        <is>
          <t>ÖVERKALIX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HYPERLINK("https://klasma.github.io/Logging_2513/knärot/A 29706-2022 karta knärot.png", "A 29706-2022")</f>
        <v/>
      </c>
      <c r="AA75">
        <f>HYPERLINK("https://klasma.github.io/Logging_2513/klagomål/A 29706-2022 FSC-klagomål.docx", "A 29706-2022")</f>
        <v/>
      </c>
      <c r="AB75">
        <f>HYPERLINK("https://klasma.github.io/Logging_2513/klagomålsmail/A 29706-2022 FSC-klagomål mail.docx", "A 29706-2022")</f>
        <v/>
      </c>
      <c r="AC75">
        <f>HYPERLINK("https://klasma.github.io/Logging_2513/tillsyn/A 29706-2022 tillsynsbegäran.docx", "A 29706-2022")</f>
        <v/>
      </c>
      <c r="AD75">
        <f>HYPERLINK("https://klasma.github.io/Logging_2513/tillsynsmail/A 29706-2022 tillsynsbegäran mail.docx", "A 29706-2022")</f>
        <v/>
      </c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46301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46301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44623</v>
      </c>
      <c r="E78" s="1" t="n">
        <v>46301</v>
      </c>
      <c r="F78" t="inlineStr">
        <is>
          <t>NORRBOTTENS LÄN</t>
        </is>
      </c>
      <c r="G78" t="inlineStr">
        <is>
          <t>ÖVERKALIX</t>
        </is>
      </c>
      <c r="H78" t="inlineStr">
        <is>
          <t>SCA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46301</v>
      </c>
      <c r="F79" t="inlineStr">
        <is>
          <t>NORRBOTTENS LÄN</t>
        </is>
      </c>
      <c r="G79" t="inlineStr">
        <is>
          <t>ÖVERKALIX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46301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44530</v>
      </c>
      <c r="E81" s="1" t="n">
        <v>46301</v>
      </c>
      <c r="F81" t="inlineStr">
        <is>
          <t>NORRBOTTENS LÄN</t>
        </is>
      </c>
      <c r="G81" t="inlineStr">
        <is>
          <t>ÖVERKALIX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46301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52027-2022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46301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6916-2022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44602</v>
      </c>
      <c r="E84" s="1" t="n">
        <v>46301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15.6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46301</v>
      </c>
      <c r="F85" t="inlineStr">
        <is>
          <t>NORRBOTTENS LÄN</t>
        </is>
      </c>
      <c r="G85" t="inlineStr">
        <is>
          <t>ÖVERKALIX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62259-2021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46301</v>
      </c>
      <c r="F86" t="inlineStr">
        <is>
          <t>NORRBOTTENS LÄN</t>
        </is>
      </c>
      <c r="G86" t="inlineStr">
        <is>
          <t>ÖVERKALIX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45709</v>
      </c>
      <c r="E87" s="1" t="n">
        <v>46301</v>
      </c>
      <c r="F87" t="inlineStr">
        <is>
          <t>NORRBOTTENS LÄN</t>
        </is>
      </c>
      <c r="G87" t="inlineStr">
        <is>
          <t>ÖVERKALIX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19985-2025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45771</v>
      </c>
      <c r="E88" s="1" t="n">
        <v>46301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55642-2023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45238</v>
      </c>
      <c r="E89" s="1" t="n">
        <v>46301</v>
      </c>
      <c r="F89" t="inlineStr">
        <is>
          <t>NORRBOTTENS LÄN</t>
        </is>
      </c>
      <c r="G89" t="inlineStr">
        <is>
          <t>ÖVERKALIX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46301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46301</v>
      </c>
      <c r="F91" t="inlineStr">
        <is>
          <t>NORRBOTTENS LÄN</t>
        </is>
      </c>
      <c r="G91" t="inlineStr">
        <is>
          <t>ÖVERKALIX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19541-2024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45429</v>
      </c>
      <c r="E92" s="1" t="n">
        <v>46301</v>
      </c>
      <c r="F92" t="inlineStr">
        <is>
          <t>NORRBOTTENS LÄN</t>
        </is>
      </c>
      <c r="G92" t="inlineStr">
        <is>
          <t>ÖVERKALIX</t>
        </is>
      </c>
      <c r="H92" t="inlineStr">
        <is>
          <t>Sveaskog</t>
        </is>
      </c>
      <c r="I92" t="n">
        <v>22.7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11535-2024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45372</v>
      </c>
      <c r="E93" s="1" t="n">
        <v>46301</v>
      </c>
      <c r="F93" t="inlineStr">
        <is>
          <t>NORRBOTTENS LÄN</t>
        </is>
      </c>
      <c r="G93" t="inlineStr">
        <is>
          <t>ÖVERKALIX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45463</v>
      </c>
      <c r="E94" s="1" t="n">
        <v>46301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12580-2024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45379</v>
      </c>
      <c r="E95" s="1" t="n">
        <v>46301</v>
      </c>
      <c r="F95" t="inlineStr">
        <is>
          <t>NORRBOTTENS LÄN</t>
        </is>
      </c>
      <c r="G95" t="inlineStr">
        <is>
          <t>ÖVERKALIX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45443</v>
      </c>
      <c r="E96" s="1" t="n">
        <v>46301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46301</v>
      </c>
      <c r="F97" t="inlineStr">
        <is>
          <t>NORRBOTTENS LÄN</t>
        </is>
      </c>
      <c r="G97" t="inlineStr">
        <is>
          <t>ÖVERKALIX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46301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23302-2023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45075</v>
      </c>
      <c r="E99" s="1" t="n">
        <v>46301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72809-2021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46301</v>
      </c>
      <c r="F100" t="inlineStr">
        <is>
          <t>NORRBOTTENS LÄN</t>
        </is>
      </c>
      <c r="G100" t="inlineStr">
        <is>
          <t>ÖVERKALIX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45463</v>
      </c>
      <c r="E101" s="1" t="n">
        <v>46301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44797</v>
      </c>
      <c r="E102" s="1" t="n">
        <v>46301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72623-2021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46301</v>
      </c>
      <c r="F103" t="inlineStr">
        <is>
          <t>NORRBOTTENS LÄN</t>
        </is>
      </c>
      <c r="G103" t="inlineStr">
        <is>
          <t>ÖVERKALIX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45244</v>
      </c>
      <c r="E104" s="1" t="n">
        <v>46301</v>
      </c>
      <c r="F104" t="inlineStr">
        <is>
          <t>NORRBOTTENS LÄN</t>
        </is>
      </c>
      <c r="G104" t="inlineStr">
        <is>
          <t>ÖVERKALIX</t>
        </is>
      </c>
      <c r="I104" t="n">
        <v>21.7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45334</v>
      </c>
      <c r="E105" s="1" t="n">
        <v>46301</v>
      </c>
      <c r="F105" t="inlineStr">
        <is>
          <t>NORRBOTTENS LÄN</t>
        </is>
      </c>
      <c r="G105" t="inlineStr">
        <is>
          <t>ÖVERKALIX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44938</v>
      </c>
      <c r="E106" s="1" t="n">
        <v>46301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45428</v>
      </c>
      <c r="E107" s="1" t="n">
        <v>46301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45436</v>
      </c>
      <c r="E108" s="1" t="n">
        <v>46301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29.9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44899</v>
      </c>
      <c r="E109" s="1" t="n">
        <v>46301</v>
      </c>
      <c r="F109" t="inlineStr">
        <is>
          <t>NORRBOTTENS LÄN</t>
        </is>
      </c>
      <c r="G109" t="inlineStr">
        <is>
          <t>ÖVERKALIX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45460</v>
      </c>
      <c r="E110" s="1" t="n">
        <v>46301</v>
      </c>
      <c r="F110" t="inlineStr">
        <is>
          <t>NORRBOTTENS LÄN</t>
        </is>
      </c>
      <c r="G110" t="inlineStr">
        <is>
          <t>ÖVERKALIX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45747</v>
      </c>
      <c r="E111" s="1" t="n">
        <v>46301</v>
      </c>
      <c r="F111" t="inlineStr">
        <is>
          <t>NORRBOTTENS LÄN</t>
        </is>
      </c>
      <c r="G111" t="inlineStr">
        <is>
          <t>ÖVERKALIX</t>
        </is>
      </c>
      <c r="I111" t="n">
        <v>10.4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46301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46301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46301</v>
      </c>
      <c r="F114" t="inlineStr">
        <is>
          <t>NORRBOTTENS LÄN</t>
        </is>
      </c>
      <c r="G114" t="inlineStr">
        <is>
          <t>ÖVERKALIX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3399-2026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46042</v>
      </c>
      <c r="E115" s="1" t="n">
        <v>46301</v>
      </c>
      <c r="F115" t="inlineStr">
        <is>
          <t>NORRBOTTENS LÄN</t>
        </is>
      </c>
      <c r="G115" t="inlineStr">
        <is>
          <t>ÖVERKALIX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46301</v>
      </c>
      <c r="F116" t="inlineStr">
        <is>
          <t>NORRBOTTENS LÄN</t>
        </is>
      </c>
      <c r="G116" t="inlineStr">
        <is>
          <t>ÖVERKALIX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46301</v>
      </c>
      <c r="F117" t="inlineStr">
        <is>
          <t>NORRBOTTENS LÄN</t>
        </is>
      </c>
      <c r="G117" t="inlineStr">
        <is>
          <t>ÖVERKALIX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45813</v>
      </c>
      <c r="E118" s="1" t="n">
        <v>46301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8.699999999999999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45813</v>
      </c>
      <c r="E119" s="1" t="n">
        <v>46301</v>
      </c>
      <c r="F119" t="inlineStr">
        <is>
          <t>NORRBOTTENS LÄN</t>
        </is>
      </c>
      <c r="G119" t="inlineStr">
        <is>
          <t>ÖVERKALIX</t>
        </is>
      </c>
      <c r="I119" t="n">
        <v>11.9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45813</v>
      </c>
      <c r="E120" s="1" t="n">
        <v>46301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45813</v>
      </c>
      <c r="E121" s="1" t="n">
        <v>46301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45813</v>
      </c>
      <c r="E122" s="1" t="n">
        <v>46301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45518</v>
      </c>
      <c r="E123" s="1" t="n">
        <v>46301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45518</v>
      </c>
      <c r="E124" s="1" t="n">
        <v>46301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45712</v>
      </c>
      <c r="E125" s="1" t="n">
        <v>46301</v>
      </c>
      <c r="F125" t="inlineStr">
        <is>
          <t>NORRBOTTENS LÄN</t>
        </is>
      </c>
      <c r="G125" t="inlineStr">
        <is>
          <t>ÖVERKALIX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46301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45813</v>
      </c>
      <c r="E127" s="1" t="n">
        <v>46301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46301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9.699999999999999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46301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46301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Sveaskog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28400-2025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46301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46301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45821</v>
      </c>
      <c r="E133" s="1" t="n">
        <v>46301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17.2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46301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45821</v>
      </c>
      <c r="E135" s="1" t="n">
        <v>46301</v>
      </c>
      <c r="F135" t="inlineStr">
        <is>
          <t>NORRBOTTENS LÄN</t>
        </is>
      </c>
      <c r="G135" t="inlineStr">
        <is>
          <t>ÖVERKALIX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45824</v>
      </c>
      <c r="E136" s="1" t="n">
        <v>46301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29212-2025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46301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24.4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46301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45826</v>
      </c>
      <c r="E139" s="1" t="n">
        <v>46301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46048</v>
      </c>
      <c r="E140" s="1" t="n">
        <v>46301</v>
      </c>
      <c r="F140" t="inlineStr">
        <is>
          <t>NORRBOTTENS LÄN</t>
        </is>
      </c>
      <c r="G140" t="inlineStr">
        <is>
          <t>ÖVERKALIX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45826</v>
      </c>
      <c r="E141" s="1" t="n">
        <v>46301</v>
      </c>
      <c r="F141" t="inlineStr">
        <is>
          <t>NORRBOTTENS LÄN</t>
        </is>
      </c>
      <c r="G141" t="inlineStr">
        <is>
          <t>ÖVERKALIX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46301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26449-2025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45807</v>
      </c>
      <c r="E143" s="1" t="n">
        <v>46301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10.9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30776-2025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46301</v>
      </c>
      <c r="F144" t="inlineStr">
        <is>
          <t>NORRBOTTENS LÄN</t>
        </is>
      </c>
      <c r="G144" t="inlineStr">
        <is>
          <t>ÖVERKALIX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32615-2024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45513</v>
      </c>
      <c r="E145" s="1" t="n">
        <v>46301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46301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45807</v>
      </c>
      <c r="E147" s="1" t="n">
        <v>46301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37.4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31744-2025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45834</v>
      </c>
      <c r="E148" s="1" t="n">
        <v>46301</v>
      </c>
      <c r="F148" t="inlineStr">
        <is>
          <t>NORRBOTTENS LÄN</t>
        </is>
      </c>
      <c r="G148" t="inlineStr">
        <is>
          <t>ÖVERKALIX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45838</v>
      </c>
      <c r="E149" s="1" t="n">
        <v>46301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45835</v>
      </c>
      <c r="E150" s="1" t="n">
        <v>46301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45837</v>
      </c>
      <c r="E151" s="1" t="n">
        <v>46301</v>
      </c>
      <c r="F151" t="inlineStr">
        <is>
          <t>NORRBOTTENS LÄN</t>
        </is>
      </c>
      <c r="G151" t="inlineStr">
        <is>
          <t>ÖVERKALIX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45838</v>
      </c>
      <c r="E152" s="1" t="n">
        <v>46301</v>
      </c>
      <c r="F152" t="inlineStr">
        <is>
          <t>NORRBOTTENS LÄN</t>
        </is>
      </c>
      <c r="G152" t="inlineStr">
        <is>
          <t>ÖVERKALIX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45835</v>
      </c>
      <c r="E153" s="1" t="n">
        <v>46301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45837</v>
      </c>
      <c r="E154" s="1" t="n">
        <v>46301</v>
      </c>
      <c r="F154" t="inlineStr">
        <is>
          <t>NORRBOTTENS LÄN</t>
        </is>
      </c>
      <c r="G154" t="inlineStr">
        <is>
          <t>ÖVERKALIX</t>
        </is>
      </c>
      <c r="I154" t="n">
        <v>9.800000000000001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45837</v>
      </c>
      <c r="E155" s="1" t="n">
        <v>46301</v>
      </c>
      <c r="F155" t="inlineStr">
        <is>
          <t>NORRBOTTENS LÄN</t>
        </is>
      </c>
      <c r="G155" t="inlineStr">
        <is>
          <t>ÖVERKALIX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46055</v>
      </c>
      <c r="E156" s="1" t="n">
        <v>46301</v>
      </c>
      <c r="F156" t="inlineStr">
        <is>
          <t>NORRBOTTENS LÄN</t>
        </is>
      </c>
      <c r="G156" t="inlineStr">
        <is>
          <t>ÖVERKALIX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45839</v>
      </c>
      <c r="E157" s="1" t="n">
        <v>46301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9.199999999999999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44966</v>
      </c>
      <c r="E158" s="1" t="n">
        <v>46301</v>
      </c>
      <c r="F158" t="inlineStr">
        <is>
          <t>NORRBOTTENS LÄN</t>
        </is>
      </c>
      <c r="G158" t="inlineStr">
        <is>
          <t>ÖVERKALIX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46301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46301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34128-2025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45845</v>
      </c>
      <c r="E161" s="1" t="n">
        <v>46301</v>
      </c>
      <c r="F161" t="inlineStr">
        <is>
          <t>NORRBOTTENS LÄN</t>
        </is>
      </c>
      <c r="G161" t="inlineStr">
        <is>
          <t>ÖVERKALIX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44950</v>
      </c>
      <c r="E162" s="1" t="n">
        <v>46301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46301</v>
      </c>
      <c r="F163" t="inlineStr">
        <is>
          <t>NORRBOTTENS LÄN</t>
        </is>
      </c>
      <c r="G163" t="inlineStr">
        <is>
          <t>ÖVERKALIX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30993-2025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46301</v>
      </c>
      <c r="F164" t="inlineStr">
        <is>
          <t>NORRBOTTENS LÄN</t>
        </is>
      </c>
      <c r="G164" t="inlineStr">
        <is>
          <t>ÖVERKALIX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46301</v>
      </c>
      <c r="F165" t="inlineStr">
        <is>
          <t>NORRBOTTENS LÄN</t>
        </is>
      </c>
      <c r="G165" t="inlineStr">
        <is>
          <t>ÖVERKALIX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45588</v>
      </c>
      <c r="E166" s="1" t="n">
        <v>46301</v>
      </c>
      <c r="F166" t="inlineStr">
        <is>
          <t>NORRBOTTENS LÄN</t>
        </is>
      </c>
      <c r="G166" t="inlineStr">
        <is>
          <t>ÖVERKALIX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46301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10.4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45909</v>
      </c>
      <c r="E168" s="1" t="n">
        <v>46301</v>
      </c>
      <c r="F168" t="inlineStr">
        <is>
          <t>NORRBOTTENS LÄN</t>
        </is>
      </c>
      <c r="G168" t="inlineStr">
        <is>
          <t>ÖVERKALIX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46301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45548</v>
      </c>
      <c r="E170" s="1" t="n">
        <v>46301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45429</v>
      </c>
      <c r="E171" s="1" t="n">
        <v>46301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45869</v>
      </c>
      <c r="E172" s="1" t="n">
        <v>46301</v>
      </c>
      <c r="F172" t="inlineStr">
        <is>
          <t>NORRBOTTENS LÄN</t>
        </is>
      </c>
      <c r="G172" t="inlineStr">
        <is>
          <t>ÖVERKALIX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44754-2025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45917</v>
      </c>
      <c r="E173" s="1" t="n">
        <v>46301</v>
      </c>
      <c r="F173" t="inlineStr">
        <is>
          <t>NORRBOTTENS LÄN</t>
        </is>
      </c>
      <c r="G173" t="inlineStr">
        <is>
          <t>ÖVERKALIX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45870</v>
      </c>
      <c r="E174" s="1" t="n">
        <v>46301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45870</v>
      </c>
      <c r="E175" s="1" t="n">
        <v>46301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45401</v>
      </c>
      <c r="E176" s="1" t="n">
        <v>46301</v>
      </c>
      <c r="F176" t="inlineStr">
        <is>
          <t>NORRBOTTENS LÄN</t>
        </is>
      </c>
      <c r="G176" t="inlineStr">
        <is>
          <t>ÖVERKALIX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45869</v>
      </c>
      <c r="E177" s="1" t="n">
        <v>46301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45535-2025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45922</v>
      </c>
      <c r="E178" s="1" t="n">
        <v>46301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Sveaskog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45873</v>
      </c>
      <c r="E179" s="1" t="n">
        <v>46301</v>
      </c>
      <c r="F179" t="inlineStr">
        <is>
          <t>NORRBOTTENS LÄN</t>
        </is>
      </c>
      <c r="G179" t="inlineStr">
        <is>
          <t>ÖVERKALIX</t>
        </is>
      </c>
      <c r="I179" t="n">
        <v>6.9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45107</v>
      </c>
      <c r="E180" s="1" t="n">
        <v>46301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45882</v>
      </c>
      <c r="E181" s="1" t="n">
        <v>46301</v>
      </c>
      <c r="F181" t="inlineStr">
        <is>
          <t>NORRBOTTENS LÄN</t>
        </is>
      </c>
      <c r="G181" t="inlineStr">
        <is>
          <t>ÖVERKALIX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38152-2025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45882</v>
      </c>
      <c r="E182" s="1" t="n">
        <v>46301</v>
      </c>
      <c r="F182" t="inlineStr">
        <is>
          <t>NORRBOTTENS LÄN</t>
        </is>
      </c>
      <c r="G182" t="inlineStr">
        <is>
          <t>ÖVERKALIX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45882</v>
      </c>
      <c r="E183" s="1" t="n">
        <v>46301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13.4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45268</v>
      </c>
      <c r="E184" s="1" t="n">
        <v>46301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38191-2025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45882</v>
      </c>
      <c r="E185" s="1" t="n">
        <v>46301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7488-2026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46059</v>
      </c>
      <c r="E186" s="1" t="n">
        <v>46301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46301</v>
      </c>
      <c r="F187" t="inlineStr">
        <is>
          <t>NORRBOTTENS LÄN</t>
        </is>
      </c>
      <c r="G187" t="inlineStr">
        <is>
          <t>ÖVERKALIX</t>
        </is>
      </c>
      <c r="H187" t="inlineStr">
        <is>
          <t>Övriga statliga verk och myndigheter</t>
        </is>
      </c>
      <c r="I187" t="n">
        <v>38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46301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45744</v>
      </c>
      <c r="E189" s="1" t="n">
        <v>46301</v>
      </c>
      <c r="F189" t="inlineStr">
        <is>
          <t>NORRBOTTENS LÄN</t>
        </is>
      </c>
      <c r="G189" t="inlineStr">
        <is>
          <t>ÖVERKALIX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55853-2024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46301</v>
      </c>
      <c r="F190" t="inlineStr">
        <is>
          <t>NORRBOTTENS LÄN</t>
        </is>
      </c>
      <c r="G190" t="inlineStr">
        <is>
          <t>ÖVERKALIX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46301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45940</v>
      </c>
      <c r="E192" s="1" t="n">
        <v>46301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26140-2023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45086</v>
      </c>
      <c r="E193" s="1" t="n">
        <v>46301</v>
      </c>
      <c r="F193" t="inlineStr">
        <is>
          <t>NORRBOTTENS LÄN</t>
        </is>
      </c>
      <c r="G193" t="inlineStr">
        <is>
          <t>ÖVERKALIX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45643</v>
      </c>
      <c r="E194" s="1" t="n">
        <v>46301</v>
      </c>
      <c r="F194" t="inlineStr">
        <is>
          <t>NORRBOTTENS LÄN</t>
        </is>
      </c>
      <c r="G194" t="inlineStr">
        <is>
          <t>ÖVERKALIX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45631</v>
      </c>
      <c r="E195" s="1" t="n">
        <v>46301</v>
      </c>
      <c r="F195" t="inlineStr">
        <is>
          <t>NORRBOTTENS LÄN</t>
        </is>
      </c>
      <c r="G195" t="inlineStr">
        <is>
          <t>ÖVERKALIX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10293-2026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46301</v>
      </c>
      <c r="F196" t="inlineStr">
        <is>
          <t>NORRBOTTENS LÄN</t>
        </is>
      </c>
      <c r="G196" t="inlineStr">
        <is>
          <t>ÖVERKALIX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44993</v>
      </c>
      <c r="E197" s="1" t="n">
        <v>46301</v>
      </c>
      <c r="F197" t="inlineStr">
        <is>
          <t>NORRBOTTENS LÄN</t>
        </is>
      </c>
      <c r="G197" t="inlineStr">
        <is>
          <t>ÖVERKALIX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46301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44952-2024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46301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45604</v>
      </c>
      <c r="E200" s="1" t="n">
        <v>46301</v>
      </c>
      <c r="F200" t="inlineStr">
        <is>
          <t>NORRBOTTENS LÄN</t>
        </is>
      </c>
      <c r="G200" t="inlineStr">
        <is>
          <t>ÖVERKALIX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50983-2025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46301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46301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52976-2024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45611</v>
      </c>
      <c r="E203" s="1" t="n">
        <v>46301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45949</v>
      </c>
      <c r="E204" s="1" t="n">
        <v>46301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45699</v>
      </c>
      <c r="E205" s="1" t="n">
        <v>46301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51634-2025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45951</v>
      </c>
      <c r="E206" s="1" t="n">
        <v>46301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46301</v>
      </c>
      <c r="F207" t="inlineStr">
        <is>
          <t>NORRBOTTENS LÄN</t>
        </is>
      </c>
      <c r="G207" t="inlineStr">
        <is>
          <t>ÖVERKALIX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52591-2025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45954</v>
      </c>
      <c r="E208" s="1" t="n">
        <v>46301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28343-2025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45818</v>
      </c>
      <c r="E209" s="1" t="n">
        <v>46301</v>
      </c>
      <c r="F209" t="inlineStr">
        <is>
          <t>NORRBOTTENS LÄN</t>
        </is>
      </c>
      <c r="G209" t="inlineStr">
        <is>
          <t>ÖVERKALIX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53091-2025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45958</v>
      </c>
      <c r="E210" s="1" t="n">
        <v>46301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46080</v>
      </c>
      <c r="E211" s="1" t="n">
        <v>46301</v>
      </c>
      <c r="F211" t="inlineStr">
        <is>
          <t>NORRBOTTENS LÄN</t>
        </is>
      </c>
      <c r="G211" t="inlineStr">
        <is>
          <t>ÖVERKALIX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45699</v>
      </c>
      <c r="E212" s="1" t="n">
        <v>46301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28.8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52973-2025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45957</v>
      </c>
      <c r="E213" s="1" t="n">
        <v>46301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9.9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46080</v>
      </c>
      <c r="E214" s="1" t="n">
        <v>46301</v>
      </c>
      <c r="F214" t="inlineStr">
        <is>
          <t>NORRBOTTENS LÄN</t>
        </is>
      </c>
      <c r="G214" t="inlineStr">
        <is>
          <t>ÖVERKALIX</t>
        </is>
      </c>
      <c r="I214" t="n">
        <v>9.800000000000001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46301</v>
      </c>
      <c r="F215" t="inlineStr">
        <is>
          <t>NORRBOTTENS LÄN</t>
        </is>
      </c>
      <c r="G215" t="inlineStr">
        <is>
          <t>ÖVERKALIX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46301</v>
      </c>
      <c r="F216" t="inlineStr">
        <is>
          <t>NORRBOTTENS LÄN</t>
        </is>
      </c>
      <c r="G216" t="inlineStr">
        <is>
          <t>ÖVERKALIX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46301</v>
      </c>
      <c r="F217" t="inlineStr">
        <is>
          <t>NORRBOTTENS LÄN</t>
        </is>
      </c>
      <c r="G217" t="inlineStr">
        <is>
          <t>ÖVERKALIX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46301</v>
      </c>
      <c r="F218" t="inlineStr">
        <is>
          <t>NORRBOTTENS LÄN</t>
        </is>
      </c>
      <c r="G218" t="inlineStr">
        <is>
          <t>ÖVERKALIX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11685-2026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46084</v>
      </c>
      <c r="E219" s="1" t="n">
        <v>46301</v>
      </c>
      <c r="F219" t="inlineStr">
        <is>
          <t>NORRBOTTENS LÄN</t>
        </is>
      </c>
      <c r="G219" t="inlineStr">
        <is>
          <t>ÖVERKALIX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46084</v>
      </c>
      <c r="E220" s="1" t="n">
        <v>46301</v>
      </c>
      <c r="F220" t="inlineStr">
        <is>
          <t>NORRBOTTENS LÄN</t>
        </is>
      </c>
      <c r="G220" t="inlineStr">
        <is>
          <t>ÖVERKALIX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12277-2026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46087</v>
      </c>
      <c r="E221" s="1" t="n">
        <v>46301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12278-2026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46087</v>
      </c>
      <c r="E222" s="1" t="n">
        <v>46301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54118-2025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45964</v>
      </c>
      <c r="E223" s="1" t="n">
        <v>46301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45967</v>
      </c>
      <c r="E224" s="1" t="n">
        <v>46301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60417-2024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46301</v>
      </c>
      <c r="F225" t="inlineStr">
        <is>
          <t>NORRBOTTENS LÄN</t>
        </is>
      </c>
      <c r="G225" t="inlineStr">
        <is>
          <t>ÖVERKALIX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48577-2023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45208</v>
      </c>
      <c r="E226" s="1" t="n">
        <v>46301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15011-2026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46104</v>
      </c>
      <c r="E227" s="1" t="n">
        <v>46301</v>
      </c>
      <c r="F227" t="inlineStr">
        <is>
          <t>NORRBOTTENS LÄN</t>
        </is>
      </c>
      <c r="G227" t="inlineStr">
        <is>
          <t>ÖVERKALIX</t>
        </is>
      </c>
      <c r="I227" t="n">
        <v>9.4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46105</v>
      </c>
      <c r="E228" s="1" t="n">
        <v>46301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22.8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46301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46112</v>
      </c>
      <c r="E230" s="1" t="n">
        <v>46301</v>
      </c>
      <c r="F230" t="inlineStr">
        <is>
          <t>NORRBOTTENS LÄN</t>
        </is>
      </c>
      <c r="G230" t="inlineStr">
        <is>
          <t>ÖVERKALIX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46301</v>
      </c>
      <c r="F231" t="inlineStr">
        <is>
          <t>NORRBOTTENS LÄN</t>
        </is>
      </c>
      <c r="G231" t="inlineStr">
        <is>
          <t>ÖVERKALIX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46301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17516-2026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46301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46120</v>
      </c>
      <c r="E234" s="1" t="n">
        <v>46301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57744-2025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45981</v>
      </c>
      <c r="E235" s="1" t="n">
        <v>46301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46301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46301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45986</v>
      </c>
      <c r="E238" s="1" t="n">
        <v>46301</v>
      </c>
      <c r="F238" t="inlineStr">
        <is>
          <t>NORRBOTTENS LÄN</t>
        </is>
      </c>
      <c r="G238" t="inlineStr">
        <is>
          <t>ÖVERKALIX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45747</v>
      </c>
      <c r="E239" s="1" t="n">
        <v>46301</v>
      </c>
      <c r="F239" t="inlineStr">
        <is>
          <t>NORRBOTTENS LÄN</t>
        </is>
      </c>
      <c r="G239" t="inlineStr">
        <is>
          <t>ÖVERKALIX</t>
        </is>
      </c>
      <c r="I239" t="n">
        <v>10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46301</v>
      </c>
      <c r="F240" t="inlineStr">
        <is>
          <t>NORRBOTTENS LÄN</t>
        </is>
      </c>
      <c r="G240" t="inlineStr">
        <is>
          <t>ÖVERKALIX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46301</v>
      </c>
      <c r="F241" t="inlineStr">
        <is>
          <t>NORRBOTTENS LÄN</t>
        </is>
      </c>
      <c r="G241" t="inlineStr">
        <is>
          <t>ÖVERKALIX</t>
        </is>
      </c>
      <c r="I241" t="n">
        <v>16.1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45988</v>
      </c>
      <c r="E242" s="1" t="n">
        <v>46301</v>
      </c>
      <c r="F242" t="inlineStr">
        <is>
          <t>NORRBOTTENS LÄN</t>
        </is>
      </c>
      <c r="G242" t="inlineStr">
        <is>
          <t>ÖVERKALIX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59829-2025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46301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13.3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46301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40281-2022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44820</v>
      </c>
      <c r="E245" s="1" t="n">
        <v>46301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40619-2022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44823</v>
      </c>
      <c r="E246" s="1" t="n">
        <v>46301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45993</v>
      </c>
      <c r="E247" s="1" t="n">
        <v>46301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46301</v>
      </c>
      <c r="F248" t="inlineStr">
        <is>
          <t>NORRBOTTENS LÄN</t>
        </is>
      </c>
      <c r="G248" t="inlineStr">
        <is>
          <t>ÖVERKALIX</t>
        </is>
      </c>
      <c r="I248" t="n">
        <v>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19410-2026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46133</v>
      </c>
      <c r="E249" s="1" t="n">
        <v>46301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45996</v>
      </c>
      <c r="E250" s="1" t="n">
        <v>46301</v>
      </c>
      <c r="F250" t="inlineStr">
        <is>
          <t>NORRBOTTENS LÄN</t>
        </is>
      </c>
      <c r="G250" t="inlineStr">
        <is>
          <t>ÖVERKALIX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19375-2026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46133</v>
      </c>
      <c r="E251" s="1" t="n">
        <v>46301</v>
      </c>
      <c r="F251" t="inlineStr">
        <is>
          <t>NORRBOTTENS LÄN</t>
        </is>
      </c>
      <c r="G251" t="inlineStr">
        <is>
          <t>ÖVERKALIX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19616-2026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46301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60815-2025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45999</v>
      </c>
      <c r="E253" s="1" t="n">
        <v>46301</v>
      </c>
      <c r="F253" t="inlineStr">
        <is>
          <t>NORRBOTTENS LÄN</t>
        </is>
      </c>
      <c r="G253" t="inlineStr">
        <is>
          <t>ÖVERKALIX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46301</v>
      </c>
      <c r="F254" t="inlineStr">
        <is>
          <t>NORRBOTTENS LÄN</t>
        </is>
      </c>
      <c r="G254" t="inlineStr">
        <is>
          <t>ÖVERKALIX</t>
        </is>
      </c>
      <c r="I254" t="n">
        <v>7.8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46301</v>
      </c>
      <c r="F255" t="inlineStr">
        <is>
          <t>NORRBOTTENS LÄN</t>
        </is>
      </c>
      <c r="G255" t="inlineStr">
        <is>
          <t>ÖVERKALIX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60909-2025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46301</v>
      </c>
      <c r="F256" t="inlineStr">
        <is>
          <t>NORRBOTTENS LÄN</t>
        </is>
      </c>
      <c r="G256" t="inlineStr">
        <is>
          <t>ÖVERKALIX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46301</v>
      </c>
      <c r="F257" t="inlineStr">
        <is>
          <t>NORRBOTTENS LÄN</t>
        </is>
      </c>
      <c r="G257" t="inlineStr">
        <is>
          <t>ÖVERKALIX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46301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61706-2025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46002</v>
      </c>
      <c r="E259" s="1" t="n">
        <v>46301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46301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26450-2025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45807</v>
      </c>
      <c r="E261" s="1" t="n">
        <v>46301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Sveaskog</t>
        </is>
      </c>
      <c r="I261" t="n">
        <v>8.300000000000001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45205</v>
      </c>
      <c r="E262" s="1" t="n">
        <v>46301</v>
      </c>
      <c r="F262" t="inlineStr">
        <is>
          <t>NORRBOTTENS LÄN</t>
        </is>
      </c>
      <c r="G262" t="inlineStr">
        <is>
          <t>ÖVERKALIX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45315</v>
      </c>
      <c r="E263" s="1" t="n">
        <v>46301</v>
      </c>
      <c r="F263" t="inlineStr">
        <is>
          <t>NORRBOTTENS LÄN</t>
        </is>
      </c>
      <c r="G263" t="inlineStr">
        <is>
          <t>ÖVERKALIX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46301</v>
      </c>
      <c r="F264" t="inlineStr">
        <is>
          <t>NORRBOTTENS LÄN</t>
        </is>
      </c>
      <c r="G264" t="inlineStr">
        <is>
          <t>ÖVERKALIX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46009</v>
      </c>
      <c r="E265" s="1" t="n">
        <v>46301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63023-2025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46301</v>
      </c>
      <c r="F266" t="inlineStr">
        <is>
          <t>NORRBOTTENS LÄN</t>
        </is>
      </c>
      <c r="G266" t="inlineStr">
        <is>
          <t>ÖVERKALIX</t>
        </is>
      </c>
      <c r="I266" t="n">
        <v>9.800000000000001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46013</v>
      </c>
      <c r="E267" s="1" t="n">
        <v>46301</v>
      </c>
      <c r="F267" t="inlineStr">
        <is>
          <t>NORRBOTTENS LÄN</t>
        </is>
      </c>
      <c r="G267" t="inlineStr">
        <is>
          <t>ÖVERKALIX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63454-2025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46013</v>
      </c>
      <c r="E268" s="1" t="n">
        <v>46301</v>
      </c>
      <c r="F268" t="inlineStr">
        <is>
          <t>NORRBOTTENS LÄN</t>
        </is>
      </c>
      <c r="G268" t="inlineStr">
        <is>
          <t>ÖVERKALIX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63545-2025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46013</v>
      </c>
      <c r="E269" s="1" t="n">
        <v>46301</v>
      </c>
      <c r="F269" t="inlineStr">
        <is>
          <t>NORRBOTTENS LÄN</t>
        </is>
      </c>
      <c r="G269" t="inlineStr">
        <is>
          <t>ÖVERKALIX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46301</v>
      </c>
      <c r="F270" t="inlineStr">
        <is>
          <t>NORRBOTTENS LÄN</t>
        </is>
      </c>
      <c r="G270" t="inlineStr">
        <is>
          <t>ÖVERKALIX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43042-2025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45909</v>
      </c>
      <c r="E271" s="1" t="n">
        <v>46301</v>
      </c>
      <c r="F271" t="inlineStr">
        <is>
          <t>NORRBOTTENS LÄN</t>
        </is>
      </c>
      <c r="G271" t="inlineStr">
        <is>
          <t>ÖVERKALIX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46301</v>
      </c>
      <c r="F272" t="inlineStr">
        <is>
          <t>NORRBOTTENS LÄN</t>
        </is>
      </c>
      <c r="G272" t="inlineStr">
        <is>
          <t>ÖVERKALIX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46301</v>
      </c>
      <c r="F273" t="inlineStr">
        <is>
          <t>NORRBOTTENS LÄN</t>
        </is>
      </c>
      <c r="G273" t="inlineStr">
        <is>
          <t>ÖVERKALIX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45440</v>
      </c>
      <c r="E274" s="1" t="n">
        <v>46301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46301</v>
      </c>
      <c r="F275" t="inlineStr">
        <is>
          <t>NORRBOTTENS LÄN</t>
        </is>
      </c>
      <c r="G275" t="inlineStr">
        <is>
          <t>ÖVERKALIX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73216-2021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44547</v>
      </c>
      <c r="E276" s="1" t="n">
        <v>46301</v>
      </c>
      <c r="F276" t="inlineStr">
        <is>
          <t>NORRBOTTENS LÄN</t>
        </is>
      </c>
      <c r="G276" t="inlineStr">
        <is>
          <t>ÖVERKALIX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45767-2023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45189</v>
      </c>
      <c r="E277" s="1" t="n">
        <v>46301</v>
      </c>
      <c r="F277" t="inlineStr">
        <is>
          <t>NORRBOTTENS LÄN</t>
        </is>
      </c>
      <c r="G277" t="inlineStr">
        <is>
          <t>ÖVERKALIX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12591-2024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45379</v>
      </c>
      <c r="E278" s="1" t="n">
        <v>46301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46301</v>
      </c>
      <c r="F279" t="inlineStr">
        <is>
          <t>NORRBOTTENS LÄN</t>
        </is>
      </c>
      <c r="G279" t="inlineStr">
        <is>
          <t>ÖVERKALIX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26366-2024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45469</v>
      </c>
      <c r="E280" s="1" t="n">
        <v>46301</v>
      </c>
      <c r="F280" t="inlineStr">
        <is>
          <t>NORRBOTTENS LÄN</t>
        </is>
      </c>
      <c r="G280" t="inlineStr">
        <is>
          <t>ÖVERKALIX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15301-2022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44659</v>
      </c>
      <c r="E281" s="1" t="n">
        <v>46301</v>
      </c>
      <c r="F281" t="inlineStr">
        <is>
          <t>NORRBOTTENS LÄN</t>
        </is>
      </c>
      <c r="G281" t="inlineStr">
        <is>
          <t>ÖVERKALIX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28208-2025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45818</v>
      </c>
      <c r="E282" s="1" t="n">
        <v>46301</v>
      </c>
      <c r="F282" t="inlineStr">
        <is>
          <t>NORRBOTTENS LÄN</t>
        </is>
      </c>
      <c r="G282" t="inlineStr">
        <is>
          <t>ÖVERKALIX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45404</v>
      </c>
      <c r="E283" s="1" t="n">
        <v>46301</v>
      </c>
      <c r="F283" t="inlineStr">
        <is>
          <t>NORRBOTTENS LÄN</t>
        </is>
      </c>
      <c r="G283" t="inlineStr">
        <is>
          <t>ÖVERKALIX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13717-2022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44648</v>
      </c>
      <c r="E284" s="1" t="n">
        <v>46301</v>
      </c>
      <c r="F284" t="inlineStr">
        <is>
          <t>NORRBOTTENS LÄN</t>
        </is>
      </c>
      <c r="G284" t="inlineStr">
        <is>
          <t>ÖVERKALIX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20171-2026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46139</v>
      </c>
      <c r="E285" s="1" t="n">
        <v>46301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46140</v>
      </c>
      <c r="E286" s="1" t="n">
        <v>46301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45460</v>
      </c>
      <c r="E287" s="1" t="n">
        <v>46301</v>
      </c>
      <c r="F287" t="inlineStr">
        <is>
          <t>NORRBOTTENS LÄN</t>
        </is>
      </c>
      <c r="G287" t="inlineStr">
        <is>
          <t>ÖVERKALIX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45429</v>
      </c>
      <c r="E288" s="1" t="n">
        <v>46301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14255-2023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45009</v>
      </c>
      <c r="E289" s="1" t="n">
        <v>46301</v>
      </c>
      <c r="F289" t="inlineStr">
        <is>
          <t>NORRBOTTENS LÄN</t>
        </is>
      </c>
      <c r="G289" t="inlineStr">
        <is>
          <t>ÖVERKALIX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45133</v>
      </c>
      <c r="E290" s="1" t="n">
        <v>46301</v>
      </c>
      <c r="F290" t="inlineStr">
        <is>
          <t>NORRBOTTENS LÄN</t>
        </is>
      </c>
      <c r="G290" t="inlineStr">
        <is>
          <t>ÖVERKALIX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45771</v>
      </c>
      <c r="E291" s="1" t="n">
        <v>46301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10.5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47734-2024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45588</v>
      </c>
      <c r="E292" s="1" t="n">
        <v>46301</v>
      </c>
      <c r="F292" t="inlineStr">
        <is>
          <t>NORRBOTTENS LÄN</t>
        </is>
      </c>
      <c r="G292" t="inlineStr">
        <is>
          <t>ÖVERKALIX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21419-2026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46148</v>
      </c>
      <c r="E293" s="1" t="n">
        <v>46301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21423-2026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46148</v>
      </c>
      <c r="E294" s="1" t="n">
        <v>46301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21424-2026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46301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21425-2026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46301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21411-2026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46148</v>
      </c>
      <c r="E297" s="1" t="n">
        <v>46301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21417-2026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46301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21427-2026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46301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37429-2024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45540</v>
      </c>
      <c r="E300" s="1" t="n">
        <v>46301</v>
      </c>
      <c r="F300" t="inlineStr">
        <is>
          <t>NORRBOTTENS LÄN</t>
        </is>
      </c>
      <c r="G300" t="inlineStr">
        <is>
          <t>ÖVERKALIX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46148</v>
      </c>
      <c r="E301" s="1" t="n">
        <v>46301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21429-2026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46148</v>
      </c>
      <c r="E302" s="1" t="n">
        <v>46301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18.8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22470-2023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45070</v>
      </c>
      <c r="E303" s="1" t="n">
        <v>46301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45141</v>
      </c>
      <c r="E304" s="1" t="n">
        <v>46301</v>
      </c>
      <c r="F304" t="inlineStr">
        <is>
          <t>NORRBOTTENS LÄN</t>
        </is>
      </c>
      <c r="G304" t="inlineStr">
        <is>
          <t>ÖVERKALIX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22163-2026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46301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23.2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46301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72364-2021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44543</v>
      </c>
      <c r="E307" s="1" t="n">
        <v>46301</v>
      </c>
      <c r="F307" t="inlineStr">
        <is>
          <t>NORRBOTTENS LÄN</t>
        </is>
      </c>
      <c r="G307" t="inlineStr">
        <is>
          <t>ÖVERKALIX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5653-2022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44595</v>
      </c>
      <c r="E308" s="1" t="n">
        <v>46301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46301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46301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32477-2024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45513</v>
      </c>
      <c r="E311" s="1" t="n">
        <v>46301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55857-2024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45622</v>
      </c>
      <c r="E312" s="1" t="n">
        <v>46301</v>
      </c>
      <c r="F312" t="inlineStr">
        <is>
          <t>NORRBOTTENS LÄN</t>
        </is>
      </c>
      <c r="G312" t="inlineStr">
        <is>
          <t>ÖVERKALIX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46301</v>
      </c>
      <c r="F313" t="inlineStr">
        <is>
          <t>NORRBOTTENS LÄN</t>
        </is>
      </c>
      <c r="G313" t="inlineStr">
        <is>
          <t>ÖVERKALIX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46162</v>
      </c>
      <c r="E314" s="1" t="n">
        <v>46301</v>
      </c>
      <c r="F314" t="inlineStr">
        <is>
          <t>NORRBOTTENS LÄN</t>
        </is>
      </c>
      <c r="G314" t="inlineStr">
        <is>
          <t>ÖVERKALIX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46162</v>
      </c>
      <c r="E315" s="1" t="n">
        <v>46301</v>
      </c>
      <c r="F315" t="inlineStr">
        <is>
          <t>NORRBOTTENS LÄN</t>
        </is>
      </c>
      <c r="G315" t="inlineStr">
        <is>
          <t>ÖVERKALIX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7039-2022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44603</v>
      </c>
      <c r="E316" s="1" t="n">
        <v>46301</v>
      </c>
      <c r="F316" t="inlineStr">
        <is>
          <t>NORRBOTTENS LÄN</t>
        </is>
      </c>
      <c r="G316" t="inlineStr">
        <is>
          <t>ÖVERKALIX</t>
        </is>
      </c>
      <c r="H316" t="inlineStr">
        <is>
          <t>Övriga statliga verk och myndigheter</t>
        </is>
      </c>
      <c r="I316" t="n">
        <v>10.3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46301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9.9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46164</v>
      </c>
      <c r="E318" s="1" t="n">
        <v>46301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51354-2025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45950</v>
      </c>
      <c r="E319" s="1" t="n">
        <v>46301</v>
      </c>
      <c r="F319" t="inlineStr">
        <is>
          <t>NORRBOTTENS LÄN</t>
        </is>
      </c>
      <c r="G319" t="inlineStr">
        <is>
          <t>ÖVERKALIX</t>
        </is>
      </c>
      <c r="I319" t="n">
        <v>8.199999999999999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46301</v>
      </c>
      <c r="F320" t="inlineStr">
        <is>
          <t>NORRBOTTENS LÄN</t>
        </is>
      </c>
      <c r="G320" t="inlineStr">
        <is>
          <t>ÖVERKALIX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46301</v>
      </c>
      <c r="F321" t="inlineStr">
        <is>
          <t>NORRBOTTENS LÄN</t>
        </is>
      </c>
      <c r="G321" t="inlineStr">
        <is>
          <t>ÖVERKALIX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28372-2025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45818</v>
      </c>
      <c r="E322" s="1" t="n">
        <v>46301</v>
      </c>
      <c r="F322" t="inlineStr">
        <is>
          <t>NORRBOTTENS LÄN</t>
        </is>
      </c>
      <c r="G322" t="inlineStr">
        <is>
          <t>ÖVERKALIX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23938-2026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46301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24129-2026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46168</v>
      </c>
      <c r="E324" s="1" t="n">
        <v>46301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14.2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46167</v>
      </c>
      <c r="E325" s="1" t="n">
        <v>46301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46301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23942-2026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46167</v>
      </c>
      <c r="E327" s="1" t="n">
        <v>46301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45677</v>
      </c>
      <c r="E328" s="1" t="n">
        <v>46301</v>
      </c>
      <c r="F328" t="inlineStr">
        <is>
          <t>NORRBOTTENS LÄN</t>
        </is>
      </c>
      <c r="G328" t="inlineStr">
        <is>
          <t>ÖVERKALIX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23935-2026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46301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46170</v>
      </c>
      <c r="E330" s="1" t="n">
        <v>46301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44554-2023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46301</v>
      </c>
      <c r="F331" t="inlineStr">
        <is>
          <t>NORRBOTTENS LÄN</t>
        </is>
      </c>
      <c r="G331" t="inlineStr">
        <is>
          <t>ÖVERKALIX</t>
        </is>
      </c>
      <c r="I331" t="n">
        <v>8.6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45097</v>
      </c>
      <c r="E332" s="1" t="n">
        <v>46301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50392-2025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45944</v>
      </c>
      <c r="E333" s="1" t="n">
        <v>46301</v>
      </c>
      <c r="F333" t="inlineStr">
        <is>
          <t>NORRBOTTENS LÄN</t>
        </is>
      </c>
      <c r="G333" t="inlineStr">
        <is>
          <t>ÖVERKALIX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45748-2023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46301</v>
      </c>
      <c r="F334" t="inlineStr">
        <is>
          <t>NORRBOTTENS LÄN</t>
        </is>
      </c>
      <c r="G334" t="inlineStr">
        <is>
          <t>ÖVERKALIX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46177</v>
      </c>
      <c r="E335" s="1" t="n">
        <v>46301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Sveaskog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25545-2026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46177</v>
      </c>
      <c r="E336" s="1" t="n">
        <v>46301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55838-2024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45622</v>
      </c>
      <c r="E337" s="1" t="n">
        <v>46301</v>
      </c>
      <c r="F337" t="inlineStr">
        <is>
          <t>NORRBOTTENS LÄN</t>
        </is>
      </c>
      <c r="G337" t="inlineStr">
        <is>
          <t>ÖVERKALIX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45622</v>
      </c>
      <c r="E338" s="1" t="n">
        <v>46301</v>
      </c>
      <c r="F338" t="inlineStr">
        <is>
          <t>NORRBOTTENS LÄN</t>
        </is>
      </c>
      <c r="G338" t="inlineStr">
        <is>
          <t>ÖVERKALIX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9458-2025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45715</v>
      </c>
      <c r="E339" s="1" t="n">
        <v>46301</v>
      </c>
      <c r="F339" t="inlineStr">
        <is>
          <t>NORRBOTTENS LÄN</t>
        </is>
      </c>
      <c r="G339" t="inlineStr">
        <is>
          <t>ÖVERKALIX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55227-2024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45621</v>
      </c>
      <c r="E340" s="1" t="n">
        <v>46301</v>
      </c>
      <c r="F340" t="inlineStr">
        <is>
          <t>NORRBOTTENS LÄN</t>
        </is>
      </c>
      <c r="G340" t="inlineStr">
        <is>
          <t>ÖVERKALIX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41830-2024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45561</v>
      </c>
      <c r="E341" s="1" t="n">
        <v>46301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46301</v>
      </c>
      <c r="F342" t="inlineStr">
        <is>
          <t>NORRBOTTENS LÄN</t>
        </is>
      </c>
      <c r="G342" t="inlineStr">
        <is>
          <t>ÖVERKALIX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45709</v>
      </c>
      <c r="E343" s="1" t="n">
        <v>46301</v>
      </c>
      <c r="F343" t="inlineStr">
        <is>
          <t>NORRBOTTENS LÄN</t>
        </is>
      </c>
      <c r="G343" t="inlineStr">
        <is>
          <t>ÖVERKALIX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46301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46301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45693</v>
      </c>
      <c r="E346" s="1" t="n">
        <v>46301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46183</v>
      </c>
      <c r="E347" s="1" t="n">
        <v>46301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Sveaskog</t>
        </is>
      </c>
      <c r="I347" t="n">
        <v>8.5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46301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13.8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46301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17.7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45702</v>
      </c>
      <c r="E350" s="1" t="n">
        <v>46301</v>
      </c>
      <c r="F350" t="inlineStr">
        <is>
          <t>NORRBOTTENS LÄN</t>
        </is>
      </c>
      <c r="G350" t="inlineStr">
        <is>
          <t>ÖVERKALIX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58764-2023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45251</v>
      </c>
      <c r="E351" s="1" t="n">
        <v>46301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25506-2024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45463</v>
      </c>
      <c r="E352" s="1" t="n">
        <v>46301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45693</v>
      </c>
      <c r="E353" s="1" t="n">
        <v>46301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42721-2023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45181</v>
      </c>
      <c r="E354" s="1" t="n">
        <v>46301</v>
      </c>
      <c r="F354" t="inlineStr">
        <is>
          <t>NORRBOTTENS LÄN</t>
        </is>
      </c>
      <c r="G354" t="inlineStr">
        <is>
          <t>ÖVERKALIX</t>
        </is>
      </c>
      <c r="I354" t="n">
        <v>13.1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64524-2023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45281</v>
      </c>
      <c r="E355" s="1" t="n">
        <v>46301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46301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28210-2026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46196</v>
      </c>
      <c r="E357" s="1" t="n">
        <v>46301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28641-2026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46301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46301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46301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26554-2023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45092</v>
      </c>
      <c r="E361" s="1" t="n">
        <v>46301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46205</v>
      </c>
      <c r="E362" s="1" t="n">
        <v>46301</v>
      </c>
      <c r="F362" t="inlineStr">
        <is>
          <t>NORRBOTTENS LÄN</t>
        </is>
      </c>
      <c r="G362" t="inlineStr">
        <is>
          <t>ÖVERKALIX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1944-2022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44575</v>
      </c>
      <c r="E363" s="1" t="n">
        <v>46301</v>
      </c>
      <c r="F363" t="inlineStr">
        <is>
          <t>NORRBOTTENS LÄN</t>
        </is>
      </c>
      <c r="G363" t="inlineStr">
        <is>
          <t>ÖVERKALIX</t>
        </is>
      </c>
      <c r="I363" t="n">
        <v>10.4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45693</v>
      </c>
      <c r="E364" s="1" t="n">
        <v>46301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58038-2024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45631</v>
      </c>
      <c r="E365" s="1" t="n">
        <v>46301</v>
      </c>
      <c r="F365" t="inlineStr">
        <is>
          <t>NORRBOTTENS LÄN</t>
        </is>
      </c>
      <c r="G365" t="inlineStr">
        <is>
          <t>ÖVERKALIX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29927-2026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46205</v>
      </c>
      <c r="E366" s="1" t="n">
        <v>46301</v>
      </c>
      <c r="F366" t="inlineStr">
        <is>
          <t>NORRBOTTENS LÄN</t>
        </is>
      </c>
      <c r="G366" t="inlineStr">
        <is>
          <t>ÖVERKALIX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38975-2024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45548</v>
      </c>
      <c r="E367" s="1" t="n">
        <v>46301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29937-2026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46205</v>
      </c>
      <c r="E368" s="1" t="n">
        <v>46301</v>
      </c>
      <c r="F368" t="inlineStr">
        <is>
          <t>NORRBOTTENS LÄN</t>
        </is>
      </c>
      <c r="G368" t="inlineStr">
        <is>
          <t>ÖVERKALIX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54026-2023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45231</v>
      </c>
      <c r="E369" s="1" t="n">
        <v>46301</v>
      </c>
      <c r="F369" t="inlineStr">
        <is>
          <t>NORRBOTTENS LÄN</t>
        </is>
      </c>
      <c r="G369" t="inlineStr">
        <is>
          <t>ÖVERKALIX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72212-2021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44543</v>
      </c>
      <c r="E370" s="1" t="n">
        <v>46301</v>
      </c>
      <c r="F370" t="inlineStr">
        <is>
          <t>NORRBOTTENS LÄN</t>
        </is>
      </c>
      <c r="G370" t="inlineStr">
        <is>
          <t>ÖVERKALIX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30326-2026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46207</v>
      </c>
      <c r="E371" s="1" t="n">
        <v>46301</v>
      </c>
      <c r="F371" t="inlineStr">
        <is>
          <t>NORRBOTTENS LÄN</t>
        </is>
      </c>
      <c r="G371" t="inlineStr">
        <is>
          <t>ÖVERKALIX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30327-2026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46207</v>
      </c>
      <c r="E372" s="1" t="n">
        <v>46301</v>
      </c>
      <c r="F372" t="inlineStr">
        <is>
          <t>NORRBOTTENS LÄN</t>
        </is>
      </c>
      <c r="G372" t="inlineStr">
        <is>
          <t>ÖVERKALIX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30039-2026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46301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46301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30019-2026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46301</v>
      </c>
      <c r="F375" t="inlineStr">
        <is>
          <t>NORRBOTTENS LÄN</t>
        </is>
      </c>
      <c r="G375" t="inlineStr">
        <is>
          <t>ÖVERKALIX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30241-2026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46206</v>
      </c>
      <c r="E376" s="1" t="n">
        <v>46301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27054-2024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45471</v>
      </c>
      <c r="E377" s="1" t="n">
        <v>46301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27057-2024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45471</v>
      </c>
      <c r="E378" s="1" t="n">
        <v>46301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32.6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46301</v>
      </c>
      <c r="F379" t="inlineStr">
        <is>
          <t>NORRBOTTENS LÄN</t>
        </is>
      </c>
      <c r="G379" t="inlineStr">
        <is>
          <t>ÖVERKALIX</t>
        </is>
      </c>
      <c r="I379" t="n">
        <v>22.3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30328-2026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46207</v>
      </c>
      <c r="E380" s="1" t="n">
        <v>46301</v>
      </c>
      <c r="F380" t="inlineStr">
        <is>
          <t>NORRBOTTENS LÄN</t>
        </is>
      </c>
      <c r="G380" t="inlineStr">
        <is>
          <t>ÖVERKALIX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46301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23364-2026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46162</v>
      </c>
      <c r="E382" s="1" t="n">
        <v>46301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17.6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53732-2022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44880</v>
      </c>
      <c r="E383" s="1" t="n">
        <v>46301</v>
      </c>
      <c r="F383" t="inlineStr">
        <is>
          <t>NORRBOTTENS LÄN</t>
        </is>
      </c>
      <c r="G383" t="inlineStr">
        <is>
          <t>ÖVERKALIX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35226-2026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46260</v>
      </c>
      <c r="E384" s="1" t="n">
        <v>46301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35228-2026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46260</v>
      </c>
      <c r="E385" s="1" t="n">
        <v>46301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46301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42407-2022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44830</v>
      </c>
      <c r="E387" s="1" t="n">
        <v>46301</v>
      </c>
      <c r="F387" t="inlineStr">
        <is>
          <t>NORRBOTTENS LÄN</t>
        </is>
      </c>
      <c r="G387" t="inlineStr">
        <is>
          <t>ÖVERKALIX</t>
        </is>
      </c>
      <c r="I387" t="n">
        <v>9.1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44960</v>
      </c>
      <c r="E388" s="1" t="n">
        <v>46301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59911-2024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45641</v>
      </c>
      <c r="E389" s="1" t="n">
        <v>46301</v>
      </c>
      <c r="F389" t="inlineStr">
        <is>
          <t>NORRBOTTENS LÄN</t>
        </is>
      </c>
      <c r="G389" t="inlineStr">
        <is>
          <t>ÖVERKALIX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46266</v>
      </c>
      <c r="E390" s="1" t="n">
        <v>46301</v>
      </c>
      <c r="F390" t="inlineStr">
        <is>
          <t>NORRBOTTENS LÄN</t>
        </is>
      </c>
      <c r="G390" t="inlineStr">
        <is>
          <t>ÖVERKALIX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35191-2026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46260</v>
      </c>
      <c r="E391" s="1" t="n">
        <v>46301</v>
      </c>
      <c r="F391" t="inlineStr">
        <is>
          <t>NORRBOTTENS LÄN</t>
        </is>
      </c>
      <c r="G391" t="inlineStr">
        <is>
          <t>ÖVERKALIX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40329-2023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45169</v>
      </c>
      <c r="E392" s="1" t="n">
        <v>46301</v>
      </c>
      <c r="F392" t="inlineStr">
        <is>
          <t>NORRBOTTENS LÄN</t>
        </is>
      </c>
      <c r="G392" t="inlineStr">
        <is>
          <t>ÖVERKALIX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45308</v>
      </c>
      <c r="E393" s="1" t="n">
        <v>46301</v>
      </c>
      <c r="F393" t="inlineStr">
        <is>
          <t>NORRBOTTENS LÄN</t>
        </is>
      </c>
      <c r="G393" t="inlineStr">
        <is>
          <t>ÖVERKALIX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45308</v>
      </c>
      <c r="E394" s="1" t="n">
        <v>46301</v>
      </c>
      <c r="F394" t="inlineStr">
        <is>
          <t>NORRBOTTENS LÄN</t>
        </is>
      </c>
      <c r="G394" t="inlineStr">
        <is>
          <t>ÖVERKALIX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35950-2026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46266</v>
      </c>
      <c r="E395" s="1" t="n">
        <v>46301</v>
      </c>
      <c r="F395" t="inlineStr">
        <is>
          <t>NORRBOTTENS LÄN</t>
        </is>
      </c>
      <c r="G395" t="inlineStr">
        <is>
          <t>ÖVERKALIX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9849-2024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45363</v>
      </c>
      <c r="E396" s="1" t="n">
        <v>46301</v>
      </c>
      <c r="F396" t="inlineStr">
        <is>
          <t>NORRBOTTENS LÄN</t>
        </is>
      </c>
      <c r="G396" t="inlineStr">
        <is>
          <t>ÖVERKALIX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51058-2024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45603</v>
      </c>
      <c r="E397" s="1" t="n">
        <v>46301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46225</v>
      </c>
      <c r="E398" s="1" t="n">
        <v>46301</v>
      </c>
      <c r="F398" t="inlineStr">
        <is>
          <t>NORRBOTTENS LÄN</t>
        </is>
      </c>
      <c r="G398" t="inlineStr">
        <is>
          <t>ÖVERKALIX</t>
        </is>
      </c>
      <c r="I398" t="n">
        <v>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43314-2022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44834</v>
      </c>
      <c r="E399" s="1" t="n">
        <v>46301</v>
      </c>
      <c r="F399" t="inlineStr">
        <is>
          <t>NORRBOTTENS LÄN</t>
        </is>
      </c>
      <c r="G399" t="inlineStr">
        <is>
          <t>ÖVERKALIX</t>
        </is>
      </c>
      <c r="I399" t="n">
        <v>13.1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30881-2024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45498</v>
      </c>
      <c r="E400" s="1" t="n">
        <v>46301</v>
      </c>
      <c r="F400" t="inlineStr">
        <is>
          <t>NORRBOTTENS LÄN</t>
        </is>
      </c>
      <c r="G400" t="inlineStr">
        <is>
          <t>ÖVERKALIX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46301</v>
      </c>
      <c r="F401" t="inlineStr">
        <is>
          <t>NORRBOTTENS LÄN</t>
        </is>
      </c>
      <c r="G401" t="inlineStr">
        <is>
          <t>ÖVERKALIX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36141-2026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46267</v>
      </c>
      <c r="E402" s="1" t="n">
        <v>46301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46272</v>
      </c>
      <c r="E403" s="1" t="n">
        <v>46301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20.5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62269-2021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44502</v>
      </c>
      <c r="E404" s="1" t="n">
        <v>46301</v>
      </c>
      <c r="F404" t="inlineStr">
        <is>
          <t>NORRBOTTENS LÄN</t>
        </is>
      </c>
      <c r="G404" t="inlineStr">
        <is>
          <t>ÖVERKALIX</t>
        </is>
      </c>
      <c r="I404" t="n">
        <v>9.199999999999999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36570-2026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46269</v>
      </c>
      <c r="E405" s="1" t="n">
        <v>46301</v>
      </c>
      <c r="F405" t="inlineStr">
        <is>
          <t>NORRBOTTENS LÄN</t>
        </is>
      </c>
      <c r="G405" t="inlineStr">
        <is>
          <t>ÖVERKALIX</t>
        </is>
      </c>
      <c r="I405" t="n">
        <v>8.300000000000001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13372-2023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45005</v>
      </c>
      <c r="E406" s="1" t="n">
        <v>46301</v>
      </c>
      <c r="F406" t="inlineStr">
        <is>
          <t>NORRBOTTENS LÄN</t>
        </is>
      </c>
      <c r="G406" t="inlineStr">
        <is>
          <t>ÖVERKALIX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31832-2026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46230</v>
      </c>
      <c r="E407" s="1" t="n">
        <v>46301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36839-2023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45153</v>
      </c>
      <c r="E408" s="1" t="n">
        <v>46301</v>
      </c>
      <c r="F408" t="inlineStr">
        <is>
          <t>NORRBOTTENS LÄN</t>
        </is>
      </c>
      <c r="G408" t="inlineStr">
        <is>
          <t>ÖVERKALIX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46301</v>
      </c>
      <c r="F409" t="inlineStr">
        <is>
          <t>NORRBOTTENS LÄN</t>
        </is>
      </c>
      <c r="G409" t="inlineStr">
        <is>
          <t>ÖVERKALIX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45639</v>
      </c>
      <c r="E410" s="1" t="n">
        <v>46301</v>
      </c>
      <c r="F410" t="inlineStr">
        <is>
          <t>NORRBOTTENS LÄN</t>
        </is>
      </c>
      <c r="G410" t="inlineStr">
        <is>
          <t>ÖVERKALIX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37965-2026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46280</v>
      </c>
      <c r="E411" s="1" t="n">
        <v>46301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12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37683-2026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46278</v>
      </c>
      <c r="E412" s="1" t="n">
        <v>46301</v>
      </c>
      <c r="F412" t="inlineStr">
        <is>
          <t>NORRBOTTENS LÄN</t>
        </is>
      </c>
      <c r="G412" t="inlineStr">
        <is>
          <t>ÖVERKALIX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6641-2022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44601</v>
      </c>
      <c r="E413" s="1" t="n">
        <v>46301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49091-2024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45594</v>
      </c>
      <c r="E414" s="1" t="n">
        <v>46301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8026-2023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44973</v>
      </c>
      <c r="E415" s="1" t="n">
        <v>46301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36797-2023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45154</v>
      </c>
      <c r="E416" s="1" t="n">
        <v>46301</v>
      </c>
      <c r="F416" t="inlineStr">
        <is>
          <t>NORRBOTTENS LÄN</t>
        </is>
      </c>
      <c r="G416" t="inlineStr">
        <is>
          <t>ÖVERKALIX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38102-2026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46281</v>
      </c>
      <c r="E417" s="1" t="n">
        <v>46301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38218-2026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46281</v>
      </c>
      <c r="E418" s="1" t="n">
        <v>46301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8.9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46281</v>
      </c>
      <c r="E419" s="1" t="n">
        <v>46301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5382-2025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45692</v>
      </c>
      <c r="E420" s="1" t="n">
        <v>46301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46238</v>
      </c>
      <c r="E421" s="1" t="n">
        <v>46301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32616-2024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45513</v>
      </c>
      <c r="E422" s="1" t="n">
        <v>46301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60400-2022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44910</v>
      </c>
      <c r="E423" s="1" t="n">
        <v>46301</v>
      </c>
      <c r="F423" t="inlineStr">
        <is>
          <t>NORRBOTTENS LÄN</t>
        </is>
      </c>
      <c r="G423" t="inlineStr">
        <is>
          <t>ÖVERKALIX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38088-2023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45160</v>
      </c>
      <c r="E424" s="1" t="n">
        <v>46301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55226-2024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45621</v>
      </c>
      <c r="E425" s="1" t="n">
        <v>46301</v>
      </c>
      <c r="F425" t="inlineStr">
        <is>
          <t>NORRBOTTENS LÄN</t>
        </is>
      </c>
      <c r="G425" t="inlineStr">
        <is>
          <t>ÖVERKALIX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25698-2024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45463</v>
      </c>
      <c r="E426" s="1" t="n">
        <v>46301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48561-2024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45593</v>
      </c>
      <c r="E427" s="1" t="n">
        <v>46301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8.199999999999999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50862-2023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45218</v>
      </c>
      <c r="E428" s="1" t="n">
        <v>46301</v>
      </c>
      <c r="F428" t="inlineStr">
        <is>
          <t>NORRBOTTENS LÄN</t>
        </is>
      </c>
      <c r="G428" t="inlineStr">
        <is>
          <t>ÖVERKALIX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13058-2026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46301</v>
      </c>
      <c r="F429" t="inlineStr">
        <is>
          <t>NORRBOTTENS LÄN</t>
        </is>
      </c>
      <c r="G429" t="inlineStr">
        <is>
          <t>ÖVERKALIX</t>
        </is>
      </c>
      <c r="I429" t="n">
        <v>12.5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52075-2023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45223</v>
      </c>
      <c r="E430" s="1" t="n">
        <v>46301</v>
      </c>
      <c r="F430" t="inlineStr">
        <is>
          <t>NORRBOTTENS LÄN</t>
        </is>
      </c>
      <c r="G430" t="inlineStr">
        <is>
          <t>ÖVERKALIX</t>
        </is>
      </c>
      <c r="I430" t="n">
        <v>8.6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43173-2023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45180</v>
      </c>
      <c r="E431" s="1" t="n">
        <v>46301</v>
      </c>
      <c r="F431" t="inlineStr">
        <is>
          <t>NORRBOTTENS LÄN</t>
        </is>
      </c>
      <c r="G431" t="inlineStr">
        <is>
          <t>ÖVERKALIX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39371-2026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46288</v>
      </c>
      <c r="E432" s="1" t="n">
        <v>46301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2993-2024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45315</v>
      </c>
      <c r="E433" s="1" t="n">
        <v>46301</v>
      </c>
      <c r="F433" t="inlineStr">
        <is>
          <t>NORRBOTTENS LÄN</t>
        </is>
      </c>
      <c r="G433" t="inlineStr">
        <is>
          <t>ÖVERKALIX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46287</v>
      </c>
      <c r="E434" s="1" t="n">
        <v>46301</v>
      </c>
      <c r="F434" t="inlineStr">
        <is>
          <t>NORRBOTTENS LÄN</t>
        </is>
      </c>
      <c r="G434" t="inlineStr">
        <is>
          <t>ÖVERKALIX</t>
        </is>
      </c>
      <c r="I434" t="n">
        <v>12.9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39203-2026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46287</v>
      </c>
      <c r="E435" s="1" t="n">
        <v>46301</v>
      </c>
      <c r="F435" t="inlineStr">
        <is>
          <t>NORRBOTTENS LÄN</t>
        </is>
      </c>
      <c r="G435" t="inlineStr">
        <is>
          <t>ÖVERKALIX</t>
        </is>
      </c>
      <c r="I435" t="n">
        <v>9.5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32962-2026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46244</v>
      </c>
      <c r="E436" s="1" t="n">
        <v>46301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3704-2024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45321</v>
      </c>
      <c r="E437" s="1" t="n">
        <v>46301</v>
      </c>
      <c r="F437" t="inlineStr">
        <is>
          <t>NORRBOTTENS LÄN</t>
        </is>
      </c>
      <c r="G437" t="inlineStr">
        <is>
          <t>ÖVERKALIX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46247</v>
      </c>
      <c r="E438" s="1" t="n">
        <v>46301</v>
      </c>
      <c r="F438" t="inlineStr">
        <is>
          <t>NORRBOTTENS LÄN</t>
        </is>
      </c>
      <c r="G438" t="inlineStr">
        <is>
          <t>ÖVERKALIX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52647-2024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45610</v>
      </c>
      <c r="E439" s="1" t="n">
        <v>46301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46301</v>
      </c>
      <c r="F440" t="inlineStr">
        <is>
          <t>NORRBOTTENS LÄN</t>
        </is>
      </c>
      <c r="G440" t="inlineStr">
        <is>
          <t>ÖVERKALIX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39710-2026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46290</v>
      </c>
      <c r="E441" s="1" t="n">
        <v>46301</v>
      </c>
      <c r="F441" t="inlineStr">
        <is>
          <t>NORRBOTTENS LÄN</t>
        </is>
      </c>
      <c r="G441" t="inlineStr">
        <is>
          <t>ÖVERKALIX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46301</v>
      </c>
      <c r="F442" t="inlineStr">
        <is>
          <t>NORRBOTTENS LÄN</t>
        </is>
      </c>
      <c r="G442" t="inlineStr">
        <is>
          <t>ÖVERKALIX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33284-2026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46246</v>
      </c>
      <c r="E443" s="1" t="n">
        <v>46301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46288</v>
      </c>
      <c r="E444" s="1" t="n">
        <v>46301</v>
      </c>
      <c r="F444" t="inlineStr">
        <is>
          <t>NORRBOTTENS LÄN</t>
        </is>
      </c>
      <c r="G444" t="inlineStr">
        <is>
          <t>ÖVERKALIX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45463</v>
      </c>
      <c r="E445" s="1" t="n">
        <v>46301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46301</v>
      </c>
      <c r="F446" t="inlineStr">
        <is>
          <t>NORRBOTTENS LÄN</t>
        </is>
      </c>
      <c r="G446" t="inlineStr">
        <is>
          <t>ÖVERKALIX</t>
        </is>
      </c>
      <c r="I446" t="n">
        <v>9.4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40155-2024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45554</v>
      </c>
      <c r="E447" s="1" t="n">
        <v>46301</v>
      </c>
      <c r="F447" t="inlineStr">
        <is>
          <t>NORRBOTTENS LÄN</t>
        </is>
      </c>
      <c r="G447" t="inlineStr">
        <is>
          <t>ÖVERKALIX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40155-2026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46293</v>
      </c>
      <c r="E448" s="1" t="n">
        <v>46301</v>
      </c>
      <c r="F448" t="inlineStr">
        <is>
          <t>NORRBOTTENS LÄN</t>
        </is>
      </c>
      <c r="G448" t="inlineStr">
        <is>
          <t>ÖVERKALIX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38941-2024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45548</v>
      </c>
      <c r="E449" s="1" t="n">
        <v>46301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39658-2025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45890</v>
      </c>
      <c r="E450" s="1" t="n">
        <v>46301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13.4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21520-2025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45782</v>
      </c>
      <c r="E451" s="1" t="n">
        <v>46301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40590-2026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46295</v>
      </c>
      <c r="E452" s="1" t="n">
        <v>46301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33927-2026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46252</v>
      </c>
      <c r="E453" s="1" t="n">
        <v>46301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40726-2026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46296</v>
      </c>
      <c r="E454" s="1" t="n">
        <v>46301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40659-2026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46296</v>
      </c>
      <c r="E455" s="1" t="n">
        <v>46301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27.1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45785</v>
      </c>
      <c r="E456" s="1" t="n">
        <v>46301</v>
      </c>
      <c r="F456" t="inlineStr">
        <is>
          <t>NORRBOTTENS LÄN</t>
        </is>
      </c>
      <c r="G456" t="inlineStr">
        <is>
          <t>ÖVERKALIX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32933-2026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46244</v>
      </c>
      <c r="E457" s="1" t="n">
        <v>46301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40980-2026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46297</v>
      </c>
      <c r="E458" s="1" t="n">
        <v>46301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23870-2025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45793</v>
      </c>
      <c r="E459" s="1" t="n">
        <v>46301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8.5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24144-2025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46301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46254</v>
      </c>
      <c r="E461" s="1" t="n">
        <v>46301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34838-2026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46301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11.5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46301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24141-2025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45796</v>
      </c>
      <c r="E464" s="1" t="n">
        <v>46301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45793</v>
      </c>
      <c r="E465" s="1" t="n">
        <v>46301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23873-2025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45793</v>
      </c>
      <c r="E466" s="1" t="n">
        <v>46301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34358-2026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46254</v>
      </c>
      <c r="E467" s="1" t="n">
        <v>46301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33.7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34362-2026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46254</v>
      </c>
      <c r="E468" s="1" t="n">
        <v>46301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9.199999999999999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12177-2024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45377</v>
      </c>
      <c r="E469" s="1" t="n">
        <v>46301</v>
      </c>
      <c r="F469" t="inlineStr">
        <is>
          <t>NORRBOTTENS LÄN</t>
        </is>
      </c>
      <c r="G469" t="inlineStr">
        <is>
          <t>ÖVERKALIX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4114-2024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45323</v>
      </c>
      <c r="E470" s="1" t="n">
        <v>46301</v>
      </c>
      <c r="F470" t="inlineStr">
        <is>
          <t>NORRBOTTENS LÄN</t>
        </is>
      </c>
      <c r="G470" t="inlineStr">
        <is>
          <t>ÖVERKALIX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25629-2025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45803</v>
      </c>
      <c r="E471" s="1" t="n">
        <v>46301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6.5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3721-2022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44741</v>
      </c>
      <c r="E472" s="1" t="n">
        <v>46301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2792-2024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45485</v>
      </c>
      <c r="E473" s="1" t="n">
        <v>46301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2700-2024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45482</v>
      </c>
      <c r="E474" s="1" t="n">
        <v>46301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4734-2024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45607</v>
      </c>
      <c r="E475" s="1" t="n">
        <v>46301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1178-2025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45756</v>
      </c>
      <c r="E476" s="1" t="n">
        <v>46301</v>
      </c>
      <c r="F476" t="inlineStr">
        <is>
          <t>NORRBOTTENS LÄN</t>
        </is>
      </c>
      <c r="G476" t="inlineStr">
        <is>
          <t>ÖVERKALIX</t>
        </is>
      </c>
      <c r="I476" t="n">
        <v>39.9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1667-2025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45800</v>
      </c>
      <c r="E477" s="1" t="n">
        <v>46301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50-2026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46030</v>
      </c>
      <c r="E478" s="1" t="n">
        <v>46301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2026-10-06T01:55:56Z</dcterms:created>
  <dcterms:modified xmlns:dcterms="http://purl.org/dc/terms/" xmlns:xsi="http://www.w3.org/2001/XMLSchema-instance" xsi:type="dcterms:W3CDTF">2026-10-06T01:55:57Z</dcterms:modified>
</cp:coreProperties>
</file>