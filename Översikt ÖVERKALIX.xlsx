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46289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46289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23383-2026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46162</v>
      </c>
      <c r="E4" s="1" t="n">
        <v>46289</v>
      </c>
      <c r="F4" t="inlineStr">
        <is>
          <t>NORRBOTTENS LÄN</t>
        </is>
      </c>
      <c r="G4" t="inlineStr">
        <is>
          <t>ÖVERKALIX</t>
        </is>
      </c>
      <c r="I4" t="n">
        <v>2.6</v>
      </c>
      <c r="J4" t="n">
        <v>4</v>
      </c>
      <c r="K4" t="n">
        <v>5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Knärot
Myskmåra
Tretåig hackspett
Björksplintborre
Nästlav
Sotlav
Trådticka
Vågbandad barkbock
Järpe
Liljekonvalj
Sälg
Tjäder</t>
        </is>
      </c>
      <c r="W4">
        <f>HYPERLINK("https://klasma.github.io/Logging_2513/artfynd/A 23383-2026 artfynd.xlsx", "A 23383-2026")</f>
        <v/>
      </c>
      <c r="X4">
        <f>HYPERLINK("https://klasma.github.io/Logging_2513/kartor/A 23383-2026 karta.png", "A 23383-2026")</f>
        <v/>
      </c>
      <c r="Y4">
        <f>HYPERLINK("https://klasma.github.io/Logging_2513/kartor_geotiff/A 23383-2026 georefererad karta.tif", "A 23383-2026")</f>
        <v/>
      </c>
      <c r="Z4">
        <f>HYPERLINK("https://klasma.github.io/Logging_2513/knärot/A 23383-2026 karta knärot.png", "A 23383-2026")</f>
        <v/>
      </c>
      <c r="AA4">
        <f>HYPERLINK("https://klasma.github.io/Logging_2513/klagomål/A 23383-2026 FSC-klagomål.docx", "A 23383-2026")</f>
        <v/>
      </c>
      <c r="AB4">
        <f>HYPERLINK("https://klasma.github.io/Logging_2513/klagomålsmail/A 23383-2026 FSC-klagomål mail.docx", "A 23383-2026")</f>
        <v/>
      </c>
      <c r="AC4">
        <f>HYPERLINK("https://klasma.github.io/Logging_2513/tillsyn/A 23383-2026 tillsynsbegäran.docx", "A 23383-2026")</f>
        <v/>
      </c>
      <c r="AD4">
        <f>HYPERLINK("https://klasma.github.io/Logging_2513/tillsynsmail/A 23383-2026 tillsynsbegäran mail.docx", "A 23383-2026")</f>
        <v/>
      </c>
      <c r="AE4">
        <f>HYPERLINK("https://klasma.github.io/Logging_2513/fåglar/A 23383-2026 prioriterade fågelarter.docx", "A 23383-2026")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46289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43065-2025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45909</v>
      </c>
      <c r="E6" s="1" t="n">
        <v>46289</v>
      </c>
      <c r="F6" t="inlineStr">
        <is>
          <t>NORRBOTTENS LÄN</t>
        </is>
      </c>
      <c r="G6" t="inlineStr">
        <is>
          <t>ÖVERKALIX</t>
        </is>
      </c>
      <c r="I6" t="n">
        <v>8.9</v>
      </c>
      <c r="J6" t="n">
        <v>3</v>
      </c>
      <c r="K6" t="n">
        <v>2</v>
      </c>
      <c r="L6" t="n">
        <v>8</v>
      </c>
      <c r="M6" t="n">
        <v>2</v>
      </c>
      <c r="N6" t="n">
        <v>0</v>
      </c>
      <c r="O6" t="n">
        <v>0</v>
      </c>
      <c r="P6" t="n">
        <v>0</v>
      </c>
      <c r="Q6" t="n">
        <v>10</v>
      </c>
      <c r="R6" t="n">
        <v>2</v>
      </c>
      <c r="S6" t="n">
        <v>13</v>
      </c>
      <c r="T6" t="n">
        <v>39</v>
      </c>
      <c r="U6" t="n">
        <v>39</v>
      </c>
      <c r="V6" s="2" t="inlineStr">
        <is>
          <t>Garnlav
Smalfotad taggsvamp
Dropptaggsvamp
Nordtagging
Orange taggsvamp
Skarp dropptaggsvamp
Tallriska
Talltagel
Talltita
Vedskivlav
Nästlav
Plattlummer
Tjäder</t>
        </is>
      </c>
      <c r="W6">
        <f>HYPERLINK("https://klasma.github.io/Logging_2513/artfynd/A 43065-2025 artfynd.xlsx", "A 43065-2025")</f>
        <v/>
      </c>
      <c r="X6">
        <f>HYPERLINK("https://klasma.github.io/Logging_2513/kartor/A 43065-2025 karta.png", "A 43065-2025")</f>
        <v/>
      </c>
      <c r="Y6">
        <f>HYPERLINK("https://klasma.github.io/Logging_2513/kartor_geotiff/A 43065-2025 georefererad karta.tif", "A 43065-2025")</f>
        <v/>
      </c>
      <c r="AA6">
        <f>HYPERLINK("https://klasma.github.io/Logging_2513/klagomål/A 43065-2025 FSC-klagomål.docx", "A 43065-2025")</f>
        <v/>
      </c>
      <c r="AB6">
        <f>HYPERLINK("https://klasma.github.io/Logging_2513/klagomålsmail/A 43065-2025 FSC-klagomål mail.docx", "A 43065-2025")</f>
        <v/>
      </c>
      <c r="AC6">
        <f>HYPERLINK("https://klasma.github.io/Logging_2513/tillsyn/A 43065-2025 tillsynsbegäran.docx", "A 43065-2025")</f>
        <v/>
      </c>
      <c r="AD6">
        <f>HYPERLINK("https://klasma.github.io/Logging_2513/tillsynsmail/A 43065-2025 tillsynsbegäran mail.docx", "A 43065-2025")</f>
        <v/>
      </c>
      <c r="AE6">
        <f>HYPERLINK("https://klasma.github.io/Logging_2513/fåglar/A 43065-2025 prioriterade fågelarter.docx", "A 43065-2025")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46289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46289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46289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46289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46289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46289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46289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46289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1827-2025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46289</v>
      </c>
      <c r="F15" t="inlineStr">
        <is>
          <t>NORRBOTTENS LÄN</t>
        </is>
      </c>
      <c r="G15" t="inlineStr">
        <is>
          <t>ÖVERKALIX</t>
        </is>
      </c>
      <c r="I15" t="n">
        <v>7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Stuplav
Spillkråka
Tjäder</t>
        </is>
      </c>
      <c r="W15">
        <f>HYPERLINK("https://klasma.github.io/Logging_2513/artfynd/A 1827-2025 artfynd.xlsx", "A 1827-2025")</f>
        <v/>
      </c>
      <c r="X15">
        <f>HYPERLINK("https://klasma.github.io/Logging_2513/kartor/A 1827-2025 karta.png", "A 1827-2025")</f>
        <v/>
      </c>
      <c r="Y15">
        <f>HYPERLINK("https://klasma.github.io/Logging_2513/kartor_geotiff/A 1827-2025 georefererad karta.tif", "A 1827-2025")</f>
        <v/>
      </c>
      <c r="AA15">
        <f>HYPERLINK("https://klasma.github.io/Logging_2513/klagomål/A 1827-2025 FSC-klagomål.docx", "A 1827-2025")</f>
        <v/>
      </c>
      <c r="AB15">
        <f>HYPERLINK("https://klasma.github.io/Logging_2513/klagomålsmail/A 1827-2025 FSC-klagomål mail.docx", "A 1827-2025")</f>
        <v/>
      </c>
      <c r="AC15">
        <f>HYPERLINK("https://klasma.github.io/Logging_2513/tillsyn/A 1827-2025 tillsynsbegäran.docx", "A 1827-2025")</f>
        <v/>
      </c>
      <c r="AD15">
        <f>HYPERLINK("https://klasma.github.io/Logging_2513/tillsynsmail/A 1827-2025 tillsynsbegäran mail.docx", "A 1827-2025")</f>
        <v/>
      </c>
      <c r="AE15">
        <f>HYPERLINK("https://klasma.github.io/Logging_2513/fåglar/A 1827-2025 prioriterade fågelarter.docx", "A 1827-2025")</f>
        <v/>
      </c>
    </row>
    <row r="16" ht="15" customHeight="1">
      <c r="A16" t="inlineStr">
        <is>
          <t>S 440-2023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44960</v>
      </c>
      <c r="E16" s="1" t="n">
        <v>46289</v>
      </c>
      <c r="F16" t="inlineStr">
        <is>
          <t>NORRBOTTENS LÄN</t>
        </is>
      </c>
      <c r="G16" t="inlineStr">
        <is>
          <t>ÖVERKALIX</t>
        </is>
      </c>
      <c r="H16" t="inlineStr">
        <is>
          <t>SCA</t>
        </is>
      </c>
      <c r="I16" t="n">
        <v>164.8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1</v>
      </c>
      <c r="V16" s="2" t="inlineStr">
        <is>
          <t>Älg
Järpe
Spillkråka
Tallbit</t>
        </is>
      </c>
      <c r="W16">
        <f>HYPERLINK("https://klasma.github.io/Logging_2513/artfynd/S 440-2023 artfynd.xlsx", "S 440-2023")</f>
        <v/>
      </c>
      <c r="X16">
        <f>HYPERLINK("https://klasma.github.io/Logging_2513/kartor/S 440-2023 karta.png", "S 440-2023")</f>
        <v/>
      </c>
      <c r="Y16">
        <f>HYPERLINK("https://klasma.github.io/Logging_2513/kartor_geotiff/S 440-2023 georefererad karta.tif", "S 440-2023")</f>
        <v/>
      </c>
      <c r="AA16">
        <f>HYPERLINK("https://klasma.github.io/Logging_2513/klagomål/S 440-2023 FSC-klagomål.docx", "S 440-2023")</f>
        <v/>
      </c>
      <c r="AB16">
        <f>HYPERLINK("https://klasma.github.io/Logging_2513/klagomålsmail/S 440-2023 FSC-klagomål mail.docx", "S 440-2023")</f>
        <v/>
      </c>
      <c r="AC16">
        <f>HYPERLINK("https://klasma.github.io/Logging_2513/tillsyn/S 440-2023 tillsynsbegäran.docx", "S 440-2023")</f>
        <v/>
      </c>
      <c r="AD16">
        <f>HYPERLINK("https://klasma.github.io/Logging_2513/tillsynsmail/S 440-2023 tillsynsbegäran mail.docx", "S 440-2023")</f>
        <v/>
      </c>
      <c r="AE16">
        <f>HYPERLINK("https://klasma.github.io/Logging_2513/fåglar/S 440-2023 prioriterade fågelarter.docx", "S 440-2023")</f>
        <v/>
      </c>
    </row>
    <row r="17" ht="15" customHeight="1">
      <c r="A17" t="inlineStr">
        <is>
          <t>S 2267-2025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45874</v>
      </c>
      <c r="E17" s="1" t="n">
        <v>46289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1.7</v>
      </c>
      <c r="J17" t="n">
        <v>1</v>
      </c>
      <c r="K17" t="n">
        <v>0</v>
      </c>
      <c r="L17" t="n">
        <v>2</v>
      </c>
      <c r="M17" t="n">
        <v>1</v>
      </c>
      <c r="N17" t="n">
        <v>1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4</v>
      </c>
      <c r="U17" t="n">
        <v>0</v>
      </c>
      <c r="V17" s="2" t="inlineStr">
        <is>
          <t>Djupsvart brunbagge
Tornseglare
Rosenticka
Ullticka</t>
        </is>
      </c>
      <c r="W17">
        <f>HYPERLINK("https://klasma.github.io/Logging_2513/artfynd/S 2267-2025 artfynd.xlsx", "S 2267-2025")</f>
        <v/>
      </c>
      <c r="X17">
        <f>HYPERLINK("https://klasma.github.io/Logging_2513/kartor/S 2267-2025 karta.png", "S 2267-2025")</f>
        <v/>
      </c>
      <c r="Y17">
        <f>HYPERLINK("https://klasma.github.io/Logging_2513/kartor_geotiff/S 2267-2025 georefererad karta.tif", "S 2267-2025")</f>
        <v/>
      </c>
      <c r="AA17">
        <f>HYPERLINK("https://klasma.github.io/Logging_2513/klagomål/S 2267-2025 FSC-klagomål.docx", "S 2267-2025")</f>
        <v/>
      </c>
      <c r="AB17">
        <f>HYPERLINK("https://klasma.github.io/Logging_2513/klagomålsmail/S 2267-2025 FSC-klagomål mail.docx", "S 2267-2025")</f>
        <v/>
      </c>
      <c r="AC17">
        <f>HYPERLINK("https://klasma.github.io/Logging_2513/tillsyn/S 2267-2025 tillsynsbegäran.docx", "S 2267-2025")</f>
        <v/>
      </c>
      <c r="AD17">
        <f>HYPERLINK("https://klasma.github.io/Logging_2513/tillsynsmail/S 2267-2025 tillsynsbegäran mail.docx", "S 2267-2025")</f>
        <v/>
      </c>
      <c r="AE17">
        <f>HYPERLINK("https://klasma.github.io/Logging_2513/fåglar/S 2267-2025 prioriterade fågelarter.docx", "S 2267-2025")</f>
        <v/>
      </c>
    </row>
    <row r="18" ht="15" customHeight="1">
      <c r="A18" t="inlineStr">
        <is>
          <t>A 42861-2025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46289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3.7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 taggsvamp
Dropptaggsvamp
Skarp dropptaggsvamp</t>
        </is>
      </c>
      <c r="W18">
        <f>HYPERLINK("https://klasma.github.io/Logging_2513/artfynd/A 42861-2025 artfynd.xlsx", "A 42861-2025")</f>
        <v/>
      </c>
      <c r="X18">
        <f>HYPERLINK("https://klasma.github.io/Logging_2513/kartor/A 42861-2025 karta.png", "A 42861-2025")</f>
        <v/>
      </c>
      <c r="Y18">
        <f>HYPERLINK("https://klasma.github.io/Logging_2513/kartor_geotiff/A 42861-2025 georefererad karta.tif", "A 42861-2025")</f>
        <v/>
      </c>
      <c r="AA18">
        <f>HYPERLINK("https://klasma.github.io/Logging_2513/klagomål/A 42861-2025 FSC-klagomål.docx", "A 42861-2025")</f>
        <v/>
      </c>
      <c r="AB18">
        <f>HYPERLINK("https://klasma.github.io/Logging_2513/klagomålsmail/A 42861-2025 FSC-klagomål mail.docx", "A 42861-2025")</f>
        <v/>
      </c>
      <c r="AC18">
        <f>HYPERLINK("https://klasma.github.io/Logging_2513/tillsyn/A 42861-2025 tillsynsbegäran.docx", "A 42861-2025")</f>
        <v/>
      </c>
      <c r="AD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46289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 taggsvamp
Dropptaggsvamp
Skarp dropptaggsvamp</t>
        </is>
      </c>
      <c r="W19">
        <f>HYPERLINK("https://klasma.github.io/Logging_2513/artfynd/A 42872-2025 artfynd.xlsx", "A 42872-2025")</f>
        <v/>
      </c>
      <c r="X19">
        <f>HYPERLINK("https://klasma.github.io/Logging_2513/kartor/A 42872-2025 karta.png", "A 42872-2025")</f>
        <v/>
      </c>
      <c r="Y19">
        <f>HYPERLINK("https://klasma.github.io/Logging_2513/kartor_geotiff/A 42872-2025 georefererad karta.tif", "A 42872-2025")</f>
        <v/>
      </c>
      <c r="AA19">
        <f>HYPERLINK("https://klasma.github.io/Logging_2513/klagomål/A 42872-2025 FSC-klagomål.docx", "A 42872-2025")</f>
        <v/>
      </c>
      <c r="AB19">
        <f>HYPERLINK("https://klasma.github.io/Logging_2513/klagomålsmail/A 42872-2025 FSC-klagomål mail.docx", "A 42872-2025")</f>
        <v/>
      </c>
      <c r="AC19">
        <f>HYPERLINK("https://klasma.github.io/Logging_2513/tillsyn/A 42872-2025 tillsynsbegäran.docx", "A 42872-2025")</f>
        <v/>
      </c>
      <c r="AD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46289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45831</v>
      </c>
      <c r="E22" s="1" t="n">
        <v>46289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5.3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Gammelgransskål
Bollvitmossa
Järpe</t>
        </is>
      </c>
      <c r="W22">
        <f>HYPERLINK("https://klasma.github.io/Logging_2513/artfynd/A 30525-2025 artfynd.xlsx", "A 30525-2025")</f>
        <v/>
      </c>
      <c r="X22">
        <f>HYPERLINK("https://klasma.github.io/Logging_2513/kartor/A 30525-2025 karta.png", "A 30525-2025")</f>
        <v/>
      </c>
      <c r="Y22">
        <f>HYPERLINK("https://klasma.github.io/Logging_2513/kartor_geotiff/A 30525-2025 georefererad karta.tif", "A 30525-2025")</f>
        <v/>
      </c>
      <c r="AA22">
        <f>HYPERLINK("https://klasma.github.io/Logging_2513/klagomål/A 30525-2025 FSC-klagomål.docx", "A 30525-2025")</f>
        <v/>
      </c>
      <c r="AB22">
        <f>HYPERLINK("https://klasma.github.io/Logging_2513/klagomålsmail/A 30525-2025 FSC-klagomål mail.docx", "A 30525-2025")</f>
        <v/>
      </c>
      <c r="AC22">
        <f>HYPERLINK("https://klasma.github.io/Logging_2513/tillsyn/A 30525-2025 tillsynsbegäran.docx", "A 30525-2025")</f>
        <v/>
      </c>
      <c r="AD22">
        <f>HYPERLINK("https://klasma.github.io/Logging_2513/tillsynsmail/A 30525-2025 tillsynsbegäran mail.docx", "A 30525-2025")</f>
        <v/>
      </c>
      <c r="AE22">
        <f>HYPERLINK("https://klasma.github.io/Logging_2513/fåglar/A 30525-2025 prioriterade fågelarter.docx", "A 30525-2025")</f>
        <v/>
      </c>
    </row>
    <row r="23" ht="15" customHeight="1">
      <c r="A23" t="inlineStr">
        <is>
          <t>A 17802-2025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45758</v>
      </c>
      <c r="E23" s="1" t="n">
        <v>46289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Hökuggla
Älg
Tjäder</t>
        </is>
      </c>
      <c r="W23">
        <f>HYPERLINK("https://klasma.github.io/Logging_2513/artfynd/A 17802-2025 artfynd.xlsx", "A 17802-2025")</f>
        <v/>
      </c>
      <c r="X23">
        <f>HYPERLINK("https://klasma.github.io/Logging_2513/kartor/A 17802-2025 karta.png", "A 17802-2025")</f>
        <v/>
      </c>
      <c r="Y23">
        <f>HYPERLINK("https://klasma.github.io/Logging_2513/kartor_geotiff/A 17802-2025 georefererad karta.tif", "A 17802-2025")</f>
        <v/>
      </c>
      <c r="AA23">
        <f>HYPERLINK("https://klasma.github.io/Logging_2513/klagomål/A 17802-2025 FSC-klagomål.docx", "A 17802-2025")</f>
        <v/>
      </c>
      <c r="AB23">
        <f>HYPERLINK("https://klasma.github.io/Logging_2513/klagomålsmail/A 17802-2025 FSC-klagomål mail.docx", "A 17802-2025")</f>
        <v/>
      </c>
      <c r="AC23">
        <f>HYPERLINK("https://klasma.github.io/Logging_2513/tillsyn/A 17802-2025 tillsynsbegäran.docx", "A 17802-2025")</f>
        <v/>
      </c>
      <c r="AD23">
        <f>HYPERLINK("https://klasma.github.io/Logging_2513/tillsynsmail/A 17802-2025 tillsynsbegäran mail.docx", "A 17802-2025")</f>
        <v/>
      </c>
      <c r="AE23">
        <f>HYPERLINK("https://klasma.github.io/Logging_2513/fåglar/A 17802-2025 prioriterade fågelarter.docx", "A 17802-2025")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46289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46289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46289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46289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40706-2023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45170</v>
      </c>
      <c r="E29" s="1" t="n">
        <v>46289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7.1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Dropptaggsvamp</t>
        </is>
      </c>
      <c r="W29">
        <f>HYPERLINK("https://klasma.github.io/Logging_2513/artfynd/A 40706-2023 artfynd.xlsx", "A 40706-2023")</f>
        <v/>
      </c>
      <c r="X29">
        <f>HYPERLINK("https://klasma.github.io/Logging_2513/kartor/A 40706-2023 karta.png", "A 40706-2023")</f>
        <v/>
      </c>
      <c r="Y29">
        <f>HYPERLINK("https://klasma.github.io/Logging_2513/kartor_geotiff/A 40706-2023 georefererad karta.tif", "A 40706-2023")</f>
        <v/>
      </c>
      <c r="Z29">
        <f>HYPERLINK("https://klasma.github.io/Logging_2513/knärot/A 40706-2023 karta knärot.png", "A 40706-2023")</f>
        <v/>
      </c>
      <c r="AA29">
        <f>HYPERLINK("https://klasma.github.io/Logging_2513/klagomål/A 40706-2023 FSC-klagomål.docx", "A 40706-2023")</f>
        <v/>
      </c>
      <c r="AB29">
        <f>HYPERLINK("https://klasma.github.io/Logging_2513/klagomålsmail/A 40706-2023 FSC-klagomål mail.docx", "A 40706-2023")</f>
        <v/>
      </c>
      <c r="AC29">
        <f>HYPERLINK("https://klasma.github.io/Logging_2513/tillsyn/A 40706-2023 tillsynsbegäran.docx", "A 40706-2023")</f>
        <v/>
      </c>
      <c r="AD29">
        <f>HYPERLINK("https://klasma.github.io/Logging_2513/tillsynsmail/A 40706-2023 tillsynsbegäran mail.docx", "A 40706-2023")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46289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46289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46289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46289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26452-2025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45807</v>
      </c>
      <c r="E35" s="1" t="n">
        <v>46289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Stor aspticka</t>
        </is>
      </c>
      <c r="W35">
        <f>HYPERLINK("https://klasma.github.io/Logging_2513/artfynd/A 26452-2025 artfynd.xlsx", "A 26452-2025")</f>
        <v/>
      </c>
      <c r="X35">
        <f>HYPERLINK("https://klasma.github.io/Logging_2513/kartor/A 26452-2025 karta.png", "A 26452-2025")</f>
        <v/>
      </c>
      <c r="Y35">
        <f>HYPERLINK("https://klasma.github.io/Logging_2513/kartor_geotiff/A 26452-2025 georefererad karta.tif", "A 26452-2025")</f>
        <v/>
      </c>
      <c r="AA35">
        <f>HYPERLINK("https://klasma.github.io/Logging_2513/klagomål/A 26452-2025 FSC-klagomål.docx", "A 26452-2025")</f>
        <v/>
      </c>
      <c r="AB35">
        <f>HYPERLINK("https://klasma.github.io/Logging_2513/klagomålsmail/A 26452-2025 FSC-klagomål mail.docx", "A 26452-2025")</f>
        <v/>
      </c>
      <c r="AC35">
        <f>HYPERLINK("https://klasma.github.io/Logging_2513/tillsyn/A 26452-2025 tillsynsbegäran.docx", "A 26452-2025")</f>
        <v/>
      </c>
      <c r="AD35">
        <f>HYPERLINK("https://klasma.github.io/Logging_2513/tillsynsmail/A 26452-2025 tillsynsbegäran mail.docx", "A 26452-2025")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46289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46289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46289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46289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14152-2026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46289</v>
      </c>
      <c r="F40" t="inlineStr">
        <is>
          <t>NORRBOTTENS LÄN</t>
        </is>
      </c>
      <c r="G40" t="inlineStr">
        <is>
          <t>ÖVERKALIX</t>
        </is>
      </c>
      <c r="I40" t="n">
        <v>4.6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Källpraktmossa
Spädstarr</t>
        </is>
      </c>
      <c r="W40">
        <f>HYPERLINK("https://klasma.github.io/Logging_2513/artfynd/A 14152-2026 artfynd.xlsx", "A 14152-2026")</f>
        <v/>
      </c>
      <c r="X40">
        <f>HYPERLINK("https://klasma.github.io/Logging_2513/kartor/A 14152-2026 karta.png", "A 14152-2026")</f>
        <v/>
      </c>
      <c r="Y40">
        <f>HYPERLINK("https://klasma.github.io/Logging_2513/kartor_geotiff/A 14152-2026 georefererad karta.tif", "A 14152-2026")</f>
        <v/>
      </c>
      <c r="AA40">
        <f>HYPERLINK("https://klasma.github.io/Logging_2513/klagomål/A 14152-2026 FSC-klagomål.docx", "A 14152-2026")</f>
        <v/>
      </c>
      <c r="AB40">
        <f>HYPERLINK("https://klasma.github.io/Logging_2513/klagomålsmail/A 14152-2026 FSC-klagomål mail.docx", "A 14152-2026")</f>
        <v/>
      </c>
      <c r="AC40">
        <f>HYPERLINK("https://klasma.github.io/Logging_2513/tillsyn/A 14152-2026 tillsynsbegäran.docx", "A 14152-2026")</f>
        <v/>
      </c>
      <c r="AD40">
        <f>HYPERLINK("https://klasma.github.io/Logging_2513/tillsynsmail/A 14152-2026 tillsynsbegäran mail.docx", "A 14152-2026")</f>
        <v/>
      </c>
    </row>
    <row r="41" ht="15" customHeight="1">
      <c r="A41" t="inlineStr">
        <is>
          <t>A 34921-2025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46289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16.4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Gammelgransskål
Lunglav</t>
        </is>
      </c>
      <c r="W41">
        <f>HYPERLINK("https://klasma.github.io/Logging_2513/artfynd/A 34921-2025 artfynd.xlsx", "A 34921-2025")</f>
        <v/>
      </c>
      <c r="X41">
        <f>HYPERLINK("https://klasma.github.io/Logging_2513/kartor/A 34921-2025 karta.png", "A 34921-2025")</f>
        <v/>
      </c>
      <c r="Y41">
        <f>HYPERLINK("https://klasma.github.io/Logging_2513/kartor_geotiff/A 34921-2025 georefererad karta.tif", "A 34921-2025")</f>
        <v/>
      </c>
      <c r="AA41">
        <f>HYPERLINK("https://klasma.github.io/Logging_2513/klagomål/A 34921-2025 FSC-klagomål.docx", "A 34921-2025")</f>
        <v/>
      </c>
      <c r="AB41">
        <f>HYPERLINK("https://klasma.github.io/Logging_2513/klagomålsmail/A 34921-2025 FSC-klagomål mail.docx", "A 34921-2025")</f>
        <v/>
      </c>
      <c r="AC41">
        <f>HYPERLINK("https://klasma.github.io/Logging_2513/tillsyn/A 34921-2025 tillsynsbegäran.docx", "A 34921-2025")</f>
        <v/>
      </c>
      <c r="AD41">
        <f>HYPERLINK("https://klasma.github.io/Logging_2513/tillsynsmail/A 34921-2025 tillsynsbegäran mail.docx", "A 34921-2025")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46289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46289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Stor aspticka
Vedticka</t>
        </is>
      </c>
      <c r="W43">
        <f>HYPERLINK("https://klasma.github.io/Logging_2513/artfynd/A 60509-2021 artfynd.xlsx", "A 60509-2021")</f>
        <v/>
      </c>
      <c r="X43">
        <f>HYPERLINK("https://klasma.github.io/Logging_2513/kartor/A 60509-2021 karta.png", "A 60509-2021")</f>
        <v/>
      </c>
      <c r="Y43">
        <f>HYPERLINK("https://klasma.github.io/Logging_2513/kartor_geotiff/A 60509-2021 georefererad karta.tif", "A 60509-2021")</f>
        <v/>
      </c>
      <c r="AA43">
        <f>HYPERLINK("https://klasma.github.io/Logging_2513/klagomål/A 60509-2021 FSC-klagomål.docx", "A 60509-2021")</f>
        <v/>
      </c>
      <c r="AB43">
        <f>HYPERLINK("https://klasma.github.io/Logging_2513/klagomålsmail/A 60509-2021 FSC-klagomål mail.docx", "A 60509-2021")</f>
        <v/>
      </c>
      <c r="AC43">
        <f>HYPERLINK("https://klasma.github.io/Logging_2513/tillsyn/A 60509-2021 tillsynsbegäran.docx", "A 60509-2021")</f>
        <v/>
      </c>
      <c r="AD43">
        <f>HYPERLINK("https://klasma.github.io/Logging_2513/tillsynsmail/A 60509-2021 tillsynsbegäran mail.docx", "A 60509-2021")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46289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46289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46289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S 2701-2024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46289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Höstlåsbräken
Månlåsbräken</t>
        </is>
      </c>
      <c r="W48">
        <f>HYPERLINK("https://klasma.github.io/Logging_2513/artfynd/S 2701-2024 artfynd.xlsx", "S 2701-2024")</f>
        <v/>
      </c>
      <c r="X48">
        <f>HYPERLINK("https://klasma.github.io/Logging_2513/kartor/S 2701-2024 karta.png", "S 2701-2024")</f>
        <v/>
      </c>
      <c r="Y48">
        <f>HYPERLINK("https://klasma.github.io/Logging_2513/kartor_geotiff/S 2701-2024 georefererad karta.tif", "S 2701-2024")</f>
        <v/>
      </c>
      <c r="AA48">
        <f>HYPERLINK("https://klasma.github.io/Logging_2513/klagomål/S 2701-2024 FSC-klagomål.docx", "S 2701-2024")</f>
        <v/>
      </c>
      <c r="AB48">
        <f>HYPERLINK("https://klasma.github.io/Logging_2513/klagomålsmail/S 2701-2024 FSC-klagomål mail.docx", "S 2701-2024")</f>
        <v/>
      </c>
      <c r="AC48">
        <f>HYPERLINK("https://klasma.github.io/Logging_2513/tillsyn/S 2701-2024 tillsynsbegäran.docx", "S 2701-2024")</f>
        <v/>
      </c>
      <c r="AD48">
        <f>HYPERLINK("https://klasma.github.io/Logging_2513/tillsynsmail/S 2701-2024 tillsynsbegäran mail.docx", "S 2701-2024")</f>
        <v/>
      </c>
    </row>
    <row r="49" ht="15" customHeight="1">
      <c r="A49" t="inlineStr">
        <is>
          <t>A 15137-2022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44658</v>
      </c>
      <c r="E49" s="1" t="n">
        <v>46289</v>
      </c>
      <c r="F49" t="inlineStr">
        <is>
          <t>NORRBOTTENS LÄN</t>
        </is>
      </c>
      <c r="G49" t="inlineStr">
        <is>
          <t>ÖVERKALIX</t>
        </is>
      </c>
      <c r="I49" t="n">
        <v>5.7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HYPERLINK("https://klasma.github.io/Logging_2513/artfynd/A 15137-2022 artfynd.xlsx", "A 15137-2022")</f>
        <v/>
      </c>
      <c r="X49">
        <f>HYPERLINK("https://klasma.github.io/Logging_2513/kartor/A 15137-2022 karta.png", "A 15137-2022")</f>
        <v/>
      </c>
      <c r="Y49">
        <f>HYPERLINK("https://klasma.github.io/Logging_2513/kartor_geotiff/A 15137-2022 georefererad karta.tif", "A 15137-2022")</f>
        <v/>
      </c>
      <c r="AA49">
        <f>HYPERLINK("https://klasma.github.io/Logging_2513/klagomål/A 15137-2022 FSC-klagomål.docx", "A 15137-2022")</f>
        <v/>
      </c>
      <c r="AB49">
        <f>HYPERLINK("https://klasma.github.io/Logging_2513/klagomålsmail/A 15137-2022 FSC-klagomål mail.docx", "A 15137-2022")</f>
        <v/>
      </c>
      <c r="AC49">
        <f>HYPERLINK("https://klasma.github.io/Logging_2513/tillsyn/A 15137-2022 tillsynsbegäran.docx", "A 15137-2022")</f>
        <v/>
      </c>
      <c r="AD49">
        <f>HYPERLINK("https://klasma.github.io/Logging_2513/tillsynsmail/A 15137-2022 tillsynsbegäran mail.docx", "A 15137-2022")</f>
        <v/>
      </c>
    </row>
    <row r="50" ht="15" customHeight="1">
      <c r="A50" t="inlineStr">
        <is>
          <t>A 37532-2022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46289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 taggsvamp</t>
        </is>
      </c>
      <c r="W50">
        <f>HYPERLINK("https://klasma.github.io/Logging_2513/artfynd/A 37532-2022 artfynd.xlsx", "A 37532-2022")</f>
        <v/>
      </c>
      <c r="X50">
        <f>HYPERLINK("https://klasma.github.io/Logging_2513/kartor/A 37532-2022 karta.png", "A 37532-2022")</f>
        <v/>
      </c>
      <c r="Y50">
        <f>HYPERLINK("https://klasma.github.io/Logging_2513/kartor_geotiff/A 37532-2022 georefererad karta.tif", "A 37532-2022")</f>
        <v/>
      </c>
      <c r="AA50">
        <f>HYPERLINK("https://klasma.github.io/Logging_2513/klagomål/A 37532-2022 FSC-klagomål.docx", "A 37532-2022")</f>
        <v/>
      </c>
      <c r="AB50">
        <f>HYPERLINK("https://klasma.github.io/Logging_2513/klagomålsmail/A 37532-2022 FSC-klagomål mail.docx", "A 37532-2022")</f>
        <v/>
      </c>
      <c r="AC50">
        <f>HYPERLINK("https://klasma.github.io/Logging_2513/tillsyn/A 37532-2022 tillsynsbegäran.docx", "A 37532-2022")</f>
        <v/>
      </c>
      <c r="AD50">
        <f>HYPERLINK("https://klasma.github.io/Logging_2513/tillsynsmail/A 37532-2022 tillsynsbegäran mail.docx", "A 37532-2022")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46289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46289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46289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27452-2025 artfynd.xlsx", "A 27452-2025")</f>
        <v/>
      </c>
      <c r="X53">
        <f>HYPERLINK("https://klasma.github.io/Logging_2513/kartor/A 27452-2025 karta.png", "A 27452-2025")</f>
        <v/>
      </c>
      <c r="Y53">
        <f>HYPERLINK("https://klasma.github.io/Logging_2513/kartor_geotiff/A 27452-2025 georefererad karta.tif", "A 27452-2025")</f>
        <v/>
      </c>
      <c r="AA53">
        <f>HYPERLINK("https://klasma.github.io/Logging_2513/klagomål/A 27452-2025 FSC-klagomål.docx", "A 27452-2025")</f>
        <v/>
      </c>
      <c r="AB53">
        <f>HYPERLINK("https://klasma.github.io/Logging_2513/klagomålsmail/A 27452-2025 FSC-klagomål mail.docx", "A 27452-2025")</f>
        <v/>
      </c>
      <c r="AC53">
        <f>HYPERLINK("https://klasma.github.io/Logging_2513/tillsyn/A 27452-2025 tillsynsbegäran.docx", "A 27452-2025")</f>
        <v/>
      </c>
      <c r="AD53">
        <f>HYPERLINK("https://klasma.github.io/Logging_2513/tillsynsmail/A 27452-2025 tillsynsbegäran mail.docx", "A 27452-2025")</f>
        <v/>
      </c>
      <c r="AE53">
        <f>HYPERLINK("https://klasma.github.io/Logging_2513/fåglar/A 27452-2025 prioriterade fågelarter.docx", "A 27452-2025")</f>
        <v/>
      </c>
    </row>
    <row r="54" ht="15" customHeight="1">
      <c r="A54" t="inlineStr">
        <is>
          <t>A 22977-2022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44717</v>
      </c>
      <c r="E54" s="1" t="n">
        <v>46289</v>
      </c>
      <c r="F54" t="inlineStr">
        <is>
          <t>NORRBOTTENS LÄN</t>
        </is>
      </c>
      <c r="G54" t="inlineStr">
        <is>
          <t>ÖVERKALIX</t>
        </is>
      </c>
      <c r="I54" t="n">
        <v>19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Bivråk</t>
        </is>
      </c>
      <c r="W54">
        <f>HYPERLINK("https://klasma.github.io/Logging_2513/artfynd/A 22977-2022 artfynd.xlsx", "A 22977-2022")</f>
        <v/>
      </c>
      <c r="X54">
        <f>HYPERLINK("https://klasma.github.io/Logging_2513/kartor/A 22977-2022 karta.png", "A 22977-2022")</f>
        <v/>
      </c>
      <c r="Y54">
        <f>HYPERLINK("https://klasma.github.io/Logging_2513/kartor_geotiff/A 22977-2022 georefererad karta.tif", "A 22977-2022")</f>
        <v/>
      </c>
      <c r="AA54">
        <f>HYPERLINK("https://klasma.github.io/Logging_2513/klagomål/A 22977-2022 FSC-klagomål.docx", "A 22977-2022")</f>
        <v/>
      </c>
      <c r="AB54">
        <f>HYPERLINK("https://klasma.github.io/Logging_2513/klagomålsmail/A 22977-2022 FSC-klagomål mail.docx", "A 22977-2022")</f>
        <v/>
      </c>
      <c r="AC54">
        <f>HYPERLINK("https://klasma.github.io/Logging_2513/tillsyn/A 22977-2022 tillsynsbegäran.docx", "A 22977-2022")</f>
        <v/>
      </c>
      <c r="AD54">
        <f>HYPERLINK("https://klasma.github.io/Logging_2513/tillsynsmail/A 22977-2022 tillsynsbegäran mail.docx", "A 22977-2022")</f>
        <v/>
      </c>
      <c r="AE54">
        <f>HYPERLINK("https://klasma.github.io/Logging_2513/fåglar/A 22977-2022 prioriterade fågelarter.docx", "A 22977-2022")</f>
        <v/>
      </c>
    </row>
    <row r="55" ht="15" customHeight="1">
      <c r="A55" t="inlineStr">
        <is>
          <t>A 8407-2025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45709</v>
      </c>
      <c r="E55" s="1" t="n">
        <v>46289</v>
      </c>
      <c r="F55" t="inlineStr">
        <is>
          <t>NORRBOTTENS LÄN</t>
        </is>
      </c>
      <c r="G55" t="inlineStr">
        <is>
          <t>ÖVERKALIX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Tallbit</t>
        </is>
      </c>
      <c r="W55">
        <f>HYPERLINK("https://klasma.github.io/Logging_2513/artfynd/A 8407-2025 artfynd.xlsx", "A 8407-2025")</f>
        <v/>
      </c>
      <c r="X55">
        <f>HYPERLINK("https://klasma.github.io/Logging_2513/kartor/A 8407-2025 karta.png", "A 8407-2025")</f>
        <v/>
      </c>
      <c r="Y55">
        <f>HYPERLINK("https://klasma.github.io/Logging_2513/kartor_geotiff/A 8407-2025 georefererad karta.tif", "A 8407-2025")</f>
        <v/>
      </c>
      <c r="AA55">
        <f>HYPERLINK("https://klasma.github.io/Logging_2513/klagomål/A 8407-2025 FSC-klagomål.docx", "A 8407-2025")</f>
        <v/>
      </c>
      <c r="AB55">
        <f>HYPERLINK("https://klasma.github.io/Logging_2513/klagomålsmail/A 8407-2025 FSC-klagomål mail.docx", "A 8407-2025")</f>
        <v/>
      </c>
      <c r="AC55">
        <f>HYPERLINK("https://klasma.github.io/Logging_2513/tillsyn/A 8407-2025 tillsynsbegäran.docx", "A 8407-2025")</f>
        <v/>
      </c>
      <c r="AD55">
        <f>HYPERLINK("https://klasma.github.io/Logging_2513/tillsynsmail/A 8407-2025 tillsynsbegäran mail.docx", "A 8407-2025")</f>
        <v/>
      </c>
      <c r="AE55">
        <f>HYPERLINK("https://klasma.github.io/Logging_2513/fåglar/A 8407-2025 prioriterade fågelarter.docx", "A 8407-2025")</f>
        <v/>
      </c>
    </row>
    <row r="56" ht="15" customHeight="1">
      <c r="A56" t="inlineStr">
        <is>
          <t>A 7234-2023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46289</v>
      </c>
      <c r="F56" t="inlineStr">
        <is>
          <t>NORRBOTTENS LÄN</t>
        </is>
      </c>
      <c r="G56" t="inlineStr">
        <is>
          <t>ÖVERKALIX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HYPERLINK("https://klasma.github.io/Logging_2513/artfynd/A 7234-2023 artfynd.xlsx", "A 7234-2023")</f>
        <v/>
      </c>
      <c r="X56">
        <f>HYPERLINK("https://klasma.github.io/Logging_2513/kartor/A 7234-2023 karta.png", "A 7234-2023")</f>
        <v/>
      </c>
      <c r="Y56">
        <f>HYPERLINK("https://klasma.github.io/Logging_2513/kartor_geotiff/A 7234-2023 georefererad karta.tif", "A 7234-2023")</f>
        <v/>
      </c>
      <c r="AA56">
        <f>HYPERLINK("https://klasma.github.io/Logging_2513/klagomål/A 7234-2023 FSC-klagomål.docx", "A 7234-2023")</f>
        <v/>
      </c>
      <c r="AB56">
        <f>HYPERLINK("https://klasma.github.io/Logging_2513/klagomålsmail/A 7234-2023 FSC-klagomål mail.docx", "A 7234-2023")</f>
        <v/>
      </c>
      <c r="AC56">
        <f>HYPERLINK("https://klasma.github.io/Logging_2513/tillsyn/A 7234-2023 tillsynsbegäran.docx", "A 7234-2023")</f>
        <v/>
      </c>
      <c r="AD56">
        <f>HYPERLINK("https://klasma.github.io/Logging_2513/tillsynsmail/A 7234-2023 tillsynsbegäran mail.docx", "A 7234-2023")</f>
        <v/>
      </c>
      <c r="AE56">
        <f>HYPERLINK("https://klasma.github.io/Logging_2513/fåglar/A 7234-2023 prioriterade fågelarter.docx", "A 7234-2023")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46289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46280-2024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46289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HYPERLINK("https://klasma.github.io/Logging_2513/artfynd/A 46280-2024 artfynd.xlsx", "A 46280-2024")</f>
        <v/>
      </c>
      <c r="X58">
        <f>HYPERLINK("https://klasma.github.io/Logging_2513/kartor/A 46280-2024 karta.png", "A 46280-2024")</f>
        <v/>
      </c>
      <c r="Y58">
        <f>HYPERLINK("https://klasma.github.io/Logging_2513/kartor_geotiff/A 46280-2024 georefererad karta.tif", "A 46280-2024")</f>
        <v/>
      </c>
      <c r="AA58">
        <f>HYPERLINK("https://klasma.github.io/Logging_2513/klagomål/A 46280-2024 FSC-klagomål.docx", "A 46280-2024")</f>
        <v/>
      </c>
      <c r="AB58">
        <f>HYPERLINK("https://klasma.github.io/Logging_2513/klagomålsmail/A 46280-2024 FSC-klagomål mail.docx", "A 46280-2024")</f>
        <v/>
      </c>
      <c r="AC58">
        <f>HYPERLINK("https://klasma.github.io/Logging_2513/tillsyn/A 46280-2024 tillsynsbegäran.docx", "A 46280-2024")</f>
        <v/>
      </c>
      <c r="AD58">
        <f>HYPERLINK("https://klasma.github.io/Logging_2513/tillsynsmail/A 46280-2024 tillsynsbegäran mail.docx", "A 46280-2024")</f>
        <v/>
      </c>
      <c r="AE58">
        <f>HYPERLINK("https://klasma.github.io/Logging_2513/fåglar/A 46280-2024 prioriterade fågelarter.docx", "A 46280-2024")</f>
        <v/>
      </c>
    </row>
    <row r="59" ht="15" customHeight="1">
      <c r="A59" t="inlineStr">
        <is>
          <t>A 46281-2024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46289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 taggsvamp</t>
        </is>
      </c>
      <c r="W59">
        <f>HYPERLINK("https://klasma.github.io/Logging_2513/artfynd/A 46281-2024 artfynd.xlsx", "A 46281-2024")</f>
        <v/>
      </c>
      <c r="X59">
        <f>HYPERLINK("https://klasma.github.io/Logging_2513/kartor/A 46281-2024 karta.png", "A 46281-2024")</f>
        <v/>
      </c>
      <c r="Y59">
        <f>HYPERLINK("https://klasma.github.io/Logging_2513/kartor_geotiff/A 46281-2024 georefererad karta.tif", "A 46281-2024")</f>
        <v/>
      </c>
      <c r="AA59">
        <f>HYPERLINK("https://klasma.github.io/Logging_2513/klagomål/A 46281-2024 FSC-klagomål.docx", "A 46281-2024")</f>
        <v/>
      </c>
      <c r="AB59">
        <f>HYPERLINK("https://klasma.github.io/Logging_2513/klagomålsmail/A 46281-2024 FSC-klagomål mail.docx", "A 46281-2024")</f>
        <v/>
      </c>
      <c r="AC59">
        <f>HYPERLINK("https://klasma.github.io/Logging_2513/tillsyn/A 46281-2024 tillsynsbegäran.docx", "A 46281-2024")</f>
        <v/>
      </c>
      <c r="AD59">
        <f>HYPERLINK("https://klasma.github.io/Logging_2513/tillsynsmail/A 46281-2024 tillsynsbegäran mail.docx", "A 46281-2024")</f>
        <v/>
      </c>
    </row>
    <row r="60" ht="15" customHeight="1">
      <c r="A60" t="inlineStr">
        <is>
          <t>A 71902-2021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46289</v>
      </c>
      <c r="F60" t="inlineStr">
        <is>
          <t>NORRBOTTENS LÄN</t>
        </is>
      </c>
      <c r="G60" t="inlineStr">
        <is>
          <t>ÖVERKALIX</t>
        </is>
      </c>
      <c r="I60" t="n">
        <v>24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71902-2021 artfynd.xlsx", "A 71902-2021")</f>
        <v/>
      </c>
      <c r="X60">
        <f>HYPERLINK("https://klasma.github.io/Logging_2513/kartor/A 71902-2021 karta.png", "A 71902-2021")</f>
        <v/>
      </c>
      <c r="Y60">
        <f>HYPERLINK("https://klasma.github.io/Logging_2513/kartor_geotiff/A 71902-2021 georefererad karta.tif", "A 71902-2021")</f>
        <v/>
      </c>
      <c r="AA60">
        <f>HYPERLINK("https://klasma.github.io/Logging_2513/klagomål/A 71902-2021 FSC-klagomål.docx", "A 71902-2021")</f>
        <v/>
      </c>
      <c r="AB60">
        <f>HYPERLINK("https://klasma.github.io/Logging_2513/klagomålsmail/A 71902-2021 FSC-klagomål mail.docx", "A 71902-2021")</f>
        <v/>
      </c>
      <c r="AC60">
        <f>HYPERLINK("https://klasma.github.io/Logging_2513/tillsyn/A 71902-2021 tillsynsbegäran.docx", "A 71902-2021")</f>
        <v/>
      </c>
      <c r="AD60">
        <f>HYPERLINK("https://klasma.github.io/Logging_2513/tillsynsmail/A 71902-2021 tillsynsbegäran mail.docx", "A 71902-2021")</f>
        <v/>
      </c>
      <c r="AE60">
        <f>HYPERLINK("https://klasma.github.io/Logging_2513/fåglar/A 71902-2021 prioriterade fågelarter.docx", "A 71902-2021")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46289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46289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46289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S 4190-2024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45579</v>
      </c>
      <c r="E64" s="1" t="n">
        <v>46289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14</v>
      </c>
      <c r="U64" t="n">
        <v>0</v>
      </c>
      <c r="V64" s="2" t="inlineStr">
        <is>
          <t>Lunglav</t>
        </is>
      </c>
      <c r="W64">
        <f>HYPERLINK("https://klasma.github.io/Logging_2513/artfynd/S 4190-2024 artfynd.xlsx", "S 4190-2024")</f>
        <v/>
      </c>
      <c r="X64">
        <f>HYPERLINK("https://klasma.github.io/Logging_2513/kartor/S 4190-2024 karta.png", "S 4190-2024")</f>
        <v/>
      </c>
      <c r="Y64">
        <f>HYPERLINK("https://klasma.github.io/Logging_2513/kartor_geotiff/S 4190-2024 georefererad karta.tif", "S 4190-2024")</f>
        <v/>
      </c>
      <c r="AA64">
        <f>HYPERLINK("https://klasma.github.io/Logging_2513/klagomål/S 4190-2024 FSC-klagomål.docx", "S 4190-2024")</f>
        <v/>
      </c>
      <c r="AB64">
        <f>HYPERLINK("https://klasma.github.io/Logging_2513/klagomålsmail/S 4190-2024 FSC-klagomål mail.docx", "S 4190-2024")</f>
        <v/>
      </c>
      <c r="AC64">
        <f>HYPERLINK("https://klasma.github.io/Logging_2513/tillsyn/S 4190-2024 tillsynsbegäran.docx", "S 4190-2024")</f>
        <v/>
      </c>
      <c r="AD64">
        <f>HYPERLINK("https://klasma.github.io/Logging_2513/tillsynsmail/S 4190-2024 tillsynsbegäran mail.docx", "S 4190-2024")</f>
        <v/>
      </c>
    </row>
    <row r="65" ht="15" customHeight="1">
      <c r="A65" t="inlineStr">
        <is>
          <t>S 1156-2024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45394</v>
      </c>
      <c r="E65" s="1" t="n">
        <v>46289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491.9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Sävsparv</t>
        </is>
      </c>
      <c r="W65">
        <f>HYPERLINK("https://klasma.github.io/Logging_2513/artfynd/S 1156-2024 artfynd.xlsx", "S 1156-2024")</f>
        <v/>
      </c>
      <c r="X65">
        <f>HYPERLINK("https://klasma.github.io/Logging_2513/kartor/S 1156-2024 karta.png", "S 1156-2024")</f>
        <v/>
      </c>
      <c r="Y65">
        <f>HYPERLINK("https://klasma.github.io/Logging_2513/kartor_geotiff/S 1156-2024 georefererad karta.tif", "S 1156-2024")</f>
        <v/>
      </c>
      <c r="AA65">
        <f>HYPERLINK("https://klasma.github.io/Logging_2513/klagomål/S 1156-2024 FSC-klagomål.docx", "S 1156-2024")</f>
        <v/>
      </c>
      <c r="AB65">
        <f>HYPERLINK("https://klasma.github.io/Logging_2513/klagomålsmail/S 1156-2024 FSC-klagomål mail.docx", "S 1156-2024")</f>
        <v/>
      </c>
      <c r="AC65">
        <f>HYPERLINK("https://klasma.github.io/Logging_2513/tillsyn/S 1156-2024 tillsynsbegäran.docx", "S 1156-2024")</f>
        <v/>
      </c>
      <c r="AD65">
        <f>HYPERLINK("https://klasma.github.io/Logging_2513/tillsynsmail/S 1156-2024 tillsynsbegäran mail.docx", "S 1156-2024")</f>
        <v/>
      </c>
      <c r="AE65">
        <f>HYPERLINK("https://klasma.github.io/Logging_2513/fåglar/S 1156-2024 prioriterade fågelarter.docx", "S 1156-2024")</f>
        <v/>
      </c>
    </row>
    <row r="66" ht="15" customHeight="1">
      <c r="A66" t="inlineStr">
        <is>
          <t>A 3174-2022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44582</v>
      </c>
      <c r="E66" s="1" t="n">
        <v>46289</v>
      </c>
      <c r="F66" t="inlineStr">
        <is>
          <t>NORRBOTTENS LÄN</t>
        </is>
      </c>
      <c r="G66" t="inlineStr">
        <is>
          <t>ÖVERKALIX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46289</v>
      </c>
      <c r="F67" t="inlineStr">
        <is>
          <t>NORRBOTTENS LÄN</t>
        </is>
      </c>
      <c r="G67" t="inlineStr">
        <is>
          <t>ÖVERKALIX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46289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46289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46289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46289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46289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46289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46289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46289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44788</v>
      </c>
      <c r="E76" s="1" t="n">
        <v>46289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46289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44470</v>
      </c>
      <c r="E78" s="1" t="n">
        <v>46289</v>
      </c>
      <c r="F78" t="inlineStr">
        <is>
          <t>NORRBOTTENS LÄN</t>
        </is>
      </c>
      <c r="G78" t="inlineStr">
        <is>
          <t>ÖVERKALIX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44623</v>
      </c>
      <c r="E79" s="1" t="n">
        <v>46289</v>
      </c>
      <c r="F79" t="inlineStr">
        <is>
          <t>NORRBOTTENS LÄN</t>
        </is>
      </c>
      <c r="G79" t="inlineStr">
        <is>
          <t>ÖVERKALIX</t>
        </is>
      </c>
      <c r="H79" t="inlineStr">
        <is>
          <t>SCA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46289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64304-2021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46289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46289</v>
      </c>
      <c r="F82" t="inlineStr">
        <is>
          <t>NORRBOTTENS LÄN</t>
        </is>
      </c>
      <c r="G82" t="inlineStr">
        <is>
          <t>ÖVERKALIX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44607</v>
      </c>
      <c r="E83" s="1" t="n">
        <v>46289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46289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28.8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46289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46289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62259-2021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46289</v>
      </c>
      <c r="F87" t="inlineStr">
        <is>
          <t>NORRBOTTENS LÄN</t>
        </is>
      </c>
      <c r="G87" t="inlineStr">
        <is>
          <t>ÖVERKALIX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46289</v>
      </c>
      <c r="F88" t="inlineStr">
        <is>
          <t>NORRBOTTENS LÄN</t>
        </is>
      </c>
      <c r="G88" t="inlineStr">
        <is>
          <t>ÖVERKALIX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46289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60417-2024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46289</v>
      </c>
      <c r="F90" t="inlineStr">
        <is>
          <t>NORRBOTTENS LÄN</t>
        </is>
      </c>
      <c r="G90" t="inlineStr">
        <is>
          <t>ÖVERKALIX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48577-2023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45208</v>
      </c>
      <c r="E91" s="1" t="n">
        <v>46289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46289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45691</v>
      </c>
      <c r="E93" s="1" t="n">
        <v>46289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46289</v>
      </c>
      <c r="F94" t="inlineStr">
        <is>
          <t>NORRBOTTENS LÄN</t>
        </is>
      </c>
      <c r="G94" t="inlineStr">
        <is>
          <t>ÖVERKALIX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46289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45238</v>
      </c>
      <c r="E96" s="1" t="n">
        <v>46289</v>
      </c>
      <c r="F96" t="inlineStr">
        <is>
          <t>NORRBOTTENS LÄN</t>
        </is>
      </c>
      <c r="G96" t="inlineStr">
        <is>
          <t>ÖVERKALIX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46289</v>
      </c>
      <c r="F97" t="inlineStr">
        <is>
          <t>NORRBOTTENS LÄN</t>
        </is>
      </c>
      <c r="G97" t="inlineStr">
        <is>
          <t>ÖVERKALIX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46289</v>
      </c>
      <c r="F98" t="inlineStr">
        <is>
          <t>NORRBOTTENS LÄN</t>
        </is>
      </c>
      <c r="G98" t="inlineStr">
        <is>
          <t>ÖVERKALIX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26140-2023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46289</v>
      </c>
      <c r="F99" t="inlineStr">
        <is>
          <t>NORRBOTTENS LÄN</t>
        </is>
      </c>
      <c r="G99" t="inlineStr">
        <is>
          <t>ÖVERKALIX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46289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46289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46289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46289</v>
      </c>
      <c r="F103" t="inlineStr">
        <is>
          <t>NORRBOTTENS LÄN</t>
        </is>
      </c>
      <c r="G103" t="inlineStr">
        <is>
          <t>ÖVERKALIX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46289</v>
      </c>
      <c r="F104" t="inlineStr">
        <is>
          <t>NORRBOTTENS LÄN</t>
        </is>
      </c>
      <c r="G104" t="inlineStr">
        <is>
          <t>ÖVERKALIX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46289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46289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45379</v>
      </c>
      <c r="E107" s="1" t="n">
        <v>46289</v>
      </c>
      <c r="F107" t="inlineStr">
        <is>
          <t>NORRBOTTENS LÄN</t>
        </is>
      </c>
      <c r="G107" t="inlineStr">
        <is>
          <t>ÖVERKALIX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46289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46289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46289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46289</v>
      </c>
      <c r="F111" t="inlineStr">
        <is>
          <t>NORRBOTTENS LÄN</t>
        </is>
      </c>
      <c r="G111" t="inlineStr">
        <is>
          <t>ÖVERKALIX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46289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46289</v>
      </c>
      <c r="F113" t="inlineStr">
        <is>
          <t>NORRBOTTENS LÄN</t>
        </is>
      </c>
      <c r="G113" t="inlineStr">
        <is>
          <t>ÖVERKALIX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44797</v>
      </c>
      <c r="E114" s="1" t="n">
        <v>46289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44886</v>
      </c>
      <c r="E115" s="1" t="n">
        <v>46289</v>
      </c>
      <c r="F115" t="inlineStr">
        <is>
          <t>NORRBOTTENS LÄN</t>
        </is>
      </c>
      <c r="G115" t="inlineStr">
        <is>
          <t>ÖVERKALIX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46289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23302-2023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45075</v>
      </c>
      <c r="E117" s="1" t="n">
        <v>46289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45562</v>
      </c>
      <c r="E118" s="1" t="n">
        <v>46289</v>
      </c>
      <c r="F118" t="inlineStr">
        <is>
          <t>NORRBOTTENS LÄN</t>
        </is>
      </c>
      <c r="G118" t="inlineStr">
        <is>
          <t>ÖVERKALIX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72809-2021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46289</v>
      </c>
      <c r="F119" t="inlineStr">
        <is>
          <t>NORRBOTTENS LÄN</t>
        </is>
      </c>
      <c r="G119" t="inlineStr">
        <is>
          <t>ÖVERKALIX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46289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46289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44546</v>
      </c>
      <c r="E122" s="1" t="n">
        <v>46289</v>
      </c>
      <c r="F122" t="inlineStr">
        <is>
          <t>NORRBOTTENS LÄN</t>
        </is>
      </c>
      <c r="G122" t="inlineStr">
        <is>
          <t>ÖVERKALIX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46289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44966</v>
      </c>
      <c r="E124" s="1" t="n">
        <v>46289</v>
      </c>
      <c r="F124" t="inlineStr">
        <is>
          <t>NORRBOTTENS LÄN</t>
        </is>
      </c>
      <c r="G124" t="inlineStr">
        <is>
          <t>ÖVERKALIX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46289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37.4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46289</v>
      </c>
      <c r="F126" t="inlineStr">
        <is>
          <t>NORRBOTTENS LÄN</t>
        </is>
      </c>
      <c r="G126" t="inlineStr">
        <is>
          <t>ÖVERKALIX</t>
        </is>
      </c>
      <c r="I126" t="n">
        <v>21.7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46289</v>
      </c>
      <c r="F127" t="inlineStr">
        <is>
          <t>NORRBOTTENS LÄN</t>
        </is>
      </c>
      <c r="G127" t="inlineStr">
        <is>
          <t>ÖVERKALIX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44547</v>
      </c>
      <c r="E128" s="1" t="n">
        <v>46289</v>
      </c>
      <c r="F128" t="inlineStr">
        <is>
          <t>NORRBOTTENS LÄN</t>
        </is>
      </c>
      <c r="G128" t="inlineStr">
        <is>
          <t>ÖVERKALIX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46289</v>
      </c>
      <c r="F129" t="inlineStr">
        <is>
          <t>NORRBOTTENS LÄN</t>
        </is>
      </c>
      <c r="G129" t="inlineStr">
        <is>
          <t>ÖVERKALIX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46289</v>
      </c>
      <c r="F130" t="inlineStr">
        <is>
          <t>NORRBOTTENS LÄN</t>
        </is>
      </c>
      <c r="G130" t="inlineStr">
        <is>
          <t>ÖVERKALIX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46289</v>
      </c>
      <c r="F131" t="inlineStr">
        <is>
          <t>NORRBOTTENS LÄN</t>
        </is>
      </c>
      <c r="G131" t="inlineStr">
        <is>
          <t>ÖVERKALIX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45334</v>
      </c>
      <c r="E132" s="1" t="n">
        <v>46289</v>
      </c>
      <c r="F132" t="inlineStr">
        <is>
          <t>NORRBOTTENS LÄN</t>
        </is>
      </c>
      <c r="G132" t="inlineStr">
        <is>
          <t>ÖVERKALIX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46289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28893-2025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46289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46289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46289</v>
      </c>
      <c r="F136" t="inlineStr">
        <is>
          <t>NORRBOTTENS LÄN</t>
        </is>
      </c>
      <c r="G136" t="inlineStr">
        <is>
          <t>ÖVERKALIX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46289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45379</v>
      </c>
      <c r="E138" s="1" t="n">
        <v>46289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46289</v>
      </c>
      <c r="F139" t="inlineStr">
        <is>
          <t>NORRBOTTENS LÄN</t>
        </is>
      </c>
      <c r="G139" t="inlineStr">
        <is>
          <t>ÖVERKALIX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45323</v>
      </c>
      <c r="E140" s="1" t="n">
        <v>46289</v>
      </c>
      <c r="F140" t="inlineStr">
        <is>
          <t>NORRBOTTENS LÄN</t>
        </is>
      </c>
      <c r="G140" t="inlineStr">
        <is>
          <t>ÖVERKALIX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45469</v>
      </c>
      <c r="E141" s="1" t="n">
        <v>46289</v>
      </c>
      <c r="F141" t="inlineStr">
        <is>
          <t>NORRBOTTENS LÄN</t>
        </is>
      </c>
      <c r="G141" t="inlineStr">
        <is>
          <t>ÖVERKALIX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45803</v>
      </c>
      <c r="E142" s="1" t="n">
        <v>46289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44754-2025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45917</v>
      </c>
      <c r="E143" s="1" t="n">
        <v>46289</v>
      </c>
      <c r="F143" t="inlineStr">
        <is>
          <t>NORRBOTTENS LÄN</t>
        </is>
      </c>
      <c r="G143" t="inlineStr">
        <is>
          <t>ÖVERKALIX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46289</v>
      </c>
      <c r="F144" t="inlineStr">
        <is>
          <t>NORRBOTTENS LÄN</t>
        </is>
      </c>
      <c r="G144" t="inlineStr">
        <is>
          <t>ÖVERKALIX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45404</v>
      </c>
      <c r="E145" s="1" t="n">
        <v>46289</v>
      </c>
      <c r="F145" t="inlineStr">
        <is>
          <t>NORRBOTTENS LÄN</t>
        </is>
      </c>
      <c r="G145" t="inlineStr">
        <is>
          <t>ÖVERKALIX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45535-2025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45922</v>
      </c>
      <c r="E146" s="1" t="n">
        <v>46289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46289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29.9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46289</v>
      </c>
      <c r="F148" t="inlineStr">
        <is>
          <t>NORRBOTTENS LÄN</t>
        </is>
      </c>
      <c r="G148" t="inlineStr">
        <is>
          <t>ÖVERKALIX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24548-2024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46289</v>
      </c>
      <c r="F149" t="inlineStr">
        <is>
          <t>NORRBOTTENS LÄN</t>
        </is>
      </c>
      <c r="G149" t="inlineStr">
        <is>
          <t>ÖVERKALIX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46289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26666-2025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46289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17.5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19531-2024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45429</v>
      </c>
      <c r="E152" s="1" t="n">
        <v>46289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46289</v>
      </c>
      <c r="F153" t="inlineStr">
        <is>
          <t>NORRBOTTENS LÄN</t>
        </is>
      </c>
      <c r="G153" t="inlineStr">
        <is>
          <t>ÖVERKALIX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46289</v>
      </c>
      <c r="F154" t="inlineStr">
        <is>
          <t>NORRBOTTENS LÄN</t>
        </is>
      </c>
      <c r="G154" t="inlineStr">
        <is>
          <t>ÖVERKALIX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46289</v>
      </c>
      <c r="F155" t="inlineStr">
        <is>
          <t>NORRBOTTENS LÄN</t>
        </is>
      </c>
      <c r="G155" t="inlineStr">
        <is>
          <t>ÖVERKALIX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46289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10.5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46289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45518</v>
      </c>
      <c r="E158" s="1" t="n">
        <v>46289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46289</v>
      </c>
      <c r="F159" t="inlineStr">
        <is>
          <t>NORRBOTTENS LÄN</t>
        </is>
      </c>
      <c r="G159" t="inlineStr">
        <is>
          <t>ÖVERKALIX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46289</v>
      </c>
      <c r="F160" t="inlineStr">
        <is>
          <t>NORRBOTTENS LÄN</t>
        </is>
      </c>
      <c r="G160" t="inlineStr">
        <is>
          <t>ÖVERKALIX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46289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46289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46289</v>
      </c>
      <c r="F163" t="inlineStr">
        <is>
          <t>NORRBOTTENS LÄN</t>
        </is>
      </c>
      <c r="G163" t="inlineStr">
        <is>
          <t>ÖVERKALIX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46289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46289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46289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45540</v>
      </c>
      <c r="E167" s="1" t="n">
        <v>46289</v>
      </c>
      <c r="F167" t="inlineStr">
        <is>
          <t>NORRBOTTENS LÄN</t>
        </is>
      </c>
      <c r="G167" t="inlineStr">
        <is>
          <t>ÖVERKALIX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45070</v>
      </c>
      <c r="E168" s="1" t="n">
        <v>46289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46289</v>
      </c>
      <c r="F169" t="inlineStr">
        <is>
          <t>NORRBOTTENS LÄN</t>
        </is>
      </c>
      <c r="G169" t="inlineStr">
        <is>
          <t>ÖVERKALIX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46289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45940</v>
      </c>
      <c r="E171" s="1" t="n">
        <v>46289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72364-2021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46289</v>
      </c>
      <c r="F172" t="inlineStr">
        <is>
          <t>NORRBOTTENS LÄN</t>
        </is>
      </c>
      <c r="G172" t="inlineStr">
        <is>
          <t>ÖVERKALIX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44595</v>
      </c>
      <c r="E173" s="1" t="n">
        <v>46289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46289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46289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32477-2024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45513</v>
      </c>
      <c r="E176" s="1" t="n">
        <v>46289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46289</v>
      </c>
      <c r="F177" t="inlineStr">
        <is>
          <t>NORRBOTTENS LÄN</t>
        </is>
      </c>
      <c r="G177" t="inlineStr">
        <is>
          <t>ÖVERKALIX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46289</v>
      </c>
      <c r="F178" t="inlineStr">
        <is>
          <t>NORRBOTTENS LÄN</t>
        </is>
      </c>
      <c r="G178" t="inlineStr">
        <is>
          <t>ÖVERKALIX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46289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46289</v>
      </c>
      <c r="F180" t="inlineStr">
        <is>
          <t>NORRBOTTENS LÄN</t>
        </is>
      </c>
      <c r="G180" t="inlineStr">
        <is>
          <t>ÖVERKALIX</t>
        </is>
      </c>
      <c r="H180" t="inlineStr">
        <is>
          <t>Övriga statliga verk och myndigheter</t>
        </is>
      </c>
      <c r="I180" t="n">
        <v>10.3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45947</v>
      </c>
      <c r="E181" s="1" t="n">
        <v>46289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46289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45949</v>
      </c>
      <c r="E183" s="1" t="n">
        <v>46289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44950</v>
      </c>
      <c r="E184" s="1" t="n">
        <v>46289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45371</v>
      </c>
      <c r="E185" s="1" t="n">
        <v>46289</v>
      </c>
      <c r="F185" t="inlineStr">
        <is>
          <t>NORRBOTTENS LÄN</t>
        </is>
      </c>
      <c r="G185" t="inlineStr">
        <is>
          <t>ÖVERKALIX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46289</v>
      </c>
      <c r="F186" t="inlineStr">
        <is>
          <t>NORRBOTTENS LÄN</t>
        </is>
      </c>
      <c r="G186" t="inlineStr">
        <is>
          <t>ÖVERKALIX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51634-2025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45951</v>
      </c>
      <c r="E187" s="1" t="n">
        <v>46289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46289</v>
      </c>
      <c r="F188" t="inlineStr">
        <is>
          <t>NORRBOTTENS LÄN</t>
        </is>
      </c>
      <c r="G188" t="inlineStr">
        <is>
          <t>ÖVERKALIX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46289</v>
      </c>
      <c r="F189" t="inlineStr">
        <is>
          <t>NORRBOTTENS LÄN</t>
        </is>
      </c>
      <c r="G189" t="inlineStr">
        <is>
          <t>ÖVERKALIX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52591-2025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45954</v>
      </c>
      <c r="E190" s="1" t="n">
        <v>46289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46289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45958</v>
      </c>
      <c r="E192" s="1" t="n">
        <v>46289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46289</v>
      </c>
      <c r="F193" t="inlineStr">
        <is>
          <t>NORRBOTTENS LÄN</t>
        </is>
      </c>
      <c r="G193" t="inlineStr">
        <is>
          <t>ÖVERKALIX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45957</v>
      </c>
      <c r="E194" s="1" t="n">
        <v>46289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45820</v>
      </c>
      <c r="E195" s="1" t="n">
        <v>46289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45429</v>
      </c>
      <c r="E196" s="1" t="n">
        <v>46289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28402-2025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45819</v>
      </c>
      <c r="E197" s="1" t="n">
        <v>46289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46289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45401</v>
      </c>
      <c r="E199" s="1" t="n">
        <v>46289</v>
      </c>
      <c r="F199" t="inlineStr">
        <is>
          <t>NORRBOTTENS LÄN</t>
        </is>
      </c>
      <c r="G199" t="inlineStr">
        <is>
          <t>ÖVERKALIX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46289</v>
      </c>
      <c r="F200" t="inlineStr">
        <is>
          <t>NORRBOTTENS LÄN</t>
        </is>
      </c>
      <c r="G200" t="inlineStr">
        <is>
          <t>ÖVERKALIX</t>
        </is>
      </c>
      <c r="I200" t="n">
        <v>8.6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46289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46289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45097</v>
      </c>
      <c r="E203" s="1" t="n">
        <v>46289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46289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46289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46289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46289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46289</v>
      </c>
      <c r="F208" t="inlineStr">
        <is>
          <t>NORRBOTTENS LÄN</t>
        </is>
      </c>
      <c r="G208" t="inlineStr">
        <is>
          <t>ÖVERKALIX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45821</v>
      </c>
      <c r="E209" s="1" t="n">
        <v>46289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46289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46289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46289</v>
      </c>
      <c r="F212" t="inlineStr">
        <is>
          <t>NORRBOTTENS LÄN</t>
        </is>
      </c>
      <c r="G212" t="inlineStr">
        <is>
          <t>ÖVERKALIX</t>
        </is>
      </c>
      <c r="H212" t="inlineStr">
        <is>
          <t>Övriga statliga verk och myndigheter</t>
        </is>
      </c>
      <c r="I212" t="n">
        <v>38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45622</v>
      </c>
      <c r="E213" s="1" t="n">
        <v>46289</v>
      </c>
      <c r="F213" t="inlineStr">
        <is>
          <t>NORRBOTTENS LÄN</t>
        </is>
      </c>
      <c r="G213" t="inlineStr">
        <is>
          <t>ÖVERKALIX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46289</v>
      </c>
      <c r="F214" t="inlineStr">
        <is>
          <t>NORRBOTTENS LÄN</t>
        </is>
      </c>
      <c r="G214" t="inlineStr">
        <is>
          <t>ÖVERKALIX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46289</v>
      </c>
      <c r="F215" t="inlineStr">
        <is>
          <t>NORRBOTTENS LÄN</t>
        </is>
      </c>
      <c r="G215" t="inlineStr">
        <is>
          <t>ÖVERKALIX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46289</v>
      </c>
      <c r="F216" t="inlineStr">
        <is>
          <t>NORRBOTTENS LÄN</t>
        </is>
      </c>
      <c r="G216" t="inlineStr">
        <is>
          <t>ÖVERKALIX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46289</v>
      </c>
      <c r="F217" t="inlineStr">
        <is>
          <t>NORRBOTTENS LÄN</t>
        </is>
      </c>
      <c r="G217" t="inlineStr">
        <is>
          <t>ÖVERKALIX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46289</v>
      </c>
      <c r="F218" t="inlineStr">
        <is>
          <t>NORRBOTTENS LÄN</t>
        </is>
      </c>
      <c r="G218" t="inlineStr">
        <is>
          <t>ÖVERKALIX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46289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46289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45709</v>
      </c>
      <c r="E221" s="1" t="n">
        <v>46289</v>
      </c>
      <c r="F221" t="inlineStr">
        <is>
          <t>NORRBOTTENS LÄN</t>
        </is>
      </c>
      <c r="G221" t="inlineStr">
        <is>
          <t>ÖVERKALIX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45622</v>
      </c>
      <c r="E222" s="1" t="n">
        <v>46289</v>
      </c>
      <c r="F222" t="inlineStr">
        <is>
          <t>NORRBOTTENS LÄN</t>
        </is>
      </c>
      <c r="G222" t="inlineStr">
        <is>
          <t>ÖVERKALIX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46289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46289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24.4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46289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46289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57744-2025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45981</v>
      </c>
      <c r="E227" s="1" t="n">
        <v>46289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46289</v>
      </c>
      <c r="F228" t="inlineStr">
        <is>
          <t>NORRBOTTENS LÄN</t>
        </is>
      </c>
      <c r="G228" t="inlineStr">
        <is>
          <t>ÖVERKALIX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46289</v>
      </c>
      <c r="F229" t="inlineStr">
        <is>
          <t>NORRBOTTENS LÄN</t>
        </is>
      </c>
      <c r="G229" t="inlineStr">
        <is>
          <t>ÖVERKALIX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46289</v>
      </c>
      <c r="F230" t="inlineStr">
        <is>
          <t>NORRBOTTENS LÄN</t>
        </is>
      </c>
      <c r="G230" t="inlineStr">
        <is>
          <t>ÖVERKALIX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46289</v>
      </c>
      <c r="F231" t="inlineStr">
        <is>
          <t>NORRBOTTENS LÄN</t>
        </is>
      </c>
      <c r="G231" t="inlineStr">
        <is>
          <t>ÖVERKALIX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58764-2023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45251</v>
      </c>
      <c r="E232" s="1" t="n">
        <v>46289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45631</v>
      </c>
      <c r="E233" s="1" t="n">
        <v>46289</v>
      </c>
      <c r="F233" t="inlineStr">
        <is>
          <t>NORRBOTTENS LÄN</t>
        </is>
      </c>
      <c r="G233" t="inlineStr">
        <is>
          <t>ÖVERKALIX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46289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46289</v>
      </c>
      <c r="F235" t="inlineStr">
        <is>
          <t>NORRBOTTENS LÄN</t>
        </is>
      </c>
      <c r="G235" t="inlineStr">
        <is>
          <t>ÖVERKALIX</t>
        </is>
      </c>
      <c r="I235" t="n">
        <v>16.1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46289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46289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46289</v>
      </c>
      <c r="F238" t="inlineStr">
        <is>
          <t>NORRBOTTENS LÄN</t>
        </is>
      </c>
      <c r="G238" t="inlineStr">
        <is>
          <t>ÖVERKALIX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46289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46289</v>
      </c>
      <c r="F240" t="inlineStr">
        <is>
          <t>NORRBOTTENS LÄN</t>
        </is>
      </c>
      <c r="G240" t="inlineStr">
        <is>
          <t>ÖVERKALIX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44952-2024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45575</v>
      </c>
      <c r="E241" s="1" t="n">
        <v>46289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45604</v>
      </c>
      <c r="E242" s="1" t="n">
        <v>46289</v>
      </c>
      <c r="F242" t="inlineStr">
        <is>
          <t>NORRBOTTENS LÄN</t>
        </is>
      </c>
      <c r="G242" t="inlineStr">
        <is>
          <t>ÖVERKALIX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45611</v>
      </c>
      <c r="E243" s="1" t="n">
        <v>46289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46289</v>
      </c>
      <c r="F244" t="inlineStr">
        <is>
          <t>NORRBOTTENS LÄN</t>
        </is>
      </c>
      <c r="G244" t="inlineStr">
        <is>
          <t>ÖVERKALIX</t>
        </is>
      </c>
      <c r="I244" t="n">
        <v>13.1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46289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40281-2022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46289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46289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45699</v>
      </c>
      <c r="E248" s="1" t="n">
        <v>46289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46289</v>
      </c>
      <c r="F249" t="inlineStr">
        <is>
          <t>NORRBOTTENS LÄN</t>
        </is>
      </c>
      <c r="G249" t="inlineStr">
        <is>
          <t>ÖVERKALIX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46289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46289</v>
      </c>
      <c r="F251" t="inlineStr">
        <is>
          <t>NORRBOTTENS LÄN</t>
        </is>
      </c>
      <c r="G251" t="inlineStr">
        <is>
          <t>ÖVERKALIX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45996</v>
      </c>
      <c r="E252" s="1" t="n">
        <v>46289</v>
      </c>
      <c r="F252" t="inlineStr">
        <is>
          <t>NORRBOTTENS LÄN</t>
        </is>
      </c>
      <c r="G252" t="inlineStr">
        <is>
          <t>ÖVERKALIX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46289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64524-2023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45281</v>
      </c>
      <c r="E254" s="1" t="n">
        <v>46289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46289</v>
      </c>
      <c r="F255" t="inlineStr">
        <is>
          <t>NORRBOTTENS LÄN</t>
        </is>
      </c>
      <c r="G255" t="inlineStr">
        <is>
          <t>ÖVERKALIX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46289</v>
      </c>
      <c r="F256" t="inlineStr">
        <is>
          <t>NORRBOTTENS LÄN</t>
        </is>
      </c>
      <c r="G256" t="inlineStr">
        <is>
          <t>ÖVERKALIX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46289</v>
      </c>
      <c r="F257" t="inlineStr">
        <is>
          <t>NORRBOTTENS LÄN</t>
        </is>
      </c>
      <c r="G257" t="inlineStr">
        <is>
          <t>ÖVERKALIX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46289</v>
      </c>
      <c r="F258" t="inlineStr">
        <is>
          <t>NORRBOTTENS LÄN</t>
        </is>
      </c>
      <c r="G258" t="inlineStr">
        <is>
          <t>ÖVERKALIX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46289</v>
      </c>
      <c r="F259" t="inlineStr">
        <is>
          <t>NORRBOTTENS LÄN</t>
        </is>
      </c>
      <c r="G259" t="inlineStr">
        <is>
          <t>ÖVERKALIX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46289</v>
      </c>
      <c r="F260" t="inlineStr">
        <is>
          <t>NORRBOTTENS LÄN</t>
        </is>
      </c>
      <c r="G260" t="inlineStr">
        <is>
          <t>ÖVERKALIX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46289</v>
      </c>
      <c r="F261" t="inlineStr">
        <is>
          <t>NORRBOTTENS LÄN</t>
        </is>
      </c>
      <c r="G261" t="inlineStr">
        <is>
          <t>ÖVERKALIX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46289</v>
      </c>
      <c r="F262" t="inlineStr">
        <is>
          <t>NORRBOTTENS LÄN</t>
        </is>
      </c>
      <c r="G262" t="inlineStr">
        <is>
          <t>ÖVERKALIX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46289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46289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31744-2025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45834</v>
      </c>
      <c r="E265" s="1" t="n">
        <v>46289</v>
      </c>
      <c r="F265" t="inlineStr">
        <is>
          <t>NORRBOTTENS LÄN</t>
        </is>
      </c>
      <c r="G265" t="inlineStr">
        <is>
          <t>ÖVERKALIX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46289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46289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45807</v>
      </c>
      <c r="E268" s="1" t="n">
        <v>46289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45837</v>
      </c>
      <c r="E269" s="1" t="n">
        <v>46289</v>
      </c>
      <c r="F269" t="inlineStr">
        <is>
          <t>NORRBOTTENS LÄN</t>
        </is>
      </c>
      <c r="G269" t="inlineStr">
        <is>
          <t>ÖVERKALIX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46289</v>
      </c>
      <c r="F270" t="inlineStr">
        <is>
          <t>NORRBOTTENS LÄN</t>
        </is>
      </c>
      <c r="G270" t="inlineStr">
        <is>
          <t>ÖVERKALIX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46289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46289</v>
      </c>
      <c r="F272" t="inlineStr">
        <is>
          <t>NORRBOTTENS LÄN</t>
        </is>
      </c>
      <c r="G272" t="inlineStr">
        <is>
          <t>ÖVERKALIX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45837</v>
      </c>
      <c r="E273" s="1" t="n">
        <v>46289</v>
      </c>
      <c r="F273" t="inlineStr">
        <is>
          <t>NORRBOTTENS LÄN</t>
        </is>
      </c>
      <c r="G273" t="inlineStr">
        <is>
          <t>ÖVERKALIX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45837</v>
      </c>
      <c r="E274" s="1" t="n">
        <v>46289</v>
      </c>
      <c r="F274" t="inlineStr">
        <is>
          <t>NORRBOTTENS LÄN</t>
        </is>
      </c>
      <c r="G274" t="inlineStr">
        <is>
          <t>ÖVERKALIX</t>
        </is>
      </c>
      <c r="I274" t="n">
        <v>8.5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46289</v>
      </c>
      <c r="F275" t="inlineStr">
        <is>
          <t>NORRBOTTENS LÄN</t>
        </is>
      </c>
      <c r="G275" t="inlineStr">
        <is>
          <t>ÖVERKALIX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46289</v>
      </c>
      <c r="F276" t="inlineStr">
        <is>
          <t>NORRBOTTENS LÄN</t>
        </is>
      </c>
      <c r="G276" t="inlineStr">
        <is>
          <t>ÖVERKALIX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45839</v>
      </c>
      <c r="E277" s="1" t="n">
        <v>46289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9.199999999999999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45712</v>
      </c>
      <c r="E278" s="1" t="n">
        <v>46289</v>
      </c>
      <c r="F278" t="inlineStr">
        <is>
          <t>NORRBOTTENS LÄN</t>
        </is>
      </c>
      <c r="G278" t="inlineStr">
        <is>
          <t>ÖVERKALIX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46289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63023-2025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46289</v>
      </c>
      <c r="F280" t="inlineStr">
        <is>
          <t>NORRBOTTENS LÄN</t>
        </is>
      </c>
      <c r="G280" t="inlineStr">
        <is>
          <t>ÖVERKALIX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46289</v>
      </c>
      <c r="F281" t="inlineStr">
        <is>
          <t>NORRBOTTENS LÄN</t>
        </is>
      </c>
      <c r="G281" t="inlineStr">
        <is>
          <t>ÖVERKALIX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46289</v>
      </c>
      <c r="F282" t="inlineStr">
        <is>
          <t>NORRBOTTENS LÄN</t>
        </is>
      </c>
      <c r="G282" t="inlineStr">
        <is>
          <t>ÖVERKALIX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26554-2023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45092</v>
      </c>
      <c r="E283" s="1" t="n">
        <v>46289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46289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46289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46289</v>
      </c>
      <c r="F286" t="inlineStr">
        <is>
          <t>NORRBOTTENS LÄN</t>
        </is>
      </c>
      <c r="G286" t="inlineStr">
        <is>
          <t>ÖVERKALIX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46289</v>
      </c>
      <c r="F287" t="inlineStr">
        <is>
          <t>NORRBOTTENS LÄN</t>
        </is>
      </c>
      <c r="G287" t="inlineStr">
        <is>
          <t>ÖVERKALIX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1944-2022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44575</v>
      </c>
      <c r="E288" s="1" t="n">
        <v>46289</v>
      </c>
      <c r="F288" t="inlineStr">
        <is>
          <t>NORRBOTTENS LÄN</t>
        </is>
      </c>
      <c r="G288" t="inlineStr">
        <is>
          <t>ÖVERKALIX</t>
        </is>
      </c>
      <c r="I288" t="n">
        <v>10.4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45693</v>
      </c>
      <c r="E289" s="1" t="n">
        <v>46289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46289</v>
      </c>
      <c r="F290" t="inlineStr">
        <is>
          <t>NORRBOTTENS LÄN</t>
        </is>
      </c>
      <c r="G290" t="inlineStr">
        <is>
          <t>ÖVERKALIX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45548</v>
      </c>
      <c r="E291" s="1" t="n">
        <v>46289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46289</v>
      </c>
      <c r="F292" t="inlineStr">
        <is>
          <t>NORRBOTTENS LÄN</t>
        </is>
      </c>
      <c r="G292" t="inlineStr">
        <is>
          <t>ÖVERKALIX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46289</v>
      </c>
      <c r="F293" t="inlineStr">
        <is>
          <t>NORRBOTTENS LÄN</t>
        </is>
      </c>
      <c r="G293" t="inlineStr">
        <is>
          <t>ÖVERKALIX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72212-2021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44543</v>
      </c>
      <c r="E294" s="1" t="n">
        <v>46289</v>
      </c>
      <c r="F294" t="inlineStr">
        <is>
          <t>NORRBOTTENS LÄN</t>
        </is>
      </c>
      <c r="G294" t="inlineStr">
        <is>
          <t>ÖVERKALIX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46059</v>
      </c>
      <c r="E295" s="1" t="n">
        <v>46289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46289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46289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27057-2024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45471</v>
      </c>
      <c r="E298" s="1" t="n">
        <v>46289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32.6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46289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46289</v>
      </c>
      <c r="F300" t="inlineStr">
        <is>
          <t>NORRBOTTENS LÄN</t>
        </is>
      </c>
      <c r="G300" t="inlineStr">
        <is>
          <t>ÖVERKALIX</t>
        </is>
      </c>
      <c r="I300" t="n">
        <v>12.5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46288</v>
      </c>
      <c r="E301" s="1" t="n">
        <v>46289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46244</v>
      </c>
      <c r="E302" s="1" t="n">
        <v>46289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46289</v>
      </c>
      <c r="F303" t="inlineStr">
        <is>
          <t>NORRBOTTENS LÄN</t>
        </is>
      </c>
      <c r="G303" t="inlineStr">
        <is>
          <t>ÖVERKALIX</t>
        </is>
      </c>
      <c r="I303" t="n">
        <v>12.9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46076</v>
      </c>
      <c r="E304" s="1" t="n">
        <v>46289</v>
      </c>
      <c r="F304" t="inlineStr">
        <is>
          <t>NORRBOTTENS LÄN</t>
        </is>
      </c>
      <c r="G304" t="inlineStr">
        <is>
          <t>ÖVERKALIX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44880</v>
      </c>
      <c r="E305" s="1" t="n">
        <v>46289</v>
      </c>
      <c r="F305" t="inlineStr">
        <is>
          <t>NORRBOTTENS LÄN</t>
        </is>
      </c>
      <c r="G305" t="inlineStr">
        <is>
          <t>ÖVERKALIX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46289</v>
      </c>
      <c r="F306" t="inlineStr">
        <is>
          <t>NORRBOTTENS LÄN</t>
        </is>
      </c>
      <c r="G306" t="inlineStr">
        <is>
          <t>ÖVERKALIX</t>
        </is>
      </c>
      <c r="I306" t="n">
        <v>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34128-2025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45845</v>
      </c>
      <c r="E307" s="1" t="n">
        <v>46289</v>
      </c>
      <c r="F307" t="inlineStr">
        <is>
          <t>NORRBOTTENS LÄN</t>
        </is>
      </c>
      <c r="G307" t="inlineStr">
        <is>
          <t>ÖVERKALIX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28343-2025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45818</v>
      </c>
      <c r="E308" s="1" t="n">
        <v>46289</v>
      </c>
      <c r="F308" t="inlineStr">
        <is>
          <t>NORRBOTTENS LÄN</t>
        </is>
      </c>
      <c r="G308" t="inlineStr">
        <is>
          <t>ÖVERKALIX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46289</v>
      </c>
      <c r="F309" t="inlineStr">
        <is>
          <t>NORRBOTTENS LÄN</t>
        </is>
      </c>
      <c r="G309" t="inlineStr">
        <is>
          <t>ÖVERKALIX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46080</v>
      </c>
      <c r="E310" s="1" t="n">
        <v>46289</v>
      </c>
      <c r="F310" t="inlineStr">
        <is>
          <t>NORRBOTTENS LÄN</t>
        </is>
      </c>
      <c r="G310" t="inlineStr">
        <is>
          <t>ÖVERKALIX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46287</v>
      </c>
      <c r="E311" s="1" t="n">
        <v>46289</v>
      </c>
      <c r="F311" t="inlineStr">
        <is>
          <t>NORRBOTTENS LÄN</t>
        </is>
      </c>
      <c r="G311" t="inlineStr">
        <is>
          <t>ÖVERKALIX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46289</v>
      </c>
      <c r="F312" t="inlineStr">
        <is>
          <t>NORRBOTTENS LÄN</t>
        </is>
      </c>
      <c r="G312" t="inlineStr">
        <is>
          <t>ÖVERKALIX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46289</v>
      </c>
      <c r="F313" t="inlineStr">
        <is>
          <t>NORRBOTTENS LÄN</t>
        </is>
      </c>
      <c r="G313" t="inlineStr">
        <is>
          <t>ÖVERKALIX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46289</v>
      </c>
      <c r="F314" t="inlineStr">
        <is>
          <t>NORRBOTTENS LÄN</t>
        </is>
      </c>
      <c r="G314" t="inlineStr">
        <is>
          <t>ÖVERKALIX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46289</v>
      </c>
      <c r="F315" t="inlineStr">
        <is>
          <t>NORRBOTTENS LÄN</t>
        </is>
      </c>
      <c r="G315" t="inlineStr">
        <is>
          <t>ÖVERKALIX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46244</v>
      </c>
      <c r="E316" s="1" t="n">
        <v>46289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46289</v>
      </c>
      <c r="F317" t="inlineStr">
        <is>
          <t>NORRBOTTENS LÄN</t>
        </is>
      </c>
      <c r="G317" t="inlineStr">
        <is>
          <t>ÖVERKALIX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33284-2026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46246</v>
      </c>
      <c r="E318" s="1" t="n">
        <v>46289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46084</v>
      </c>
      <c r="E319" s="1" t="n">
        <v>46289</v>
      </c>
      <c r="F319" t="inlineStr">
        <is>
          <t>NORRBOTTENS LÄN</t>
        </is>
      </c>
      <c r="G319" t="inlineStr">
        <is>
          <t>ÖVERKALIX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46289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46289</v>
      </c>
      <c r="F321" t="inlineStr">
        <is>
          <t>NORRBOTTENS LÄN</t>
        </is>
      </c>
      <c r="G321" t="inlineStr">
        <is>
          <t>ÖVERKALIX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46289</v>
      </c>
      <c r="F322" t="inlineStr">
        <is>
          <t>NORRBOTTENS LÄN</t>
        </is>
      </c>
      <c r="G322" t="inlineStr">
        <is>
          <t>ÖVERKALIX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46289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46289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46289</v>
      </c>
      <c r="F325" t="inlineStr">
        <is>
          <t>NORRBOTTENS LÄN</t>
        </is>
      </c>
      <c r="G325" t="inlineStr">
        <is>
          <t>ÖVERKALIX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45308</v>
      </c>
      <c r="E326" s="1" t="n">
        <v>46289</v>
      </c>
      <c r="F326" t="inlineStr">
        <is>
          <t>NORRBOTTENS LÄN</t>
        </is>
      </c>
      <c r="G326" t="inlineStr">
        <is>
          <t>ÖVERKALIX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46289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46289</v>
      </c>
      <c r="F328" t="inlineStr">
        <is>
          <t>NORRBOTTENS LÄN</t>
        </is>
      </c>
      <c r="G328" t="inlineStr">
        <is>
          <t>ÖVERKALIX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46289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43314-2022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44834</v>
      </c>
      <c r="E330" s="1" t="n">
        <v>46289</v>
      </c>
      <c r="F330" t="inlineStr">
        <is>
          <t>NORRBOTTENS LÄN</t>
        </is>
      </c>
      <c r="G330" t="inlineStr">
        <is>
          <t>ÖVERKALIX</t>
        </is>
      </c>
      <c r="I330" t="n">
        <v>13.1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30881-2024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45498</v>
      </c>
      <c r="E331" s="1" t="n">
        <v>46289</v>
      </c>
      <c r="F331" t="inlineStr">
        <is>
          <t>NORRBOTTENS LÄN</t>
        </is>
      </c>
      <c r="G331" t="inlineStr">
        <is>
          <t>ÖVERKALIX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46289</v>
      </c>
      <c r="F332" t="inlineStr">
        <is>
          <t>NORRBOTTENS LÄN</t>
        </is>
      </c>
      <c r="G332" t="inlineStr">
        <is>
          <t>ÖVERKALIX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44930</v>
      </c>
      <c r="E333" s="1" t="n">
        <v>46289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46289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22.8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62269-2021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44502</v>
      </c>
      <c r="E335" s="1" t="n">
        <v>46289</v>
      </c>
      <c r="F335" t="inlineStr">
        <is>
          <t>NORRBOTTENS LÄN</t>
        </is>
      </c>
      <c r="G335" t="inlineStr">
        <is>
          <t>ÖVERKALIX</t>
        </is>
      </c>
      <c r="I335" t="n">
        <v>9.199999999999999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46289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45005</v>
      </c>
      <c r="E337" s="1" t="n">
        <v>46289</v>
      </c>
      <c r="F337" t="inlineStr">
        <is>
          <t>NORRBOTTENS LÄN</t>
        </is>
      </c>
      <c r="G337" t="inlineStr">
        <is>
          <t>ÖVERKALIX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16487-2026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46289</v>
      </c>
      <c r="F338" t="inlineStr">
        <is>
          <t>NORRBOTTENS LÄN</t>
        </is>
      </c>
      <c r="G338" t="inlineStr">
        <is>
          <t>ÖVERKALIX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46289</v>
      </c>
      <c r="F339" t="inlineStr">
        <is>
          <t>NORRBOTTENS LÄN</t>
        </is>
      </c>
      <c r="G339" t="inlineStr">
        <is>
          <t>ÖVERKALIX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45639</v>
      </c>
      <c r="E340" s="1" t="n">
        <v>46289</v>
      </c>
      <c r="F340" t="inlineStr">
        <is>
          <t>NORRBOTTENS LÄN</t>
        </is>
      </c>
      <c r="G340" t="inlineStr">
        <is>
          <t>ÖVERKALIX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17690-2026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46289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46289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46289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45869</v>
      </c>
      <c r="E344" s="1" t="n">
        <v>46289</v>
      </c>
      <c r="F344" t="inlineStr">
        <is>
          <t>NORRBOTTENS LÄN</t>
        </is>
      </c>
      <c r="G344" t="inlineStr">
        <is>
          <t>ÖVERKALIX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45870</v>
      </c>
      <c r="E345" s="1" t="n">
        <v>46289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45870</v>
      </c>
      <c r="E346" s="1" t="n">
        <v>46289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45869</v>
      </c>
      <c r="E347" s="1" t="n">
        <v>46289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46289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46289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44601</v>
      </c>
      <c r="E350" s="1" t="n">
        <v>46289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45594</v>
      </c>
      <c r="E351" s="1" t="n">
        <v>46289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44973</v>
      </c>
      <c r="E352" s="1" t="n">
        <v>46289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46289</v>
      </c>
      <c r="F353" t="inlineStr">
        <is>
          <t>NORRBOTTENS LÄN</t>
        </is>
      </c>
      <c r="G353" t="inlineStr">
        <is>
          <t>ÖVERKALIX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46289</v>
      </c>
      <c r="F354" t="inlineStr">
        <is>
          <t>NORRBOTTENS LÄN</t>
        </is>
      </c>
      <c r="G354" t="inlineStr">
        <is>
          <t>ÖVERKALIX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46289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46289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46289</v>
      </c>
      <c r="F357" t="inlineStr">
        <is>
          <t>NORRBOTTENS LÄN</t>
        </is>
      </c>
      <c r="G357" t="inlineStr">
        <is>
          <t>ÖVERKALIX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46289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45692</v>
      </c>
      <c r="E359" s="1" t="n">
        <v>46289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45513</v>
      </c>
      <c r="E360" s="1" t="n">
        <v>46289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60400-2022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44910</v>
      </c>
      <c r="E361" s="1" t="n">
        <v>46289</v>
      </c>
      <c r="F361" t="inlineStr">
        <is>
          <t>NORRBOTTENS LÄN</t>
        </is>
      </c>
      <c r="G361" t="inlineStr">
        <is>
          <t>ÖVERKALIX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46289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46289</v>
      </c>
      <c r="F363" t="inlineStr">
        <is>
          <t>NORRBOTTENS LÄN</t>
        </is>
      </c>
      <c r="G363" t="inlineStr">
        <is>
          <t>ÖVERKALIX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45621</v>
      </c>
      <c r="E364" s="1" t="n">
        <v>46289</v>
      </c>
      <c r="F364" t="inlineStr">
        <is>
          <t>NORRBOTTENS LÄN</t>
        </is>
      </c>
      <c r="G364" t="inlineStr">
        <is>
          <t>ÖVERKALIX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46289</v>
      </c>
      <c r="F365" t="inlineStr">
        <is>
          <t>NORRBOTTENS LÄN</t>
        </is>
      </c>
      <c r="G365" t="inlineStr">
        <is>
          <t>ÖVERKALIX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38081-2025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46289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46289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45593</v>
      </c>
      <c r="E368" s="1" t="n">
        <v>46289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50862-2023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45218</v>
      </c>
      <c r="E369" s="1" t="n">
        <v>46289</v>
      </c>
      <c r="F369" t="inlineStr">
        <is>
          <t>NORRBOTTENS LÄN</t>
        </is>
      </c>
      <c r="G369" t="inlineStr">
        <is>
          <t>ÖVERKALIX</t>
        </is>
      </c>
      <c r="I369" t="n">
        <v>8.199999999999999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46289</v>
      </c>
      <c r="F370" t="inlineStr">
        <is>
          <t>NORRBOTTENS LÄN</t>
        </is>
      </c>
      <c r="G370" t="inlineStr">
        <is>
          <t>ÖVERKALIX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45440</v>
      </c>
      <c r="E371" s="1" t="n">
        <v>46289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46289</v>
      </c>
      <c r="F372" t="inlineStr">
        <is>
          <t>NORRBOTTENS LÄN</t>
        </is>
      </c>
      <c r="G372" t="inlineStr">
        <is>
          <t>ÖVERKALIX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46289</v>
      </c>
      <c r="F373" t="inlineStr">
        <is>
          <t>NORRBOTTENS LÄN</t>
        </is>
      </c>
      <c r="G373" t="inlineStr">
        <is>
          <t>ÖVERKALIX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45315</v>
      </c>
      <c r="E374" s="1" t="n">
        <v>46289</v>
      </c>
      <c r="F374" t="inlineStr">
        <is>
          <t>NORRBOTTENS LÄN</t>
        </is>
      </c>
      <c r="G374" t="inlineStr">
        <is>
          <t>ÖVERKALIX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45321</v>
      </c>
      <c r="E375" s="1" t="n">
        <v>46289</v>
      </c>
      <c r="F375" t="inlineStr">
        <is>
          <t>NORRBOTTENS LÄN</t>
        </is>
      </c>
      <c r="G375" t="inlineStr">
        <is>
          <t>ÖVERKALIX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15301-2022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44659</v>
      </c>
      <c r="E376" s="1" t="n">
        <v>46289</v>
      </c>
      <c r="F376" t="inlineStr">
        <is>
          <t>NORRBOTTENS LÄN</t>
        </is>
      </c>
      <c r="G376" t="inlineStr">
        <is>
          <t>ÖVERKALIX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52647-2024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45610</v>
      </c>
      <c r="E377" s="1" t="n">
        <v>46289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46289</v>
      </c>
      <c r="F378" t="inlineStr">
        <is>
          <t>NORRBOTTENS LÄN</t>
        </is>
      </c>
      <c r="G378" t="inlineStr">
        <is>
          <t>ÖVERKALIX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45667</v>
      </c>
      <c r="E379" s="1" t="n">
        <v>46289</v>
      </c>
      <c r="F379" t="inlineStr">
        <is>
          <t>NORRBOTTENS LÄN</t>
        </is>
      </c>
      <c r="G379" t="inlineStr">
        <is>
          <t>ÖVERKALIX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13717-2022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44648</v>
      </c>
      <c r="E380" s="1" t="n">
        <v>46289</v>
      </c>
      <c r="F380" t="inlineStr">
        <is>
          <t>NORRBOTTENS LÄN</t>
        </is>
      </c>
      <c r="G380" t="inlineStr">
        <is>
          <t>ÖVERKALIX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46289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20505-2026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46289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45463</v>
      </c>
      <c r="E383" s="1" t="n">
        <v>46289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46289</v>
      </c>
      <c r="F384" t="inlineStr">
        <is>
          <t>NORRBOTTENS LÄN</t>
        </is>
      </c>
      <c r="G384" t="inlineStr">
        <is>
          <t>ÖVERKALIX</t>
        </is>
      </c>
      <c r="I384" t="n">
        <v>9.4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46289</v>
      </c>
      <c r="F385" t="inlineStr">
        <is>
          <t>NORRBOTTENS LÄN</t>
        </is>
      </c>
      <c r="G385" t="inlineStr">
        <is>
          <t>ÖVERKALIX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46289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46289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46148</v>
      </c>
      <c r="E388" s="1" t="n">
        <v>46289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21424-2026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46148</v>
      </c>
      <c r="E389" s="1" t="n">
        <v>46289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21425-2026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46289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46289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21417-2026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46148</v>
      </c>
      <c r="E392" s="1" t="n">
        <v>46289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21427-2026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46148</v>
      </c>
      <c r="E393" s="1" t="n">
        <v>46289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21422-2026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46148</v>
      </c>
      <c r="E394" s="1" t="n">
        <v>46289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46148</v>
      </c>
      <c r="E395" s="1" t="n">
        <v>46289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18.8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46289</v>
      </c>
      <c r="F396" t="inlineStr">
        <is>
          <t>NORRBOTTENS LÄN</t>
        </is>
      </c>
      <c r="G396" t="inlineStr">
        <is>
          <t>ÖVERKALIX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46289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23.2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45782</v>
      </c>
      <c r="E398" s="1" t="n">
        <v>46289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46289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11.8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45785</v>
      </c>
      <c r="E400" s="1" t="n">
        <v>46289</v>
      </c>
      <c r="F400" t="inlineStr">
        <is>
          <t>NORRBOTTENS LÄN</t>
        </is>
      </c>
      <c r="G400" t="inlineStr">
        <is>
          <t>ÖVERKALIX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46289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46160</v>
      </c>
      <c r="E402" s="1" t="n">
        <v>46289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46289</v>
      </c>
      <c r="F403" t="inlineStr">
        <is>
          <t>NORRBOTTENS LÄN</t>
        </is>
      </c>
      <c r="G403" t="inlineStr">
        <is>
          <t>ÖVERKALIX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46289</v>
      </c>
      <c r="F404" t="inlineStr">
        <is>
          <t>NORRBOTTENS LÄN</t>
        </is>
      </c>
      <c r="G404" t="inlineStr">
        <is>
          <t>ÖVERKALIX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46289</v>
      </c>
      <c r="F405" t="inlineStr">
        <is>
          <t>NORRBOTTENS LÄN</t>
        </is>
      </c>
      <c r="G405" t="inlineStr">
        <is>
          <t>ÖVERKALIX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46289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9.9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46289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51354-2025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46289</v>
      </c>
      <c r="F408" t="inlineStr">
        <is>
          <t>NORRBOTTENS LÄN</t>
        </is>
      </c>
      <c r="G408" t="inlineStr">
        <is>
          <t>ÖVERKALIX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46289</v>
      </c>
      <c r="F409" t="inlineStr">
        <is>
          <t>NORRBOTTENS LÄN</t>
        </is>
      </c>
      <c r="G409" t="inlineStr">
        <is>
          <t>ÖVERKALIX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28372-2025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45818</v>
      </c>
      <c r="E410" s="1" t="n">
        <v>46289</v>
      </c>
      <c r="F410" t="inlineStr">
        <is>
          <t>NORRBOTTENS LÄN</t>
        </is>
      </c>
      <c r="G410" t="inlineStr">
        <is>
          <t>ÖVERKALIX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46289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46289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46289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46289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46289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46289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46289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46289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46289</v>
      </c>
      <c r="F419" t="inlineStr">
        <is>
          <t>NORRBOTTENS LÄN</t>
        </is>
      </c>
      <c r="G419" t="inlineStr">
        <is>
          <t>ÖVERKALIX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25546-2026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46177</v>
      </c>
      <c r="E420" s="1" t="n">
        <v>46289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46177</v>
      </c>
      <c r="E421" s="1" t="n">
        <v>46289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25822-2026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46178</v>
      </c>
      <c r="E422" s="1" t="n">
        <v>46289</v>
      </c>
      <c r="F422" t="inlineStr">
        <is>
          <t>NORRBOTTENS LÄN</t>
        </is>
      </c>
      <c r="G422" t="inlineStr">
        <is>
          <t>ÖVERKALIX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46289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46289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46183</v>
      </c>
      <c r="E425" s="1" t="n">
        <v>46289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8.5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46289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13.8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46289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17.7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46187</v>
      </c>
      <c r="E428" s="1" t="n">
        <v>46289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46289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28210-2026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46196</v>
      </c>
      <c r="E430" s="1" t="n">
        <v>46289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46289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28644-2026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46289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46289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46289</v>
      </c>
      <c r="F434" t="inlineStr">
        <is>
          <t>NORRBOTTENS LÄN</t>
        </is>
      </c>
      <c r="G434" t="inlineStr">
        <is>
          <t>ÖVERKALIX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29927-2026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46205</v>
      </c>
      <c r="E435" s="1" t="n">
        <v>46289</v>
      </c>
      <c r="F435" t="inlineStr">
        <is>
          <t>NORRBOTTENS LÄN</t>
        </is>
      </c>
      <c r="G435" t="inlineStr">
        <is>
          <t>ÖVERKALIX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29937-2026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46205</v>
      </c>
      <c r="E436" s="1" t="n">
        <v>46289</v>
      </c>
      <c r="F436" t="inlineStr">
        <is>
          <t>NORRBOTTENS LÄN</t>
        </is>
      </c>
      <c r="G436" t="inlineStr">
        <is>
          <t>ÖVERKALIX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46247</v>
      </c>
      <c r="E437" s="1" t="n">
        <v>46289</v>
      </c>
      <c r="F437" t="inlineStr">
        <is>
          <t>NORRBOTTENS LÄN</t>
        </is>
      </c>
      <c r="G437" t="inlineStr">
        <is>
          <t>ÖVERKALIX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30326-2026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46207</v>
      </c>
      <c r="E438" s="1" t="n">
        <v>46289</v>
      </c>
      <c r="F438" t="inlineStr">
        <is>
          <t>NORRBOTTENS LÄN</t>
        </is>
      </c>
      <c r="G438" t="inlineStr">
        <is>
          <t>ÖVERKALIX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30327-2026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46207</v>
      </c>
      <c r="E439" s="1" t="n">
        <v>46289</v>
      </c>
      <c r="F439" t="inlineStr">
        <is>
          <t>NORRBOTTENS LÄN</t>
        </is>
      </c>
      <c r="G439" t="inlineStr">
        <is>
          <t>ÖVERKALIX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46289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46289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46289</v>
      </c>
      <c r="F442" t="inlineStr">
        <is>
          <t>NORRBOTTENS LÄN</t>
        </is>
      </c>
      <c r="G442" t="inlineStr">
        <is>
          <t>ÖVERKALIX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30241-2026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46206</v>
      </c>
      <c r="E443" s="1" t="n">
        <v>46289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46289</v>
      </c>
      <c r="F444" t="inlineStr">
        <is>
          <t>NORRBOTTENS LÄN</t>
        </is>
      </c>
      <c r="G444" t="inlineStr">
        <is>
          <t>ÖVERKALIX</t>
        </is>
      </c>
      <c r="I444" t="n">
        <v>22.3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30328-2026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46207</v>
      </c>
      <c r="E445" s="1" t="n">
        <v>46289</v>
      </c>
      <c r="F445" t="inlineStr">
        <is>
          <t>NORRBOTTENS LÄN</t>
        </is>
      </c>
      <c r="G445" t="inlineStr">
        <is>
          <t>ÖVERKALIX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46289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46289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27681-2026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46289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46289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46289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46289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17.6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46289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46289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9.199999999999999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46289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46289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46260</v>
      </c>
      <c r="E456" s="1" t="n">
        <v>46289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35235-2026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46260</v>
      </c>
      <c r="E457" s="1" t="n">
        <v>46289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59911-2024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45641</v>
      </c>
      <c r="E458" s="1" t="n">
        <v>46289</v>
      </c>
      <c r="F458" t="inlineStr">
        <is>
          <t>NORRBOTTENS LÄN</t>
        </is>
      </c>
      <c r="G458" t="inlineStr">
        <is>
          <t>ÖVERKALIX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46266</v>
      </c>
      <c r="E459" s="1" t="n">
        <v>46289</v>
      </c>
      <c r="F459" t="inlineStr">
        <is>
          <t>NORRBOTTENS LÄN</t>
        </is>
      </c>
      <c r="G459" t="inlineStr">
        <is>
          <t>ÖVERKALIX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35191-2026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46260</v>
      </c>
      <c r="E460" s="1" t="n">
        <v>46289</v>
      </c>
      <c r="F460" t="inlineStr">
        <is>
          <t>NORRBOTTENS LÄN</t>
        </is>
      </c>
      <c r="G460" t="inlineStr">
        <is>
          <t>ÖVERKALIX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35950-2026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46266</v>
      </c>
      <c r="E461" s="1" t="n">
        <v>46289</v>
      </c>
      <c r="F461" t="inlineStr">
        <is>
          <t>NORRBOTTENS LÄN</t>
        </is>
      </c>
      <c r="G461" t="inlineStr">
        <is>
          <t>ÖVERKALIX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31628-2026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46225</v>
      </c>
      <c r="E462" s="1" t="n">
        <v>46289</v>
      </c>
      <c r="F462" t="inlineStr">
        <is>
          <t>NORRBOTTENS LÄN</t>
        </is>
      </c>
      <c r="G462" t="inlineStr">
        <is>
          <t>ÖVERKALIX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46289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36683-2026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46272</v>
      </c>
      <c r="E464" s="1" t="n">
        <v>46289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46269</v>
      </c>
      <c r="E465" s="1" t="n">
        <v>46289</v>
      </c>
      <c r="F465" t="inlineStr">
        <is>
          <t>NORRBOTTENS LÄN</t>
        </is>
      </c>
      <c r="G465" t="inlineStr">
        <is>
          <t>ÖVERKALIX</t>
        </is>
      </c>
      <c r="I465" t="n">
        <v>8.300000000000001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46230</v>
      </c>
      <c r="E466" s="1" t="n">
        <v>46289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46289</v>
      </c>
      <c r="F467" t="inlineStr">
        <is>
          <t>NORRBOTTENS LÄN</t>
        </is>
      </c>
      <c r="G467" t="inlineStr">
        <is>
          <t>ÖVERKALIX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46280</v>
      </c>
      <c r="E468" s="1" t="n">
        <v>46289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37683-2026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46278</v>
      </c>
      <c r="E469" s="1" t="n">
        <v>46289</v>
      </c>
      <c r="F469" t="inlineStr">
        <is>
          <t>NORRBOTTENS LÄN</t>
        </is>
      </c>
      <c r="G469" t="inlineStr">
        <is>
          <t>ÖVERKALIX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46289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46289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46289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20.1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46289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3721-2022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44741</v>
      </c>
      <c r="E474" s="1" t="n">
        <v>46289</v>
      </c>
      <c r="F474" t="inlineStr">
        <is>
          <t>NORRBOTTENS LÄN</t>
        </is>
      </c>
      <c r="G474" t="inlineStr">
        <is>
          <t>ÖVERKALIX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2792-2024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45485</v>
      </c>
      <c r="E475" s="1" t="n">
        <v>46289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2700-2024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45482</v>
      </c>
      <c r="E476" s="1" t="n">
        <v>46289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4734-2024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45607</v>
      </c>
      <c r="E477" s="1" t="n">
        <v>46289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1178-2025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45756</v>
      </c>
      <c r="E478" s="1" t="n">
        <v>46289</v>
      </c>
      <c r="F478" t="inlineStr">
        <is>
          <t>NORRBOTTENS LÄN</t>
        </is>
      </c>
      <c r="G478" t="inlineStr">
        <is>
          <t>ÖVERKALIX</t>
        </is>
      </c>
      <c r="I478" t="n">
        <v>39.9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1667-2025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45800</v>
      </c>
      <c r="E479" s="1" t="n">
        <v>46289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50-2026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46030</v>
      </c>
      <c r="E480" s="1" t="n">
        <v>46289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2026-09-24T01:55:18Z</dcterms:created>
  <dcterms:modified xmlns:dcterms="http://purl.org/dc/terms/" xmlns:xsi="http://www.w3.org/2001/XMLSchema-instance" xsi:type="dcterms:W3CDTF">2026-09-24T01:55:19Z</dcterms:modified>
</cp:coreProperties>
</file>