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45847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45847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45847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45847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45847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45847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45847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45847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45847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45847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45847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45847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45847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45847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45847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45847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45847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45847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45847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45847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45847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30532-2025</t>
        </is>
      </c>
      <c r="B62" s="1" t="n">
        <v>45831</v>
      </c>
      <c r="C62" s="1" t="n">
        <v>45847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HYPERLINK("https://klasma.github.io/Logging_252513/artfynd/A 30532-2025 artfynd.xlsx", "A 30532-2025")</f>
        <v/>
      </c>
      <c r="T62">
        <f>HYPERLINK("https://klasma.github.io/Logging_252513/kartor/A 30532-2025 karta.png", "A 30532-2025")</f>
        <v/>
      </c>
      <c r="V62">
        <f>HYPERLINK("https://klasma.github.io/Logging_252513/klagomål/A 30532-2025 FSC-klagomål.docx", "A 30532-2025")</f>
        <v/>
      </c>
      <c r="W62">
        <f>HYPERLINK("https://klasma.github.io/Logging_252513/klagomålsmail/A 30532-2025 FSC-klagomål mail.docx", "A 30532-2025")</f>
        <v/>
      </c>
      <c r="X62">
        <f>HYPERLINK("https://klasma.github.io/Logging_252513/tillsyn/A 30532-2025 tillsynsbegäran.docx", "A 30532-2025")</f>
        <v/>
      </c>
      <c r="Y62">
        <f>HYPERLINK("https://klasma.github.io/Logging_252513/tillsynsmail/A 30532-2025 tillsynsbegäran mail.docx", "A 30532-2025")</f>
        <v/>
      </c>
    </row>
    <row r="63" ht="15" customHeight="1">
      <c r="A63" t="inlineStr">
        <is>
          <t>A 30525-2025</t>
        </is>
      </c>
      <c r="B63" s="1" t="n">
        <v>45831</v>
      </c>
      <c r="C63" s="1" t="n">
        <v>45847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HYPERLINK("https://klasma.github.io/Logging_252513/artfynd/A 30525-2025 artfynd.xlsx", "A 30525-2025")</f>
        <v/>
      </c>
      <c r="T63">
        <f>HYPERLINK("https://klasma.github.io/Logging_252513/kartor/A 30525-2025 karta.png", "A 30525-2025")</f>
        <v/>
      </c>
      <c r="V63">
        <f>HYPERLINK("https://klasma.github.io/Logging_252513/klagomål/A 30525-2025 FSC-klagomål.docx", "A 30525-2025")</f>
        <v/>
      </c>
      <c r="W63">
        <f>HYPERLINK("https://klasma.github.io/Logging_252513/klagomålsmail/A 30525-2025 FSC-klagomål mail.docx", "A 30525-2025")</f>
        <v/>
      </c>
      <c r="X63">
        <f>HYPERLINK("https://klasma.github.io/Logging_252513/tillsyn/A 30525-2025 tillsynsbegäran.docx", "A 30525-2025")</f>
        <v/>
      </c>
      <c r="Y63">
        <f>HYPERLINK("https://klasma.github.io/Logging_252513/tillsynsmail/A 30525-2025 tillsynsbegäran mail.docx", "A 30525-2025")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45847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45847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18173-2019</t>
        </is>
      </c>
      <c r="B66" s="1" t="n">
        <v>43558</v>
      </c>
      <c r="C66" s="1" t="n">
        <v>45847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20310-2019</t>
        </is>
      </c>
      <c r="B67" s="1" t="n">
        <v>43570</v>
      </c>
      <c r="C67" s="1" t="n">
        <v>45847</v>
      </c>
      <c r="D67" t="inlineStr">
        <is>
          <t>NORRBOTTENS LÄN</t>
        </is>
      </c>
      <c r="E67" t="inlineStr">
        <is>
          <t>ÖVERKALIX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28768-2019</t>
        </is>
      </c>
      <c r="B68" s="1" t="n">
        <v>43616</v>
      </c>
      <c r="C68" s="1" t="n">
        <v>45847</v>
      </c>
      <c r="D68" t="inlineStr">
        <is>
          <t>NORRBOTTENS LÄN</t>
        </is>
      </c>
      <c r="E68" t="inlineStr">
        <is>
          <t>ÖVERKALIX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31427-2019</t>
        </is>
      </c>
      <c r="B69" s="1" t="n">
        <v>43636</v>
      </c>
      <c r="C69" s="1" t="n">
        <v>45847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38325-2019</t>
        </is>
      </c>
      <c r="B70" s="1" t="n">
        <v>43684</v>
      </c>
      <c r="C70" s="1" t="n">
        <v>45847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38326-2019</t>
        </is>
      </c>
      <c r="B71" s="1" t="n">
        <v>43684</v>
      </c>
      <c r="C71" s="1" t="n">
        <v>45847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38433-2019</t>
        </is>
      </c>
      <c r="B72" s="1" t="n">
        <v>43685</v>
      </c>
      <c r="C72" s="1" t="n">
        <v>45847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39008-2019</t>
        </is>
      </c>
      <c r="B73" s="1" t="n">
        <v>43689</v>
      </c>
      <c r="C73" s="1" t="n">
        <v>45847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39013-2019</t>
        </is>
      </c>
      <c r="B74" s="1" t="n">
        <v>43689</v>
      </c>
      <c r="C74" s="1" t="n">
        <v>45847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39007-2019</t>
        </is>
      </c>
      <c r="B75" s="1" t="n">
        <v>43689</v>
      </c>
      <c r="C75" s="1" t="n">
        <v>45847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40146-2019</t>
        </is>
      </c>
      <c r="B76" s="1" t="n">
        <v>43693</v>
      </c>
      <c r="C76" s="1" t="n">
        <v>45847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40115-2019</t>
        </is>
      </c>
      <c r="B77" s="1" t="n">
        <v>43693</v>
      </c>
      <c r="C77" s="1" t="n">
        <v>45847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42577-2019</t>
        </is>
      </c>
      <c r="B78" s="1" t="n">
        <v>43699</v>
      </c>
      <c r="C78" s="1" t="n">
        <v>45847</v>
      </c>
      <c r="D78" t="inlineStr">
        <is>
          <t>NORRBOTTENS LÄN</t>
        </is>
      </c>
      <c r="E78" t="inlineStr">
        <is>
          <t>ÖVERKALIX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42561-2019</t>
        </is>
      </c>
      <c r="B79" s="1" t="n">
        <v>43699</v>
      </c>
      <c r="C79" s="1" t="n">
        <v>45847</v>
      </c>
      <c r="D79" t="inlineStr">
        <is>
          <t>NORRBOTTENS LÄN</t>
        </is>
      </c>
      <c r="E79" t="inlineStr">
        <is>
          <t>ÖVERKALIX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42591-2019</t>
        </is>
      </c>
      <c r="B80" s="1" t="n">
        <v>43699</v>
      </c>
      <c r="C80" s="1" t="n">
        <v>45847</v>
      </c>
      <c r="D80" t="inlineStr">
        <is>
          <t>NORRBOTTENS LÄN</t>
        </is>
      </c>
      <c r="E80" t="inlineStr">
        <is>
          <t>ÖVERKALIX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42586-2019</t>
        </is>
      </c>
      <c r="B81" s="1" t="n">
        <v>43699</v>
      </c>
      <c r="C81" s="1" t="n">
        <v>45847</v>
      </c>
      <c r="D81" t="inlineStr">
        <is>
          <t>NORRBOTTENS LÄN</t>
        </is>
      </c>
      <c r="E81" t="inlineStr">
        <is>
          <t>ÖVERKALIX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42574-2019</t>
        </is>
      </c>
      <c r="B82" s="1" t="n">
        <v>43699</v>
      </c>
      <c r="C82" s="1" t="n">
        <v>45847</v>
      </c>
      <c r="D82" t="inlineStr">
        <is>
          <t>NORRBOTTENS LÄN</t>
        </is>
      </c>
      <c r="E82" t="inlineStr">
        <is>
          <t>ÖVERKALIX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42916-2019</t>
        </is>
      </c>
      <c r="B83" s="1" t="n">
        <v>43700</v>
      </c>
      <c r="C83" s="1" t="n">
        <v>45847</v>
      </c>
      <c r="D83" t="inlineStr">
        <is>
          <t>NORRBOTTENS LÄN</t>
        </is>
      </c>
      <c r="E83" t="inlineStr">
        <is>
          <t>ÖVERKALIX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43365-2019</t>
        </is>
      </c>
      <c r="B84" s="1" t="n">
        <v>43706</v>
      </c>
      <c r="C84" s="1" t="n">
        <v>45847</v>
      </c>
      <c r="D84" t="inlineStr">
        <is>
          <t>NORRBOTTENS LÄN</t>
        </is>
      </c>
      <c r="E84" t="inlineStr">
        <is>
          <t>ÖVERKALIX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45957-2019</t>
        </is>
      </c>
      <c r="B85" s="1" t="n">
        <v>43712</v>
      </c>
      <c r="C85" s="1" t="n">
        <v>45847</v>
      </c>
      <c r="D85" t="inlineStr">
        <is>
          <t>NORRBOTTENS LÄN</t>
        </is>
      </c>
      <c r="E85" t="inlineStr">
        <is>
          <t>ÖVERKALIX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47274-2019</t>
        </is>
      </c>
      <c r="B86" s="1" t="n">
        <v>43721</v>
      </c>
      <c r="C86" s="1" t="n">
        <v>45847</v>
      </c>
      <c r="D86" t="inlineStr">
        <is>
          <t>NORRBOTTENS LÄN</t>
        </is>
      </c>
      <c r="E86" t="inlineStr">
        <is>
          <t>ÖVERKALIX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49277-2019</t>
        </is>
      </c>
      <c r="B87" s="1" t="n">
        <v>43728</v>
      </c>
      <c r="C87" s="1" t="n">
        <v>45847</v>
      </c>
      <c r="D87" t="inlineStr">
        <is>
          <t>NORRBOTTENS LÄN</t>
        </is>
      </c>
      <c r="E87" t="inlineStr">
        <is>
          <t>ÖVERKALIX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49923-2019</t>
        </is>
      </c>
      <c r="B88" s="1" t="n">
        <v>43733</v>
      </c>
      <c r="C88" s="1" t="n">
        <v>45847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52645-2019</t>
        </is>
      </c>
      <c r="B89" s="1" t="n">
        <v>43738</v>
      </c>
      <c r="C89" s="1" t="n">
        <v>45847</v>
      </c>
      <c r="D89" t="inlineStr">
        <is>
          <t>NORRBOTTENS LÄN</t>
        </is>
      </c>
      <c r="E89" t="inlineStr">
        <is>
          <t>ÖVERKALIX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52819-2019</t>
        </is>
      </c>
      <c r="B90" s="1" t="n">
        <v>43739</v>
      </c>
      <c r="C90" s="1" t="n">
        <v>45847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52157-2019</t>
        </is>
      </c>
      <c r="B91" s="1" t="n">
        <v>43742</v>
      </c>
      <c r="C91" s="1" t="n">
        <v>45847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54760-2019</t>
        </is>
      </c>
      <c r="B92" s="1" t="n">
        <v>43748</v>
      </c>
      <c r="C92" s="1" t="n">
        <v>45847</v>
      </c>
      <c r="D92" t="inlineStr">
        <is>
          <t>NORRBOTTENS LÄN</t>
        </is>
      </c>
      <c r="E92" t="inlineStr">
        <is>
          <t>ÖVERKALIX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54124-2019</t>
        </is>
      </c>
      <c r="B93" s="1" t="n">
        <v>43752</v>
      </c>
      <c r="C93" s="1" t="n">
        <v>45847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54123-2019</t>
        </is>
      </c>
      <c r="B94" s="1" t="n">
        <v>43752</v>
      </c>
      <c r="C94" s="1" t="n">
        <v>45847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55364-2019</t>
        </is>
      </c>
      <c r="B95" s="1" t="n">
        <v>43756</v>
      </c>
      <c r="C95" s="1" t="n">
        <v>45847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56687-2019</t>
        </is>
      </c>
      <c r="B96" s="1" t="n">
        <v>43759</v>
      </c>
      <c r="C96" s="1" t="n">
        <v>45847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56925-2019</t>
        </is>
      </c>
      <c r="B97" s="1" t="n">
        <v>43759</v>
      </c>
      <c r="C97" s="1" t="n">
        <v>45847</v>
      </c>
      <c r="D97" t="inlineStr">
        <is>
          <t>NORRBOTTENS LÄN</t>
        </is>
      </c>
      <c r="E97" t="inlineStr">
        <is>
          <t>ÖVERKALIX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57779-2019</t>
        </is>
      </c>
      <c r="B98" s="1" t="n">
        <v>43762</v>
      </c>
      <c r="C98" s="1" t="n">
        <v>45847</v>
      </c>
      <c r="D98" t="inlineStr">
        <is>
          <t>NORRBOTTENS LÄN</t>
        </is>
      </c>
      <c r="E98" t="inlineStr">
        <is>
          <t>ÖVERKALIX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56719-2019</t>
        </is>
      </c>
      <c r="B99" s="1" t="n">
        <v>43763</v>
      </c>
      <c r="C99" s="1" t="n">
        <v>45847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58779-2019</t>
        </is>
      </c>
      <c r="B100" s="1" t="n">
        <v>43773</v>
      </c>
      <c r="C100" s="1" t="n">
        <v>45847</v>
      </c>
      <c r="D100" t="inlineStr">
        <is>
          <t>NORRBOTTENS LÄN</t>
        </is>
      </c>
      <c r="E100" t="inlineStr">
        <is>
          <t>ÖVERKALIX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60104-2019</t>
        </is>
      </c>
      <c r="B101" s="1" t="n">
        <v>43777</v>
      </c>
      <c r="C101" s="1" t="n">
        <v>45847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62077-2019</t>
        </is>
      </c>
      <c r="B102" s="1" t="n">
        <v>43782</v>
      </c>
      <c r="C102" s="1" t="n">
        <v>45847</v>
      </c>
      <c r="D102" t="inlineStr">
        <is>
          <t>NORRBOTTENS LÄN</t>
        </is>
      </c>
      <c r="E102" t="inlineStr">
        <is>
          <t>ÖVERKALIX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62031-2019</t>
        </is>
      </c>
      <c r="B103" s="1" t="n">
        <v>43782</v>
      </c>
      <c r="C103" s="1" t="n">
        <v>45847</v>
      </c>
      <c r="D103" t="inlineStr">
        <is>
          <t>NORRBOTTENS LÄN</t>
        </is>
      </c>
      <c r="E103" t="inlineStr">
        <is>
          <t>ÖVERKALIX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61532-2019</t>
        </is>
      </c>
      <c r="B104" s="1" t="n">
        <v>43783</v>
      </c>
      <c r="C104" s="1" t="n">
        <v>45847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61525-2019</t>
        </is>
      </c>
      <c r="B105" s="1" t="n">
        <v>43783</v>
      </c>
      <c r="C105" s="1" t="n">
        <v>45847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61527-2019</t>
        </is>
      </c>
      <c r="B106" s="1" t="n">
        <v>43783</v>
      </c>
      <c r="C106" s="1" t="n">
        <v>45847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61531-2019</t>
        </is>
      </c>
      <c r="B107" s="1" t="n">
        <v>43783</v>
      </c>
      <c r="C107" s="1" t="n">
        <v>45847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63216-2019</t>
        </is>
      </c>
      <c r="B108" s="1" t="n">
        <v>43791</v>
      </c>
      <c r="C108" s="1" t="n">
        <v>45847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64022-2019</t>
        </is>
      </c>
      <c r="B109" s="1" t="n">
        <v>43791</v>
      </c>
      <c r="C109" s="1" t="n">
        <v>45847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64019-2019</t>
        </is>
      </c>
      <c r="B110" s="1" t="n">
        <v>43791</v>
      </c>
      <c r="C110" s="1" t="n">
        <v>45847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67100-2019</t>
        </is>
      </c>
      <c r="B111" s="1" t="n">
        <v>43805</v>
      </c>
      <c r="C111" s="1" t="n">
        <v>45847</v>
      </c>
      <c r="D111" t="inlineStr">
        <is>
          <t>NORRBOTTENS LÄN</t>
        </is>
      </c>
      <c r="E111" t="inlineStr">
        <is>
          <t>ÖVERKALIX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67113-2019</t>
        </is>
      </c>
      <c r="B112" s="1" t="n">
        <v>43805</v>
      </c>
      <c r="C112" s="1" t="n">
        <v>45847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1359-2020</t>
        </is>
      </c>
      <c r="B113" s="1" t="n">
        <v>43843</v>
      </c>
      <c r="C113" s="1" t="n">
        <v>45847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1839-2020</t>
        </is>
      </c>
      <c r="B114" s="1" t="n">
        <v>43844</v>
      </c>
      <c r="C114" s="1" t="n">
        <v>45847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1836-2020</t>
        </is>
      </c>
      <c r="B115" s="1" t="n">
        <v>43844</v>
      </c>
      <c r="C115" s="1" t="n">
        <v>45847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1832-2020</t>
        </is>
      </c>
      <c r="B116" s="1" t="n">
        <v>43844</v>
      </c>
      <c r="C116" s="1" t="n">
        <v>45847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3694-2020</t>
        </is>
      </c>
      <c r="B117" s="1" t="n">
        <v>43845</v>
      </c>
      <c r="C117" s="1" t="n">
        <v>45847</v>
      </c>
      <c r="D117" t="inlineStr">
        <is>
          <t>NORRBOTTENS LÄN</t>
        </is>
      </c>
      <c r="E117" t="inlineStr">
        <is>
          <t>ÖVERKALIX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4667-2020</t>
        </is>
      </c>
      <c r="B118" s="1" t="n">
        <v>43852</v>
      </c>
      <c r="C118" s="1" t="n">
        <v>45847</v>
      </c>
      <c r="D118" t="inlineStr">
        <is>
          <t>NORRBOTTENS LÄN</t>
        </is>
      </c>
      <c r="E118" t="inlineStr">
        <is>
          <t>ÖVERKALIX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5361-2020</t>
        </is>
      </c>
      <c r="B119" s="1" t="n">
        <v>43860</v>
      </c>
      <c r="C119" s="1" t="n">
        <v>45847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8582-2020</t>
        </is>
      </c>
      <c r="B120" s="1" t="n">
        <v>43875</v>
      </c>
      <c r="C120" s="1" t="n">
        <v>45847</v>
      </c>
      <c r="D120" t="inlineStr">
        <is>
          <t>NORRBOTTENS LÄN</t>
        </is>
      </c>
      <c r="E120" t="inlineStr">
        <is>
          <t>ÖVERKALIX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10820-2020</t>
        </is>
      </c>
      <c r="B121" s="1" t="n">
        <v>43888</v>
      </c>
      <c r="C121" s="1" t="n">
        <v>45847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10819-2020</t>
        </is>
      </c>
      <c r="B122" s="1" t="n">
        <v>43888</v>
      </c>
      <c r="C122" s="1" t="n">
        <v>45847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12491-2020</t>
        </is>
      </c>
      <c r="B123" s="1" t="n">
        <v>43892</v>
      </c>
      <c r="C123" s="1" t="n">
        <v>45847</v>
      </c>
      <c r="D123" t="inlineStr">
        <is>
          <t>NORRBOTTENS LÄN</t>
        </is>
      </c>
      <c r="E123" t="inlineStr">
        <is>
          <t>ÖVERKALIX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13601-2020</t>
        </is>
      </c>
      <c r="B124" s="1" t="n">
        <v>43896</v>
      </c>
      <c r="C124" s="1" t="n">
        <v>45847</v>
      </c>
      <c r="D124" t="inlineStr">
        <is>
          <t>NORRBOTTENS LÄN</t>
        </is>
      </c>
      <c r="E124" t="inlineStr">
        <is>
          <t>ÖVERKALIX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13596-2020</t>
        </is>
      </c>
      <c r="B125" s="1" t="n">
        <v>43896</v>
      </c>
      <c r="C125" s="1" t="n">
        <v>45847</v>
      </c>
      <c r="D125" t="inlineStr">
        <is>
          <t>NORRBOTTENS LÄN</t>
        </is>
      </c>
      <c r="E125" t="inlineStr">
        <is>
          <t>ÖVERKALIX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14906-2020</t>
        </is>
      </c>
      <c r="B126" s="1" t="n">
        <v>43903</v>
      </c>
      <c r="C126" s="1" t="n">
        <v>45847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15646-2020</t>
        </is>
      </c>
      <c r="B127" s="1" t="n">
        <v>43914</v>
      </c>
      <c r="C127" s="1" t="n">
        <v>45847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17085-2020</t>
        </is>
      </c>
      <c r="B128" s="1" t="n">
        <v>43921</v>
      </c>
      <c r="C128" s="1" t="n">
        <v>45847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19399-2020</t>
        </is>
      </c>
      <c r="B129" s="1" t="n">
        <v>43938</v>
      </c>
      <c r="C129" s="1" t="n">
        <v>45847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20430-2020</t>
        </is>
      </c>
      <c r="B130" s="1" t="n">
        <v>43945</v>
      </c>
      <c r="C130" s="1" t="n">
        <v>45847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21968-2020</t>
        </is>
      </c>
      <c r="B131" s="1" t="n">
        <v>43958</v>
      </c>
      <c r="C131" s="1" t="n">
        <v>45847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23639-2020</t>
        </is>
      </c>
      <c r="B132" s="1" t="n">
        <v>43969</v>
      </c>
      <c r="C132" s="1" t="n">
        <v>45847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24354-2020</t>
        </is>
      </c>
      <c r="B133" s="1" t="n">
        <v>43976</v>
      </c>
      <c r="C133" s="1" t="n">
        <v>45847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24660-2020</t>
        </is>
      </c>
      <c r="B134" s="1" t="n">
        <v>43977</v>
      </c>
      <c r="C134" s="1" t="n">
        <v>45847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26866-2020</t>
        </is>
      </c>
      <c r="B135" s="1" t="n">
        <v>43987</v>
      </c>
      <c r="C135" s="1" t="n">
        <v>45847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26795-2020</t>
        </is>
      </c>
      <c r="B136" s="1" t="n">
        <v>43990</v>
      </c>
      <c r="C136" s="1" t="n">
        <v>45847</v>
      </c>
      <c r="D136" t="inlineStr">
        <is>
          <t>NORRBOTTENS LÄN</t>
        </is>
      </c>
      <c r="E136" t="inlineStr">
        <is>
          <t>ÖVERKALIX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27092-2020</t>
        </is>
      </c>
      <c r="B137" s="1" t="n">
        <v>43991</v>
      </c>
      <c r="C137" s="1" t="n">
        <v>45847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30971-2020</t>
        </is>
      </c>
      <c r="B138" s="1" t="n">
        <v>44011</v>
      </c>
      <c r="C138" s="1" t="n">
        <v>45847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31065-2020</t>
        </is>
      </c>
      <c r="B139" s="1" t="n">
        <v>44012</v>
      </c>
      <c r="C139" s="1" t="n">
        <v>45847</v>
      </c>
      <c r="D139" t="inlineStr">
        <is>
          <t>NORRBOTTENS LÄN</t>
        </is>
      </c>
      <c r="E139" t="inlineStr">
        <is>
          <t>ÖVERKALIX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33704-2020</t>
        </is>
      </c>
      <c r="B140" s="1" t="n">
        <v>44026</v>
      </c>
      <c r="C140" s="1" t="n">
        <v>45847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33718-2020</t>
        </is>
      </c>
      <c r="B141" s="1" t="n">
        <v>44026</v>
      </c>
      <c r="C141" s="1" t="n">
        <v>45847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33713-2020</t>
        </is>
      </c>
      <c r="B142" s="1" t="n">
        <v>44026</v>
      </c>
      <c r="C142" s="1" t="n">
        <v>45847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34664-2020</t>
        </is>
      </c>
      <c r="B143" s="1" t="n">
        <v>44034</v>
      </c>
      <c r="C143" s="1" t="n">
        <v>45847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36649-2020</t>
        </is>
      </c>
      <c r="B144" s="1" t="n">
        <v>44051</v>
      </c>
      <c r="C144" s="1" t="n">
        <v>45847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43453-2020</t>
        </is>
      </c>
      <c r="B145" s="1" t="n">
        <v>44082</v>
      </c>
      <c r="C145" s="1" t="n">
        <v>45847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43661-2020</t>
        </is>
      </c>
      <c r="B146" s="1" t="n">
        <v>44082</v>
      </c>
      <c r="C146" s="1" t="n">
        <v>45847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43836-2020</t>
        </is>
      </c>
      <c r="B147" s="1" t="n">
        <v>44082</v>
      </c>
      <c r="C147" s="1" t="n">
        <v>45847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45361-2020</t>
        </is>
      </c>
      <c r="B148" s="1" t="n">
        <v>44085</v>
      </c>
      <c r="C148" s="1" t="n">
        <v>45847</v>
      </c>
      <c r="D148" t="inlineStr">
        <is>
          <t>NORRBOTTENS LÄN</t>
        </is>
      </c>
      <c r="E148" t="inlineStr">
        <is>
          <t>ÖVERKALIX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46372-2020</t>
        </is>
      </c>
      <c r="B149" s="1" t="n">
        <v>44092</v>
      </c>
      <c r="C149" s="1" t="n">
        <v>45847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48585-2020</t>
        </is>
      </c>
      <c r="B150" s="1" t="n">
        <v>44098</v>
      </c>
      <c r="C150" s="1" t="n">
        <v>45847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53747-2020</t>
        </is>
      </c>
      <c r="B151" s="1" t="n">
        <v>44124</v>
      </c>
      <c r="C151" s="1" t="n">
        <v>45847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60602-2020</t>
        </is>
      </c>
      <c r="B152" s="1" t="n">
        <v>44153</v>
      </c>
      <c r="C152" s="1" t="n">
        <v>45847</v>
      </c>
      <c r="D152" t="inlineStr">
        <is>
          <t>NORRBOTTENS LÄN</t>
        </is>
      </c>
      <c r="E152" t="inlineStr">
        <is>
          <t>ÖVERKALIX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62022-2020</t>
        </is>
      </c>
      <c r="B153" s="1" t="n">
        <v>44159</v>
      </c>
      <c r="C153" s="1" t="n">
        <v>45847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62241-2020</t>
        </is>
      </c>
      <c r="B154" s="1" t="n">
        <v>44160</v>
      </c>
      <c r="C154" s="1" t="n">
        <v>45847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67584-2020</t>
        </is>
      </c>
      <c r="B155" s="1" t="n">
        <v>44181</v>
      </c>
      <c r="C155" s="1" t="n">
        <v>45847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68189-2020</t>
        </is>
      </c>
      <c r="B156" s="1" t="n">
        <v>44182</v>
      </c>
      <c r="C156" s="1" t="n">
        <v>45847</v>
      </c>
      <c r="D156" t="inlineStr">
        <is>
          <t>NORRBOTTENS LÄN</t>
        </is>
      </c>
      <c r="E156" t="inlineStr">
        <is>
          <t>ÖVERKALIX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69529-2020</t>
        </is>
      </c>
      <c r="B157" s="1" t="n">
        <v>44194</v>
      </c>
      <c r="C157" s="1" t="n">
        <v>45847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69534-2020</t>
        </is>
      </c>
      <c r="B158" s="1" t="n">
        <v>44194</v>
      </c>
      <c r="C158" s="1" t="n">
        <v>45847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1481-2021</t>
        </is>
      </c>
      <c r="B159" s="1" t="n">
        <v>44208</v>
      </c>
      <c r="C159" s="1" t="n">
        <v>45847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7744-2021</t>
        </is>
      </c>
      <c r="B160" s="1" t="n">
        <v>44242</v>
      </c>
      <c r="C160" s="1" t="n">
        <v>45847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8224-2021</t>
        </is>
      </c>
      <c r="B161" s="1" t="n">
        <v>44244</v>
      </c>
      <c r="C161" s="1" t="n">
        <v>45847</v>
      </c>
      <c r="D161" t="inlineStr">
        <is>
          <t>NORRBOTTENS LÄN</t>
        </is>
      </c>
      <c r="E161" t="inlineStr">
        <is>
          <t>ÖVERKALIX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15075-2021</t>
        </is>
      </c>
      <c r="B162" s="1" t="n">
        <v>44281</v>
      </c>
      <c r="C162" s="1" t="n">
        <v>45847</v>
      </c>
      <c r="D162" t="inlineStr">
        <is>
          <t>NORRBOTTENS LÄN</t>
        </is>
      </c>
      <c r="E162" t="inlineStr">
        <is>
          <t>ÖVERKALIX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19802-2021</t>
        </is>
      </c>
      <c r="B163" s="1" t="n">
        <v>44312</v>
      </c>
      <c r="C163" s="1" t="n">
        <v>45847</v>
      </c>
      <c r="D163" t="inlineStr">
        <is>
          <t>NORRBOTTENS LÄN</t>
        </is>
      </c>
      <c r="E163" t="inlineStr">
        <is>
          <t>ÖVERKALIX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23067-2021</t>
        </is>
      </c>
      <c r="B164" s="1" t="n">
        <v>44330</v>
      </c>
      <c r="C164" s="1" t="n">
        <v>45847</v>
      </c>
      <c r="D164" t="inlineStr">
        <is>
          <t>NORRBOTTENS LÄN</t>
        </is>
      </c>
      <c r="E164" t="inlineStr">
        <is>
          <t>ÖVERKALIX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23065-2021</t>
        </is>
      </c>
      <c r="B165" s="1" t="n">
        <v>44330</v>
      </c>
      <c r="C165" s="1" t="n">
        <v>45847</v>
      </c>
      <c r="D165" t="inlineStr">
        <is>
          <t>NORRBOTTENS LÄN</t>
        </is>
      </c>
      <c r="E165" t="inlineStr">
        <is>
          <t>ÖVERKALIX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23073-2021</t>
        </is>
      </c>
      <c r="B166" s="1" t="n">
        <v>44330</v>
      </c>
      <c r="C166" s="1" t="n">
        <v>45847</v>
      </c>
      <c r="D166" t="inlineStr">
        <is>
          <t>NORRBOTTENS LÄN</t>
        </is>
      </c>
      <c r="E166" t="inlineStr">
        <is>
          <t>ÖVERKALIX</t>
        </is>
      </c>
      <c r="G166" t="n">
        <v>16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25070-2021</t>
        </is>
      </c>
      <c r="B167" s="1" t="n">
        <v>44341</v>
      </c>
      <c r="C167" s="1" t="n">
        <v>45847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26362-2021</t>
        </is>
      </c>
      <c r="B168" s="1" t="n">
        <v>44347</v>
      </c>
      <c r="C168" s="1" t="n">
        <v>45847</v>
      </c>
      <c r="D168" t="inlineStr">
        <is>
          <t>NORRBOTTENS LÄN</t>
        </is>
      </c>
      <c r="E168" t="inlineStr">
        <is>
          <t>ÖVERKALIX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26644-2021</t>
        </is>
      </c>
      <c r="B169" s="1" t="n">
        <v>44348</v>
      </c>
      <c r="C169" s="1" t="n">
        <v>45847</v>
      </c>
      <c r="D169" t="inlineStr">
        <is>
          <t>NORRBOTTENS LÄN</t>
        </is>
      </c>
      <c r="E169" t="inlineStr">
        <is>
          <t>ÖVERKALIX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26885-2021</t>
        </is>
      </c>
      <c r="B170" s="1" t="n">
        <v>44349</v>
      </c>
      <c r="C170" s="1" t="n">
        <v>45847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28364-2021</t>
        </is>
      </c>
      <c r="B171" s="1" t="n">
        <v>44356</v>
      </c>
      <c r="C171" s="1" t="n">
        <v>45847</v>
      </c>
      <c r="D171" t="inlineStr">
        <is>
          <t>NORRBOTTENS LÄN</t>
        </is>
      </c>
      <c r="E171" t="inlineStr">
        <is>
          <t>ÖVERKALIX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28487-2021</t>
        </is>
      </c>
      <c r="B172" s="1" t="n">
        <v>44356</v>
      </c>
      <c r="C172" s="1" t="n">
        <v>45847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29268-2021</t>
        </is>
      </c>
      <c r="B173" s="1" t="n">
        <v>44361</v>
      </c>
      <c r="C173" s="1" t="n">
        <v>45847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29757-2021</t>
        </is>
      </c>
      <c r="B174" s="1" t="n">
        <v>44362</v>
      </c>
      <c r="C174" s="1" t="n">
        <v>45847</v>
      </c>
      <c r="D174" t="inlineStr">
        <is>
          <t>NORRBOTTENS LÄN</t>
        </is>
      </c>
      <c r="E174" t="inlineStr">
        <is>
          <t>ÖVERKALIX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29775-2021</t>
        </is>
      </c>
      <c r="B175" s="1" t="n">
        <v>44362</v>
      </c>
      <c r="C175" s="1" t="n">
        <v>45847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30673-2021</t>
        </is>
      </c>
      <c r="B176" s="1" t="n">
        <v>44365</v>
      </c>
      <c r="C176" s="1" t="n">
        <v>45847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30672-2021</t>
        </is>
      </c>
      <c r="B177" s="1" t="n">
        <v>44365</v>
      </c>
      <c r="C177" s="1" t="n">
        <v>45847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32521-2021</t>
        </is>
      </c>
      <c r="B178" s="1" t="n">
        <v>44374</v>
      </c>
      <c r="C178" s="1" t="n">
        <v>45847</v>
      </c>
      <c r="D178" t="inlineStr">
        <is>
          <t>NORRBOTTENS LÄN</t>
        </is>
      </c>
      <c r="E178" t="inlineStr">
        <is>
          <t>ÖVERKALIX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36896-2021</t>
        </is>
      </c>
      <c r="B179" s="1" t="n">
        <v>44393</v>
      </c>
      <c r="C179" s="1" t="n">
        <v>45847</v>
      </c>
      <c r="D179" t="inlineStr">
        <is>
          <t>NORRBOTTENS LÄN</t>
        </is>
      </c>
      <c r="E179" t="inlineStr">
        <is>
          <t>ÖVERKALIX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36921-2021</t>
        </is>
      </c>
      <c r="B180" s="1" t="n">
        <v>44393</v>
      </c>
      <c r="C180" s="1" t="n">
        <v>45847</v>
      </c>
      <c r="D180" t="inlineStr">
        <is>
          <t>NORRBOTTENS LÄN</t>
        </is>
      </c>
      <c r="E180" t="inlineStr">
        <is>
          <t>ÖVERKALIX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39459-2021</t>
        </is>
      </c>
      <c r="B181" s="1" t="n">
        <v>44414</v>
      </c>
      <c r="C181" s="1" t="n">
        <v>45847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40026-2021</t>
        </is>
      </c>
      <c r="B182" s="1" t="n">
        <v>44417</v>
      </c>
      <c r="C182" s="1" t="n">
        <v>45847</v>
      </c>
      <c r="D182" t="inlineStr">
        <is>
          <t>NORRBOTTENS LÄN</t>
        </is>
      </c>
      <c r="E182" t="inlineStr">
        <is>
          <t>ÖVERKALIX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39974-2021</t>
        </is>
      </c>
      <c r="B183" s="1" t="n">
        <v>44417</v>
      </c>
      <c r="C183" s="1" t="n">
        <v>45847</v>
      </c>
      <c r="D183" t="inlineStr">
        <is>
          <t>NORRBOTTENS LÄN</t>
        </is>
      </c>
      <c r="E183" t="inlineStr">
        <is>
          <t>ÖVERKALIX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41541-2021</t>
        </is>
      </c>
      <c r="B184" s="1" t="n">
        <v>44424</v>
      </c>
      <c r="C184" s="1" t="n">
        <v>45847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41691-2021</t>
        </is>
      </c>
      <c r="B185" s="1" t="n">
        <v>44424</v>
      </c>
      <c r="C185" s="1" t="n">
        <v>45847</v>
      </c>
      <c r="D185" t="inlineStr">
        <is>
          <t>NORRBOTTENS LÄN</t>
        </is>
      </c>
      <c r="E185" t="inlineStr">
        <is>
          <t>ÖVERKALIX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41706-2021</t>
        </is>
      </c>
      <c r="B186" s="1" t="n">
        <v>44424</v>
      </c>
      <c r="C186" s="1" t="n">
        <v>45847</v>
      </c>
      <c r="D186" t="inlineStr">
        <is>
          <t>NORRBOTTENS LÄN</t>
        </is>
      </c>
      <c r="E186" t="inlineStr">
        <is>
          <t>ÖVERKALIX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41839-2021</t>
        </is>
      </c>
      <c r="B187" s="1" t="n">
        <v>44425</v>
      </c>
      <c r="C187" s="1" t="n">
        <v>45847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42123-2021</t>
        </is>
      </c>
      <c r="B188" s="1" t="n">
        <v>44426</v>
      </c>
      <c r="C188" s="1" t="n">
        <v>45847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43433-2021</t>
        </is>
      </c>
      <c r="B189" s="1" t="n">
        <v>44432</v>
      </c>
      <c r="C189" s="1" t="n">
        <v>45847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43673-2021</t>
        </is>
      </c>
      <c r="B190" s="1" t="n">
        <v>44433</v>
      </c>
      <c r="C190" s="1" t="n">
        <v>45847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43687-2021</t>
        </is>
      </c>
      <c r="B191" s="1" t="n">
        <v>44433</v>
      </c>
      <c r="C191" s="1" t="n">
        <v>45847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44370-2021</t>
        </is>
      </c>
      <c r="B192" s="1" t="n">
        <v>44435</v>
      </c>
      <c r="C192" s="1" t="n">
        <v>45847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44309-2021</t>
        </is>
      </c>
      <c r="B193" s="1" t="n">
        <v>44435</v>
      </c>
      <c r="C193" s="1" t="n">
        <v>45847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44306-2021</t>
        </is>
      </c>
      <c r="B194" s="1" t="n">
        <v>44435</v>
      </c>
      <c r="C194" s="1" t="n">
        <v>45847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44530-2021</t>
        </is>
      </c>
      <c r="B195" s="1" t="n">
        <v>44435</v>
      </c>
      <c r="C195" s="1" t="n">
        <v>45847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44798-2021</t>
        </is>
      </c>
      <c r="B196" s="1" t="n">
        <v>44438</v>
      </c>
      <c r="C196" s="1" t="n">
        <v>45847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44830-2021</t>
        </is>
      </c>
      <c r="B197" s="1" t="n">
        <v>44438</v>
      </c>
      <c r="C197" s="1" t="n">
        <v>45847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46790-2021</t>
        </is>
      </c>
      <c r="B198" s="1" t="n">
        <v>44445</v>
      </c>
      <c r="C198" s="1" t="n">
        <v>45847</v>
      </c>
      <c r="D198" t="inlineStr">
        <is>
          <t>NORRBOTTENS LÄN</t>
        </is>
      </c>
      <c r="E198" t="inlineStr">
        <is>
          <t>ÖVERKALIX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45847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47629-2021</t>
        </is>
      </c>
      <c r="B200" s="1" t="n">
        <v>44448</v>
      </c>
      <c r="C200" s="1" t="n">
        <v>45847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51022-2021</t>
        </is>
      </c>
      <c r="B201" s="1" t="n">
        <v>44460</v>
      </c>
      <c r="C201" s="1" t="n">
        <v>45847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52869-2021</t>
        </is>
      </c>
      <c r="B202" s="1" t="n">
        <v>44466</v>
      </c>
      <c r="C202" s="1" t="n">
        <v>45847</v>
      </c>
      <c r="D202" t="inlineStr">
        <is>
          <t>NORRBOTTENS LÄN</t>
        </is>
      </c>
      <c r="E202" t="inlineStr">
        <is>
          <t>ÖVERKALIX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52713-2021</t>
        </is>
      </c>
      <c r="B203" s="1" t="n">
        <v>44467</v>
      </c>
      <c r="C203" s="1" t="n">
        <v>45847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53322-2021</t>
        </is>
      </c>
      <c r="B204" s="1" t="n">
        <v>44466</v>
      </c>
      <c r="C204" s="1" t="n">
        <v>45847</v>
      </c>
      <c r="D204" t="inlineStr">
        <is>
          <t>NORRBOTTENS LÄN</t>
        </is>
      </c>
      <c r="E204" t="inlineStr">
        <is>
          <t>ÖVERKALIX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53328-2021</t>
        </is>
      </c>
      <c r="B205" s="1" t="n">
        <v>44466</v>
      </c>
      <c r="C205" s="1" t="n">
        <v>45847</v>
      </c>
      <c r="D205" t="inlineStr">
        <is>
          <t>NORRBOTTENS LÄN</t>
        </is>
      </c>
      <c r="E205" t="inlineStr">
        <is>
          <t>ÖVERKALIX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53849-2021</t>
        </is>
      </c>
      <c r="B206" s="1" t="n">
        <v>44469</v>
      </c>
      <c r="C206" s="1" t="n">
        <v>45847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54143-2021</t>
        </is>
      </c>
      <c r="B207" s="1" t="n">
        <v>44469</v>
      </c>
      <c r="C207" s="1" t="n">
        <v>45847</v>
      </c>
      <c r="D207" t="inlineStr">
        <is>
          <t>NORRBOTTENS LÄN</t>
        </is>
      </c>
      <c r="E207" t="inlineStr">
        <is>
          <t>ÖVERKALIX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</v>
      </c>
      <c r="C208" s="1" t="n">
        <v>45847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57754-2021</t>
        </is>
      </c>
      <c r="B209" s="1" t="n">
        <v>44484</v>
      </c>
      <c r="C209" s="1" t="n">
        <v>45847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57759-2021</t>
        </is>
      </c>
      <c r="B210" s="1" t="n">
        <v>44484</v>
      </c>
      <c r="C210" s="1" t="n">
        <v>45847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59927-2021</t>
        </is>
      </c>
      <c r="B211" s="1" t="n">
        <v>44494</v>
      </c>
      <c r="C211" s="1" t="n">
        <v>45847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62259-2021</t>
        </is>
      </c>
      <c r="B212" s="1" t="n">
        <v>44501</v>
      </c>
      <c r="C212" s="1" t="n">
        <v>45847</v>
      </c>
      <c r="D212" t="inlineStr">
        <is>
          <t>NORRBOTTENS LÄN</t>
        </is>
      </c>
      <c r="E212" t="inlineStr">
        <is>
          <t>ÖVERKALIX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62269-2021</t>
        </is>
      </c>
      <c r="B213" s="1" t="n">
        <v>44502</v>
      </c>
      <c r="C213" s="1" t="n">
        <v>45847</v>
      </c>
      <c r="D213" t="inlineStr">
        <is>
          <t>NORRBOTTENS LÄN</t>
        </is>
      </c>
      <c r="E213" t="inlineStr">
        <is>
          <t>ÖVERKALIX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62654-2021</t>
        </is>
      </c>
      <c r="B214" s="1" t="n">
        <v>44503</v>
      </c>
      <c r="C214" s="1" t="n">
        <v>45847</v>
      </c>
      <c r="D214" t="inlineStr">
        <is>
          <t>NORRBOTTENS LÄN</t>
        </is>
      </c>
      <c r="E214" t="inlineStr">
        <is>
          <t>ÖVERKALIX</t>
        </is>
      </c>
      <c r="G214" t="n">
        <v>28.3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63594-2021</t>
        </is>
      </c>
      <c r="B215" s="1" t="n">
        <v>44508</v>
      </c>
      <c r="C215" s="1" t="n">
        <v>45847</v>
      </c>
      <c r="D215" t="inlineStr">
        <is>
          <t>NORRBOTTENS LÄN</t>
        </is>
      </c>
      <c r="E215" t="inlineStr">
        <is>
          <t>ÖVERKALIX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64304-2021</t>
        </is>
      </c>
      <c r="B216" s="1" t="n">
        <v>44510</v>
      </c>
      <c r="C216" s="1" t="n">
        <v>45847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69110-2021</t>
        </is>
      </c>
      <c r="B217" s="1" t="n">
        <v>44530</v>
      </c>
      <c r="C217" s="1" t="n">
        <v>45847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69405-2021</t>
        </is>
      </c>
      <c r="B218" s="1" t="n">
        <v>44531</v>
      </c>
      <c r="C218" s="1" t="n">
        <v>45847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71902-2021</t>
        </is>
      </c>
      <c r="B219" s="1" t="n">
        <v>44539</v>
      </c>
      <c r="C219" s="1" t="n">
        <v>45847</v>
      </c>
      <c r="D219" t="inlineStr">
        <is>
          <t>NORRBOTTENS LÄN</t>
        </is>
      </c>
      <c r="E219" t="inlineStr">
        <is>
          <t>ÖVERKALIX</t>
        </is>
      </c>
      <c r="G219" t="n">
        <v>24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72364-2021</t>
        </is>
      </c>
      <c r="B220" s="1" t="n">
        <v>44543</v>
      </c>
      <c r="C220" s="1" t="n">
        <v>45847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72550-2021</t>
        </is>
      </c>
      <c r="B221" s="1" t="n">
        <v>44546</v>
      </c>
      <c r="C221" s="1" t="n">
        <v>45847</v>
      </c>
      <c r="D221" t="inlineStr">
        <is>
          <t>NORRBOTTENS LÄN</t>
        </is>
      </c>
      <c r="E221" t="inlineStr">
        <is>
          <t>ÖVERKALIX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72601-2021</t>
        </is>
      </c>
      <c r="B222" s="1" t="n">
        <v>44546</v>
      </c>
      <c r="C222" s="1" t="n">
        <v>45847</v>
      </c>
      <c r="D222" t="inlineStr">
        <is>
          <t>NORRBOTTENS LÄN</t>
        </is>
      </c>
      <c r="E222" t="inlineStr">
        <is>
          <t>ÖVERKALIX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72616-2021</t>
        </is>
      </c>
      <c r="B223" s="1" t="n">
        <v>44546</v>
      </c>
      <c r="C223" s="1" t="n">
        <v>45847</v>
      </c>
      <c r="D223" t="inlineStr">
        <is>
          <t>NORRBOTTENS LÄN</t>
        </is>
      </c>
      <c r="E223" t="inlineStr">
        <is>
          <t>ÖVERKALIX</t>
        </is>
      </c>
      <c r="G223" t="n">
        <v>26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72623-2021</t>
        </is>
      </c>
      <c r="B224" s="1" t="n">
        <v>44546</v>
      </c>
      <c r="C224" s="1" t="n">
        <v>45847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72809-2021</t>
        </is>
      </c>
      <c r="B225" s="1" t="n">
        <v>44546</v>
      </c>
      <c r="C225" s="1" t="n">
        <v>45847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72877-2021</t>
        </is>
      </c>
      <c r="B226" s="1" t="n">
        <v>44547</v>
      </c>
      <c r="C226" s="1" t="n">
        <v>45847</v>
      </c>
      <c r="D226" t="inlineStr">
        <is>
          <t>NORRBOTTENS LÄN</t>
        </is>
      </c>
      <c r="E226" t="inlineStr">
        <is>
          <t>ÖVERKALIX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73216-2021</t>
        </is>
      </c>
      <c r="B227" s="1" t="n">
        <v>44547</v>
      </c>
      <c r="C227" s="1" t="n">
        <v>45847</v>
      </c>
      <c r="D227" t="inlineStr">
        <is>
          <t>NORRBOTTENS LÄN</t>
        </is>
      </c>
      <c r="E227" t="inlineStr">
        <is>
          <t>ÖVERKALIX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73221-2021</t>
        </is>
      </c>
      <c r="B228" s="1" t="n">
        <v>44547</v>
      </c>
      <c r="C228" s="1" t="n">
        <v>45847</v>
      </c>
      <c r="D228" t="inlineStr">
        <is>
          <t>NORRBOTTENS LÄN</t>
        </is>
      </c>
      <c r="E228" t="inlineStr">
        <is>
          <t>ÖVERKALIX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73348-2021</t>
        </is>
      </c>
      <c r="B229" s="1" t="n">
        <v>44550</v>
      </c>
      <c r="C229" s="1" t="n">
        <v>45847</v>
      </c>
      <c r="D229" t="inlineStr">
        <is>
          <t>NORRBOTTENS LÄN</t>
        </is>
      </c>
      <c r="E229" t="inlineStr">
        <is>
          <t>ÖVERKALIX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73757-2021</t>
        </is>
      </c>
      <c r="B230" s="1" t="n">
        <v>44551</v>
      </c>
      <c r="C230" s="1" t="n">
        <v>45847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73759-2021</t>
        </is>
      </c>
      <c r="B231" s="1" t="n">
        <v>44551</v>
      </c>
      <c r="C231" s="1" t="n">
        <v>45847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1525-2022</t>
        </is>
      </c>
      <c r="B232" s="1" t="n">
        <v>44573</v>
      </c>
      <c r="C232" s="1" t="n">
        <v>45847</v>
      </c>
      <c r="D232" t="inlineStr">
        <is>
          <t>NORRBOTTENS LÄN</t>
        </is>
      </c>
      <c r="E232" t="inlineStr">
        <is>
          <t>ÖVERKALIX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1944-2022</t>
        </is>
      </c>
      <c r="B233" s="1" t="n">
        <v>44575</v>
      </c>
      <c r="C233" s="1" t="n">
        <v>45847</v>
      </c>
      <c r="D233" t="inlineStr">
        <is>
          <t>NORRBOTTENS LÄN</t>
        </is>
      </c>
      <c r="E233" t="inlineStr">
        <is>
          <t>ÖVERKALIX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3174-2022</t>
        </is>
      </c>
      <c r="B234" s="1" t="n">
        <v>44582</v>
      </c>
      <c r="C234" s="1" t="n">
        <v>45847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3233-2022</t>
        </is>
      </c>
      <c r="B235" s="1" t="n">
        <v>44582</v>
      </c>
      <c r="C235" s="1" t="n">
        <v>45847</v>
      </c>
      <c r="D235" t="inlineStr">
        <is>
          <t>NORRBOTTENS LÄN</t>
        </is>
      </c>
      <c r="E235" t="inlineStr">
        <is>
          <t>ÖVERKALIX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5646-2022</t>
        </is>
      </c>
      <c r="B236" s="1" t="n">
        <v>44595</v>
      </c>
      <c r="C236" s="1" t="n">
        <v>45847</v>
      </c>
      <c r="D236" t="inlineStr">
        <is>
          <t>NORRBOTTENS LÄN</t>
        </is>
      </c>
      <c r="E236" t="inlineStr">
        <is>
          <t>ÖVERKALIX</t>
        </is>
      </c>
      <c r="G236" t="n">
        <v>24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5653-2022</t>
        </is>
      </c>
      <c r="B237" s="1" t="n">
        <v>44595</v>
      </c>
      <c r="C237" s="1" t="n">
        <v>45847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6514-2022</t>
        </is>
      </c>
      <c r="B238" s="1" t="n">
        <v>44601</v>
      </c>
      <c r="C238" s="1" t="n">
        <v>45847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6641-2022</t>
        </is>
      </c>
      <c r="B239" s="1" t="n">
        <v>44601</v>
      </c>
      <c r="C239" s="1" t="n">
        <v>45847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6907-2022</t>
        </is>
      </c>
      <c r="B240" s="1" t="n">
        <v>44602</v>
      </c>
      <c r="C240" s="1" t="n">
        <v>45847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6916-2022</t>
        </is>
      </c>
      <c r="B241" s="1" t="n">
        <v>44602</v>
      </c>
      <c r="C241" s="1" t="n">
        <v>45847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7039-2022</t>
        </is>
      </c>
      <c r="B242" s="1" t="n">
        <v>44603</v>
      </c>
      <c r="C242" s="1" t="n">
        <v>45847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Övriga statliga verk och myndigheter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7677-2022</t>
        </is>
      </c>
      <c r="B243" s="1" t="n">
        <v>44607</v>
      </c>
      <c r="C243" s="1" t="n">
        <v>45847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7692-2022</t>
        </is>
      </c>
      <c r="B244" s="1" t="n">
        <v>44607</v>
      </c>
      <c r="C244" s="1" t="n">
        <v>45847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7949-2022</t>
        </is>
      </c>
      <c r="B245" s="1" t="n">
        <v>44608</v>
      </c>
      <c r="C245" s="1" t="n">
        <v>45847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8727-2022</t>
        </is>
      </c>
      <c r="B246" s="1" t="n">
        <v>44613</v>
      </c>
      <c r="C246" s="1" t="n">
        <v>45847</v>
      </c>
      <c r="D246" t="inlineStr">
        <is>
          <t>NORRBOTTENS LÄN</t>
        </is>
      </c>
      <c r="E246" t="inlineStr">
        <is>
          <t>ÖVERKALIX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10553-2022</t>
        </is>
      </c>
      <c r="B247" s="1" t="n">
        <v>44623</v>
      </c>
      <c r="C247" s="1" t="n">
        <v>45847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10930-2022</t>
        </is>
      </c>
      <c r="B248" s="1" t="n">
        <v>44627</v>
      </c>
      <c r="C248" s="1" t="n">
        <v>45847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13463-2022</t>
        </is>
      </c>
      <c r="B249" s="1" t="n">
        <v>44645</v>
      </c>
      <c r="C249" s="1" t="n">
        <v>45847</v>
      </c>
      <c r="D249" t="inlineStr">
        <is>
          <t>NORRBOTTENS LÄN</t>
        </is>
      </c>
      <c r="E249" t="inlineStr">
        <is>
          <t>ÖVERKALIX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13465-2022</t>
        </is>
      </c>
      <c r="B250" s="1" t="n">
        <v>44645</v>
      </c>
      <c r="C250" s="1" t="n">
        <v>45847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13717-2022</t>
        </is>
      </c>
      <c r="B251" s="1" t="n">
        <v>44648</v>
      </c>
      <c r="C251" s="1" t="n">
        <v>45847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14685-2022</t>
        </is>
      </c>
      <c r="B252" s="1" t="n">
        <v>44656</v>
      </c>
      <c r="C252" s="1" t="n">
        <v>45847</v>
      </c>
      <c r="D252" t="inlineStr">
        <is>
          <t>NORRBOTTENS LÄN</t>
        </is>
      </c>
      <c r="E252" t="inlineStr">
        <is>
          <t>ÖVERKALIX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15133-2022</t>
        </is>
      </c>
      <c r="B253" s="1" t="n">
        <v>44658</v>
      </c>
      <c r="C253" s="1" t="n">
        <v>45847</v>
      </c>
      <c r="D253" t="inlineStr">
        <is>
          <t>NORRBOTTENS LÄN</t>
        </is>
      </c>
      <c r="E253" t="inlineStr">
        <is>
          <t>ÖVERKALIX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15301-2022</t>
        </is>
      </c>
      <c r="B254" s="1" t="n">
        <v>44659</v>
      </c>
      <c r="C254" s="1" t="n">
        <v>45847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15926-2022</t>
        </is>
      </c>
      <c r="B255" s="1" t="n">
        <v>44664</v>
      </c>
      <c r="C255" s="1" t="n">
        <v>45847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17850-2022</t>
        </is>
      </c>
      <c r="B256" s="1" t="n">
        <v>44683</v>
      </c>
      <c r="C256" s="1" t="n">
        <v>45847</v>
      </c>
      <c r="D256" t="inlineStr">
        <is>
          <t>NORRBOTTENS LÄN</t>
        </is>
      </c>
      <c r="E256" t="inlineStr">
        <is>
          <t>ÖVERKALIX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20242-2022</t>
        </is>
      </c>
      <c r="B257" s="1" t="n">
        <v>44698</v>
      </c>
      <c r="C257" s="1" t="n">
        <v>45847</v>
      </c>
      <c r="D257" t="inlineStr">
        <is>
          <t>NORRBOTTENS LÄN</t>
        </is>
      </c>
      <c r="E257" t="inlineStr">
        <is>
          <t>ÖVERKALIX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20335-2022</t>
        </is>
      </c>
      <c r="B258" s="1" t="n">
        <v>44698</v>
      </c>
      <c r="C258" s="1" t="n">
        <v>45847</v>
      </c>
      <c r="D258" t="inlineStr">
        <is>
          <t>NORRBOTTENS LÄN</t>
        </is>
      </c>
      <c r="E258" t="inlineStr">
        <is>
          <t>ÖVERKALIX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21847-2022</t>
        </is>
      </c>
      <c r="B259" s="1" t="n">
        <v>44711</v>
      </c>
      <c r="C259" s="1" t="n">
        <v>45847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22977-2022</t>
        </is>
      </c>
      <c r="B260" s="1" t="n">
        <v>44717</v>
      </c>
      <c r="C260" s="1" t="n">
        <v>45847</v>
      </c>
      <c r="D260" t="inlineStr">
        <is>
          <t>NORRBOTTENS LÄN</t>
        </is>
      </c>
      <c r="E260" t="inlineStr">
        <is>
          <t>ÖVERKALIX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22976-2022</t>
        </is>
      </c>
      <c r="B261" s="1" t="n">
        <v>44717</v>
      </c>
      <c r="C261" s="1" t="n">
        <v>45847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22988-2022</t>
        </is>
      </c>
      <c r="B262" s="1" t="n">
        <v>44718</v>
      </c>
      <c r="C262" s="1" t="n">
        <v>45847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24866-2022</t>
        </is>
      </c>
      <c r="B263" s="1" t="n">
        <v>44728</v>
      </c>
      <c r="C263" s="1" t="n">
        <v>45847</v>
      </c>
      <c r="D263" t="inlineStr">
        <is>
          <t>NORRBOTTENS LÄN</t>
        </is>
      </c>
      <c r="E263" t="inlineStr">
        <is>
          <t>ÖVERKALIX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27225-2022</t>
        </is>
      </c>
      <c r="B264" s="1" t="n">
        <v>44741</v>
      </c>
      <c r="C264" s="1" t="n">
        <v>45847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27230-2022</t>
        </is>
      </c>
      <c r="B265" s="1" t="n">
        <v>44741</v>
      </c>
      <c r="C265" s="1" t="n">
        <v>45847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28225-2022</t>
        </is>
      </c>
      <c r="B266" s="1" t="n">
        <v>44746</v>
      </c>
      <c r="C266" s="1" t="n">
        <v>45847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29712-2022</t>
        </is>
      </c>
      <c r="B267" s="1" t="n">
        <v>44755</v>
      </c>
      <c r="C267" s="1" t="n">
        <v>45847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29706-2022</t>
        </is>
      </c>
      <c r="B268" s="1" t="n">
        <v>44755</v>
      </c>
      <c r="C268" s="1" t="n">
        <v>45847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HYPERLINK("https://klasma.github.io/Logging_2513/knärot/A 29706-2022 karta knärot.png", "A 29706-2022")</f>
        <v/>
      </c>
      <c r="V268">
        <f>HYPERLINK("https://klasma.github.io/Logging_2513/klagomål/A 29706-2022 FSC-klagomål.docx", "A 29706-2022")</f>
        <v/>
      </c>
      <c r="W268">
        <f>HYPERLINK("https://klasma.github.io/Logging_2513/klagomålsmail/A 29706-2022 FSC-klagomål mail.docx", "A 29706-2022")</f>
        <v/>
      </c>
      <c r="X268">
        <f>HYPERLINK("https://klasma.github.io/Logging_2513/tillsyn/A 29706-2022 tillsynsbegäran.docx", "A 29706-2022")</f>
        <v/>
      </c>
      <c r="Y268">
        <f>HYPERLINK("https://klasma.github.io/Logging_2513/tillsynsmail/A 29706-2022 tillsynsbegäran mail.docx", "A 29706-2022")</f>
        <v/>
      </c>
    </row>
    <row r="269" ht="15" customHeight="1">
      <c r="A269" t="inlineStr">
        <is>
          <t>A 29709-2022</t>
        </is>
      </c>
      <c r="B269" s="1" t="n">
        <v>44755</v>
      </c>
      <c r="C269" s="1" t="n">
        <v>45847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31456-2022</t>
        </is>
      </c>
      <c r="B270" s="1" t="n">
        <v>44775</v>
      </c>
      <c r="C270" s="1" t="n">
        <v>45847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32091-2022</t>
        </is>
      </c>
      <c r="B271" s="1" t="n">
        <v>44778</v>
      </c>
      <c r="C271" s="1" t="n">
        <v>45847</v>
      </c>
      <c r="D271" t="inlineStr">
        <is>
          <t>NORRBOTTENS LÄN</t>
        </is>
      </c>
      <c r="E271" t="inlineStr">
        <is>
          <t>ÖVERKALIX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32724-2022</t>
        </is>
      </c>
      <c r="B272" s="1" t="n">
        <v>44783</v>
      </c>
      <c r="C272" s="1" t="n">
        <v>45847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33100-2022</t>
        </is>
      </c>
      <c r="B273" s="1" t="n">
        <v>44785</v>
      </c>
      <c r="C273" s="1" t="n">
        <v>45847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33497-2022</t>
        </is>
      </c>
      <c r="B274" s="1" t="n">
        <v>44789</v>
      </c>
      <c r="C274" s="1" t="n">
        <v>45847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34261-2022</t>
        </is>
      </c>
      <c r="B275" s="1" t="n">
        <v>44791</v>
      </c>
      <c r="C275" s="1" t="n">
        <v>45847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34713-2022</t>
        </is>
      </c>
      <c r="B276" s="1" t="n">
        <v>44795</v>
      </c>
      <c r="C276" s="1" t="n">
        <v>45847</v>
      </c>
      <c r="D276" t="inlineStr">
        <is>
          <t>NORRBOTTENS LÄN</t>
        </is>
      </c>
      <c r="E276" t="inlineStr">
        <is>
          <t>ÖVERKALIX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34801-2022</t>
        </is>
      </c>
      <c r="B277" s="1" t="n">
        <v>44796</v>
      </c>
      <c r="C277" s="1" t="n">
        <v>45847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34802-2022</t>
        </is>
      </c>
      <c r="B278" s="1" t="n">
        <v>44796</v>
      </c>
      <c r="C278" s="1" t="n">
        <v>45847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</v>
      </c>
      <c r="C279" s="1" t="n">
        <v>45847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35170-2022</t>
        </is>
      </c>
      <c r="B280" s="1" t="n">
        <v>44797</v>
      </c>
      <c r="C280" s="1" t="n">
        <v>45847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35167-2022</t>
        </is>
      </c>
      <c r="B281" s="1" t="n">
        <v>44797</v>
      </c>
      <c r="C281" s="1" t="n">
        <v>45847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35414-2022</t>
        </is>
      </c>
      <c r="B282" s="1" t="n">
        <v>44798</v>
      </c>
      <c r="C282" s="1" t="n">
        <v>45847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35420-2022</t>
        </is>
      </c>
      <c r="B283" s="1" t="n">
        <v>44798</v>
      </c>
      <c r="C283" s="1" t="n">
        <v>45847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37236-2022</t>
        </is>
      </c>
      <c r="B284" s="1" t="n">
        <v>44806</v>
      </c>
      <c r="C284" s="1" t="n">
        <v>45847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38667-2022</t>
        </is>
      </c>
      <c r="B285" s="1" t="n">
        <v>44814</v>
      </c>
      <c r="C285" s="1" t="n">
        <v>45847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39405-2022</t>
        </is>
      </c>
      <c r="B286" s="1" t="n">
        <v>44817</v>
      </c>
      <c r="C286" s="1" t="n">
        <v>45847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39403-2022</t>
        </is>
      </c>
      <c r="B287" s="1" t="n">
        <v>44817</v>
      </c>
      <c r="C287" s="1" t="n">
        <v>45847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39938-2022</t>
        </is>
      </c>
      <c r="B288" s="1" t="n">
        <v>44820</v>
      </c>
      <c r="C288" s="1" t="n">
        <v>45847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39927-2022</t>
        </is>
      </c>
      <c r="B289" s="1" t="n">
        <v>44820</v>
      </c>
      <c r="C289" s="1" t="n">
        <v>45847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40260-2022</t>
        </is>
      </c>
      <c r="B290" s="1" t="n">
        <v>44820</v>
      </c>
      <c r="C290" s="1" t="n">
        <v>45847</v>
      </c>
      <c r="D290" t="inlineStr">
        <is>
          <t>NORRBOTTENS LÄN</t>
        </is>
      </c>
      <c r="E290" t="inlineStr">
        <is>
          <t>ÖVERKALIX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40281-2022</t>
        </is>
      </c>
      <c r="B291" s="1" t="n">
        <v>44821</v>
      </c>
      <c r="C291" s="1" t="n">
        <v>45847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40619-2022</t>
        </is>
      </c>
      <c r="B292" s="1" t="n">
        <v>44824</v>
      </c>
      <c r="C292" s="1" t="n">
        <v>45847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42407-2022</t>
        </is>
      </c>
      <c r="B293" s="1" t="n">
        <v>44830</v>
      </c>
      <c r="C293" s="1" t="n">
        <v>45847</v>
      </c>
      <c r="D293" t="inlineStr">
        <is>
          <t>NORRBOTTENS LÄN</t>
        </is>
      </c>
      <c r="E293" t="inlineStr">
        <is>
          <t>ÖVERKALIX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43042-2022</t>
        </is>
      </c>
      <c r="B294" s="1" t="n">
        <v>44833</v>
      </c>
      <c r="C294" s="1" t="n">
        <v>45847</v>
      </c>
      <c r="D294" t="inlineStr">
        <is>
          <t>NORRBOTTENS LÄN</t>
        </is>
      </c>
      <c r="E294" t="inlineStr">
        <is>
          <t>ÖVERKALIX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43314-2022</t>
        </is>
      </c>
      <c r="B295" s="1" t="n">
        <v>44834</v>
      </c>
      <c r="C295" s="1" t="n">
        <v>45847</v>
      </c>
      <c r="D295" t="inlineStr">
        <is>
          <t>NORRBOTTENS LÄN</t>
        </is>
      </c>
      <c r="E295" t="inlineStr">
        <is>
          <t>ÖVERKALIX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43327-2022</t>
        </is>
      </c>
      <c r="B296" s="1" t="n">
        <v>44834</v>
      </c>
      <c r="C296" s="1" t="n">
        <v>45847</v>
      </c>
      <c r="D296" t="inlineStr">
        <is>
          <t>NORRBOTTENS LÄN</t>
        </is>
      </c>
      <c r="E296" t="inlineStr">
        <is>
          <t>ÖVERKALIX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45281-2022</t>
        </is>
      </c>
      <c r="B297" s="1" t="n">
        <v>44844</v>
      </c>
      <c r="C297" s="1" t="n">
        <v>45847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46347-2022</t>
        </is>
      </c>
      <c r="B298" s="1" t="n">
        <v>44847</v>
      </c>
      <c r="C298" s="1" t="n">
        <v>45847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46622-2022</t>
        </is>
      </c>
      <c r="B299" s="1" t="n">
        <v>44849</v>
      </c>
      <c r="C299" s="1" t="n">
        <v>45847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48501-2022</t>
        </is>
      </c>
      <c r="B300" s="1" t="n">
        <v>44859</v>
      </c>
      <c r="C300" s="1" t="n">
        <v>45847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49843-2022</t>
        </is>
      </c>
      <c r="B301" s="1" t="n">
        <v>44862</v>
      </c>
      <c r="C301" s="1" t="n">
        <v>45847</v>
      </c>
      <c r="D301" t="inlineStr">
        <is>
          <t>NORRBOTTENS LÄN</t>
        </is>
      </c>
      <c r="E301" t="inlineStr">
        <is>
          <t>ÖVERKALIX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50238-2022</t>
        </is>
      </c>
      <c r="B302" s="1" t="n">
        <v>44865</v>
      </c>
      <c r="C302" s="1" t="n">
        <v>45847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52026-2022</t>
        </is>
      </c>
      <c r="B303" s="1" t="n">
        <v>44872</v>
      </c>
      <c r="C303" s="1" t="n">
        <v>45847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52027-2022</t>
        </is>
      </c>
      <c r="B304" s="1" t="n">
        <v>44872</v>
      </c>
      <c r="C304" s="1" t="n">
        <v>45847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52993-2022</t>
        </is>
      </c>
      <c r="B305" s="1" t="n">
        <v>44875</v>
      </c>
      <c r="C305" s="1" t="n">
        <v>45847</v>
      </c>
      <c r="D305" t="inlineStr">
        <is>
          <t>NORRBOTTENS LÄN</t>
        </is>
      </c>
      <c r="E305" t="inlineStr">
        <is>
          <t>ÖVERKALIX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54414-2022</t>
        </is>
      </c>
      <c r="B306" s="1" t="n">
        <v>44879</v>
      </c>
      <c r="C306" s="1" t="n">
        <v>45847</v>
      </c>
      <c r="D306" t="inlineStr">
        <is>
          <t>NORRBOTTENS LÄN</t>
        </is>
      </c>
      <c r="E306" t="inlineStr">
        <is>
          <t>ÖVERKALIX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54380-2022</t>
        </is>
      </c>
      <c r="B307" s="1" t="n">
        <v>44879</v>
      </c>
      <c r="C307" s="1" t="n">
        <v>45847</v>
      </c>
      <c r="D307" t="inlineStr">
        <is>
          <t>NORRBOTTENS LÄN</t>
        </is>
      </c>
      <c r="E307" t="inlineStr">
        <is>
          <t>ÖVERKALIX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53732-2022</t>
        </is>
      </c>
      <c r="B308" s="1" t="n">
        <v>44880</v>
      </c>
      <c r="C308" s="1" t="n">
        <v>45847</v>
      </c>
      <c r="D308" t="inlineStr">
        <is>
          <t>NORRBOTTENS LÄN</t>
        </is>
      </c>
      <c r="E308" t="inlineStr">
        <is>
          <t>ÖVERKALIX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55687-2022</t>
        </is>
      </c>
      <c r="B309" s="1" t="n">
        <v>44883</v>
      </c>
      <c r="C309" s="1" t="n">
        <v>45847</v>
      </c>
      <c r="D309" t="inlineStr">
        <is>
          <t>NORRBOTTENS LÄN</t>
        </is>
      </c>
      <c r="E309" t="inlineStr">
        <is>
          <t>ÖVERKALIX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55684-2022</t>
        </is>
      </c>
      <c r="B310" s="1" t="n">
        <v>44883</v>
      </c>
      <c r="C310" s="1" t="n">
        <v>45847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55203-2022</t>
        </is>
      </c>
      <c r="B311" s="1" t="n">
        <v>44886</v>
      </c>
      <c r="C311" s="1" t="n">
        <v>45847</v>
      </c>
      <c r="D311" t="inlineStr">
        <is>
          <t>NORRBOTTENS LÄN</t>
        </is>
      </c>
      <c r="E311" t="inlineStr">
        <is>
          <t>ÖVERKALIX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55772-2022</t>
        </is>
      </c>
      <c r="B312" s="1" t="n">
        <v>44886</v>
      </c>
      <c r="C312" s="1" t="n">
        <v>45847</v>
      </c>
      <c r="D312" t="inlineStr">
        <is>
          <t>NORRBOTTENS LÄN</t>
        </is>
      </c>
      <c r="E312" t="inlineStr">
        <is>
          <t>ÖVERKALIX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55761-2022</t>
        </is>
      </c>
      <c r="B313" s="1" t="n">
        <v>44886</v>
      </c>
      <c r="C313" s="1" t="n">
        <v>45847</v>
      </c>
      <c r="D313" t="inlineStr">
        <is>
          <t>NORRBOTTENS LÄN</t>
        </is>
      </c>
      <c r="E313" t="inlineStr">
        <is>
          <t>ÖVERKALIX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57688-2022</t>
        </is>
      </c>
      <c r="B314" s="1" t="n">
        <v>44886</v>
      </c>
      <c r="C314" s="1" t="n">
        <v>45847</v>
      </c>
      <c r="D314" t="inlineStr">
        <is>
          <t>NORRBOTTENS LÄN</t>
        </is>
      </c>
      <c r="E314" t="inlineStr">
        <is>
          <t>ÖVERKALIX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56402-2022</t>
        </is>
      </c>
      <c r="B315" s="1" t="n">
        <v>44890</v>
      </c>
      <c r="C315" s="1" t="n">
        <v>45847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56416-2022</t>
        </is>
      </c>
      <c r="B316" s="1" t="n">
        <v>44890</v>
      </c>
      <c r="C316" s="1" t="n">
        <v>45847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56985-2022</t>
        </is>
      </c>
      <c r="B317" s="1" t="n">
        <v>44894</v>
      </c>
      <c r="C317" s="1" t="n">
        <v>45847</v>
      </c>
      <c r="D317" t="inlineStr">
        <is>
          <t>NORRBOTTENS LÄN</t>
        </is>
      </c>
      <c r="E317" t="inlineStr">
        <is>
          <t>ÖVERKALIX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56983-2022</t>
        </is>
      </c>
      <c r="B318" s="1" t="n">
        <v>44894</v>
      </c>
      <c r="C318" s="1" t="n">
        <v>45847</v>
      </c>
      <c r="D318" t="inlineStr">
        <is>
          <t>NORRBOTTENS LÄN</t>
        </is>
      </c>
      <c r="E318" t="inlineStr">
        <is>
          <t>ÖVERKALIX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45847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59310-2022</t>
        </is>
      </c>
      <c r="B320" s="1" t="n">
        <v>44897</v>
      </c>
      <c r="C320" s="1" t="n">
        <v>45847</v>
      </c>
      <c r="D320" t="inlineStr">
        <is>
          <t>NORRBOTTENS LÄN</t>
        </is>
      </c>
      <c r="E320" t="inlineStr">
        <is>
          <t>ÖVERKALIX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45847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57884-2022</t>
        </is>
      </c>
      <c r="B322" s="1" t="n">
        <v>44899</v>
      </c>
      <c r="C322" s="1" t="n">
        <v>45847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58319-2022</t>
        </is>
      </c>
      <c r="B323" s="1" t="n">
        <v>44901</v>
      </c>
      <c r="C323" s="1" t="n">
        <v>45847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59907-2022</t>
        </is>
      </c>
      <c r="B324" s="1" t="n">
        <v>44908</v>
      </c>
      <c r="C324" s="1" t="n">
        <v>45847</v>
      </c>
      <c r="D324" t="inlineStr">
        <is>
          <t>NORRBOTTENS LÄN</t>
        </is>
      </c>
      <c r="E324" t="inlineStr">
        <is>
          <t>ÖVERKALIX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60400-2022</t>
        </is>
      </c>
      <c r="B325" s="1" t="n">
        <v>44910</v>
      </c>
      <c r="C325" s="1" t="n">
        <v>45847</v>
      </c>
      <c r="D325" t="inlineStr">
        <is>
          <t>NORRBOTTENS LÄN</t>
        </is>
      </c>
      <c r="E325" t="inlineStr">
        <is>
          <t>ÖVERKALIX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60725-2022</t>
        </is>
      </c>
      <c r="B326" s="1" t="n">
        <v>44913</v>
      </c>
      <c r="C326" s="1" t="n">
        <v>45847</v>
      </c>
      <c r="D326" t="inlineStr">
        <is>
          <t>NORRBOTTENS LÄN</t>
        </is>
      </c>
      <c r="E326" t="inlineStr">
        <is>
          <t>ÖVERKALIX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62646-2022</t>
        </is>
      </c>
      <c r="B327" s="1" t="n">
        <v>44925</v>
      </c>
      <c r="C327" s="1" t="n">
        <v>45847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62626-2022</t>
        </is>
      </c>
      <c r="B328" s="1" t="n">
        <v>44925</v>
      </c>
      <c r="C328" s="1" t="n">
        <v>45847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550-2023</t>
        </is>
      </c>
      <c r="B329" s="1" t="n">
        <v>44930</v>
      </c>
      <c r="C329" s="1" t="n">
        <v>45847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1867-2023</t>
        </is>
      </c>
      <c r="B330" s="1" t="n">
        <v>44938</v>
      </c>
      <c r="C330" s="1" t="n">
        <v>45847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3695-2023</t>
        </is>
      </c>
      <c r="B331" s="1" t="n">
        <v>44950</v>
      </c>
      <c r="C331" s="1" t="n">
        <v>45847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3694-2023</t>
        </is>
      </c>
      <c r="B332" s="1" t="n">
        <v>44950</v>
      </c>
      <c r="C332" s="1" t="n">
        <v>45847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5157-2023</t>
        </is>
      </c>
      <c r="B333" s="1" t="n">
        <v>44958</v>
      </c>
      <c r="C333" s="1" t="n">
        <v>45847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5453-2023</t>
        </is>
      </c>
      <c r="B334" s="1" t="n">
        <v>44959</v>
      </c>
      <c r="C334" s="1" t="n">
        <v>45847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5705-2023</t>
        </is>
      </c>
      <c r="B335" s="1" t="n">
        <v>44960</v>
      </c>
      <c r="C335" s="1" t="n">
        <v>45847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5703-2023</t>
        </is>
      </c>
      <c r="B336" s="1" t="n">
        <v>44960</v>
      </c>
      <c r="C336" s="1" t="n">
        <v>45847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6122-2023</t>
        </is>
      </c>
      <c r="B337" s="1" t="n">
        <v>44964</v>
      </c>
      <c r="C337" s="1" t="n">
        <v>45847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6939-2023</t>
        </is>
      </c>
      <c r="B338" s="1" t="n">
        <v>44964</v>
      </c>
      <c r="C338" s="1" t="n">
        <v>45847</v>
      </c>
      <c r="D338" t="inlineStr">
        <is>
          <t>NORRBOTTENS LÄN</t>
        </is>
      </c>
      <c r="E338" t="inlineStr">
        <is>
          <t>ÖVERKALIX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6917-2023</t>
        </is>
      </c>
      <c r="B339" s="1" t="n">
        <v>44964</v>
      </c>
      <c r="C339" s="1" t="n">
        <v>45847</v>
      </c>
      <c r="D339" t="inlineStr">
        <is>
          <t>NORRBOTTENS LÄN</t>
        </is>
      </c>
      <c r="E339" t="inlineStr">
        <is>
          <t>ÖVERKALIX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6469-2023</t>
        </is>
      </c>
      <c r="B340" s="1" t="n">
        <v>44965</v>
      </c>
      <c r="C340" s="1" t="n">
        <v>45847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6591-2023</t>
        </is>
      </c>
      <c r="B341" s="1" t="n">
        <v>44966</v>
      </c>
      <c r="C341" s="1" t="n">
        <v>45847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7448-2023</t>
        </is>
      </c>
      <c r="B342" s="1" t="n">
        <v>44966</v>
      </c>
      <c r="C342" s="1" t="n">
        <v>45847</v>
      </c>
      <c r="D342" t="inlineStr">
        <is>
          <t>NORRBOTTENS LÄN</t>
        </is>
      </c>
      <c r="E342" t="inlineStr">
        <is>
          <t>ÖVERKALIX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7234-2023</t>
        </is>
      </c>
      <c r="B343" s="1" t="n">
        <v>44970</v>
      </c>
      <c r="C343" s="1" t="n">
        <v>45847</v>
      </c>
      <c r="D343" t="inlineStr">
        <is>
          <t>NORRBOTTENS LÄN</t>
        </is>
      </c>
      <c r="E343" t="inlineStr">
        <is>
          <t>ÖVERKALIX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8026-2023</t>
        </is>
      </c>
      <c r="B344" s="1" t="n">
        <v>44973</v>
      </c>
      <c r="C344" s="1" t="n">
        <v>45847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10707-2023</t>
        </is>
      </c>
      <c r="B345" s="1" t="n">
        <v>44984</v>
      </c>
      <c r="C345" s="1" t="n">
        <v>45847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10711-2023</t>
        </is>
      </c>
      <c r="B346" s="1" t="n">
        <v>44984</v>
      </c>
      <c r="C346" s="1" t="n">
        <v>45847</v>
      </c>
      <c r="D346" t="inlineStr">
        <is>
          <t>NORRBOTTENS LÄN</t>
        </is>
      </c>
      <c r="E346" t="inlineStr">
        <is>
          <t>ÖVERKALIX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10720-2023</t>
        </is>
      </c>
      <c r="B347" s="1" t="n">
        <v>44984</v>
      </c>
      <c r="C347" s="1" t="n">
        <v>45847</v>
      </c>
      <c r="D347" t="inlineStr">
        <is>
          <t>NORRBOTTENS LÄN</t>
        </is>
      </c>
      <c r="E347" t="inlineStr">
        <is>
          <t>ÖVERKALIX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11919-2023</t>
        </is>
      </c>
      <c r="B348" s="1" t="n">
        <v>44993</v>
      </c>
      <c r="C348" s="1" t="n">
        <v>45847</v>
      </c>
      <c r="D348" t="inlineStr">
        <is>
          <t>NORRBOTTENS LÄN</t>
        </is>
      </c>
      <c r="E348" t="inlineStr">
        <is>
          <t>ÖVERKALIX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11915-2023</t>
        </is>
      </c>
      <c r="B349" s="1" t="n">
        <v>44993</v>
      </c>
      <c r="C349" s="1" t="n">
        <v>45847</v>
      </c>
      <c r="D349" t="inlineStr">
        <is>
          <t>NORRBOTTENS LÄN</t>
        </is>
      </c>
      <c r="E349" t="inlineStr">
        <is>
          <t>ÖVERKALIX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12035-2023</t>
        </is>
      </c>
      <c r="B350" s="1" t="n">
        <v>44995</v>
      </c>
      <c r="C350" s="1" t="n">
        <v>45847</v>
      </c>
      <c r="D350" t="inlineStr">
        <is>
          <t>NORRBOTTENS LÄN</t>
        </is>
      </c>
      <c r="E350" t="inlineStr">
        <is>
          <t>ÖVERKALIX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13372-2023</t>
        </is>
      </c>
      <c r="B351" s="1" t="n">
        <v>45005</v>
      </c>
      <c r="C351" s="1" t="n">
        <v>45847</v>
      </c>
      <c r="D351" t="inlineStr">
        <is>
          <t>NORRBOTTENS LÄN</t>
        </is>
      </c>
      <c r="E351" t="inlineStr">
        <is>
          <t>ÖVERKALIX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14255-2023</t>
        </is>
      </c>
      <c r="B352" s="1" t="n">
        <v>45009</v>
      </c>
      <c r="C352" s="1" t="n">
        <v>45847</v>
      </c>
      <c r="D352" t="inlineStr">
        <is>
          <t>NORRBOTTENS LÄN</t>
        </is>
      </c>
      <c r="E352" t="inlineStr">
        <is>
          <t>ÖVERKALIX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21562-2023</t>
        </is>
      </c>
      <c r="B353" s="1" t="n">
        <v>45061</v>
      </c>
      <c r="C353" s="1" t="n">
        <v>45847</v>
      </c>
      <c r="D353" t="inlineStr">
        <is>
          <t>NORRBOTTENS LÄN</t>
        </is>
      </c>
      <c r="E353" t="inlineStr">
        <is>
          <t>ÖVERKALIX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21515-2023</t>
        </is>
      </c>
      <c r="B354" s="1" t="n">
        <v>45063</v>
      </c>
      <c r="C354" s="1" t="n">
        <v>45847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21514-2023</t>
        </is>
      </c>
      <c r="B355" s="1" t="n">
        <v>45063</v>
      </c>
      <c r="C355" s="1" t="n">
        <v>45847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21559-2023</t>
        </is>
      </c>
      <c r="B356" s="1" t="n">
        <v>45063</v>
      </c>
      <c r="C356" s="1" t="n">
        <v>45847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22470-2023</t>
        </is>
      </c>
      <c r="B357" s="1" t="n">
        <v>45070</v>
      </c>
      <c r="C357" s="1" t="n">
        <v>45847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22768-2023</t>
        </is>
      </c>
      <c r="B358" s="1" t="n">
        <v>45072</v>
      </c>
      <c r="C358" s="1" t="n">
        <v>45847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23292-2023</t>
        </is>
      </c>
      <c r="B359" s="1" t="n">
        <v>45075</v>
      </c>
      <c r="C359" s="1" t="n">
        <v>45847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23293-2023</t>
        </is>
      </c>
      <c r="B360" s="1" t="n">
        <v>45076</v>
      </c>
      <c r="C360" s="1" t="n">
        <v>45847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23302-2023</t>
        </is>
      </c>
      <c r="B361" s="1" t="n">
        <v>45075</v>
      </c>
      <c r="C361" s="1" t="n">
        <v>45847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23324-2023</t>
        </is>
      </c>
      <c r="B362" s="1" t="n">
        <v>45076</v>
      </c>
      <c r="C362" s="1" t="n">
        <v>45847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38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23964-2023</t>
        </is>
      </c>
      <c r="B363" s="1" t="n">
        <v>45078</v>
      </c>
      <c r="C363" s="1" t="n">
        <v>45847</v>
      </c>
      <c r="D363" t="inlineStr">
        <is>
          <t>NORRBOTTENS LÄN</t>
        </is>
      </c>
      <c r="E363" t="inlineStr">
        <is>
          <t>ÖVERKALIX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24050-2023</t>
        </is>
      </c>
      <c r="B364" s="1" t="n">
        <v>45079</v>
      </c>
      <c r="C364" s="1" t="n">
        <v>45847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24892-2023</t>
        </is>
      </c>
      <c r="B365" s="1" t="n">
        <v>45078</v>
      </c>
      <c r="C365" s="1" t="n">
        <v>45847</v>
      </c>
      <c r="D365" t="inlineStr">
        <is>
          <t>NORRBOTTENS LÄN</t>
        </is>
      </c>
      <c r="E365" t="inlineStr">
        <is>
          <t>ÖVERKALIX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24760-2023</t>
        </is>
      </c>
      <c r="B366" s="1" t="n">
        <v>45084</v>
      </c>
      <c r="C366" s="1" t="n">
        <v>45847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24865-2023</t>
        </is>
      </c>
      <c r="B367" s="1" t="n">
        <v>45085</v>
      </c>
      <c r="C367" s="1" t="n">
        <v>45847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26140-2023</t>
        </is>
      </c>
      <c r="B368" s="1" t="n">
        <v>45086</v>
      </c>
      <c r="C368" s="1" t="n">
        <v>45847</v>
      </c>
      <c r="D368" t="inlineStr">
        <is>
          <t>NORRBOTTENS LÄN</t>
        </is>
      </c>
      <c r="E368" t="inlineStr">
        <is>
          <t>ÖVERKALIX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26552-2023</t>
        </is>
      </c>
      <c r="B369" s="1" t="n">
        <v>45092</v>
      </c>
      <c r="C369" s="1" t="n">
        <v>45847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26554-2023</t>
        </is>
      </c>
      <c r="B370" s="1" t="n">
        <v>45092</v>
      </c>
      <c r="C370" s="1" t="n">
        <v>45847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27062-2023</t>
        </is>
      </c>
      <c r="B371" s="1" t="n">
        <v>45096</v>
      </c>
      <c r="C371" s="1" t="n">
        <v>45847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27066-2023</t>
        </is>
      </c>
      <c r="B372" s="1" t="n">
        <v>45096</v>
      </c>
      <c r="C372" s="1" t="n">
        <v>45847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27680-2023</t>
        </is>
      </c>
      <c r="B373" s="1" t="n">
        <v>45097</v>
      </c>
      <c r="C373" s="1" t="n">
        <v>45847</v>
      </c>
      <c r="D373" t="inlineStr">
        <is>
          <t>NORRBOTTENS LÄN</t>
        </is>
      </c>
      <c r="E373" t="inlineStr">
        <is>
          <t>ÖVERKALIX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27681-2023</t>
        </is>
      </c>
      <c r="B374" s="1" t="n">
        <v>45097</v>
      </c>
      <c r="C374" s="1" t="n">
        <v>45847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31655-2023</t>
        </is>
      </c>
      <c r="B375" s="1" t="n">
        <v>45105</v>
      </c>
      <c r="C375" s="1" t="n">
        <v>45847</v>
      </c>
      <c r="D375" t="inlineStr">
        <is>
          <t>NORRBOTTENS LÄN</t>
        </is>
      </c>
      <c r="E375" t="inlineStr">
        <is>
          <t>ÖVERKALIX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29960-2023</t>
        </is>
      </c>
      <c r="B376" s="1" t="n">
        <v>45108</v>
      </c>
      <c r="C376" s="1" t="n">
        <v>45847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29961-2023</t>
        </is>
      </c>
      <c r="B377" s="1" t="n">
        <v>45108</v>
      </c>
      <c r="C377" s="1" t="n">
        <v>45847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30600-2023</t>
        </is>
      </c>
      <c r="B378" s="1" t="n">
        <v>45112</v>
      </c>
      <c r="C378" s="1" t="n">
        <v>45847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32480-2023</t>
        </is>
      </c>
      <c r="B379" s="1" t="n">
        <v>45121</v>
      </c>
      <c r="C379" s="1" t="n">
        <v>45847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45134</v>
      </c>
      <c r="C380" s="1" t="n">
        <v>45847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34093-2023</t>
        </is>
      </c>
      <c r="B381" s="1" t="n">
        <v>45135</v>
      </c>
      <c r="C381" s="1" t="n">
        <v>45847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34911-2023</t>
        </is>
      </c>
      <c r="B382" s="1" t="n">
        <v>45141</v>
      </c>
      <c r="C382" s="1" t="n">
        <v>45847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34938-2023</t>
        </is>
      </c>
      <c r="B383" s="1" t="n">
        <v>45142</v>
      </c>
      <c r="C383" s="1" t="n">
        <v>45847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36839-2023</t>
        </is>
      </c>
      <c r="B384" s="1" t="n">
        <v>45153</v>
      </c>
      <c r="C384" s="1" t="n">
        <v>45847</v>
      </c>
      <c r="D384" t="inlineStr">
        <is>
          <t>NORRBOTTENS LÄN</t>
        </is>
      </c>
      <c r="E384" t="inlineStr">
        <is>
          <t>ÖVERKALIX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36800-2023</t>
        </is>
      </c>
      <c r="B385" s="1" t="n">
        <v>45154</v>
      </c>
      <c r="C385" s="1" t="n">
        <v>45847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</v>
      </c>
      <c r="C386" s="1" t="n">
        <v>45847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36803-2023</t>
        </is>
      </c>
      <c r="B387" s="1" t="n">
        <v>45154</v>
      </c>
      <c r="C387" s="1" t="n">
        <v>45847</v>
      </c>
      <c r="D387" t="inlineStr">
        <is>
          <t>NORRBOTTENS LÄN</t>
        </is>
      </c>
      <c r="E387" t="inlineStr">
        <is>
          <t>ÖVERKALIX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38088-2023</t>
        </is>
      </c>
      <c r="B388" s="1" t="n">
        <v>45161</v>
      </c>
      <c r="C388" s="1" t="n">
        <v>45847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40329-2023</t>
        </is>
      </c>
      <c r="B389" s="1" t="n">
        <v>45169</v>
      </c>
      <c r="C389" s="1" t="n">
        <v>45847</v>
      </c>
      <c r="D389" t="inlineStr">
        <is>
          <t>NORRBOTTENS LÄN</t>
        </is>
      </c>
      <c r="E389" t="inlineStr">
        <is>
          <t>ÖVERKALIX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43173-2023</t>
        </is>
      </c>
      <c r="B390" s="1" t="n">
        <v>45180</v>
      </c>
      <c r="C390" s="1" t="n">
        <v>45847</v>
      </c>
      <c r="D390" t="inlineStr">
        <is>
          <t>NORRBOTTENS LÄN</t>
        </is>
      </c>
      <c r="E390" t="inlineStr">
        <is>
          <t>ÖVERKALIX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42721-2023</t>
        </is>
      </c>
      <c r="B391" s="1" t="n">
        <v>45181</v>
      </c>
      <c r="C391" s="1" t="n">
        <v>45847</v>
      </c>
      <c r="D391" t="inlineStr">
        <is>
          <t>NORRBOTTENS LÄN</t>
        </is>
      </c>
      <c r="E391" t="inlineStr">
        <is>
          <t>ÖVERKALIX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43099-2023</t>
        </is>
      </c>
      <c r="B392" s="1" t="n">
        <v>45182</v>
      </c>
      <c r="C392" s="1" t="n">
        <v>45847</v>
      </c>
      <c r="D392" t="inlineStr">
        <is>
          <t>NORRBOTTENS LÄN</t>
        </is>
      </c>
      <c r="E392" t="inlineStr">
        <is>
          <t>ÖVERKALIX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43110-2023</t>
        </is>
      </c>
      <c r="B393" s="1" t="n">
        <v>45183</v>
      </c>
      <c r="C393" s="1" t="n">
        <v>45847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43111-2023</t>
        </is>
      </c>
      <c r="B394" s="1" t="n">
        <v>45183</v>
      </c>
      <c r="C394" s="1" t="n">
        <v>45847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43899-2023</t>
        </is>
      </c>
      <c r="B395" s="1" t="n">
        <v>45187</v>
      </c>
      <c r="C395" s="1" t="n">
        <v>45847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44265-2023</t>
        </is>
      </c>
      <c r="B396" s="1" t="n">
        <v>45188</v>
      </c>
      <c r="C396" s="1" t="n">
        <v>45847</v>
      </c>
      <c r="D396" t="inlineStr">
        <is>
          <t>NORRBOTTENS LÄN</t>
        </is>
      </c>
      <c r="E396" t="inlineStr">
        <is>
          <t>ÖVERKALIX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44273-2023</t>
        </is>
      </c>
      <c r="B397" s="1" t="n">
        <v>45188</v>
      </c>
      <c r="C397" s="1" t="n">
        <v>45847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</v>
      </c>
      <c r="C398" s="1" t="n">
        <v>45847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45767-2023</t>
        </is>
      </c>
      <c r="B399" s="1" t="n">
        <v>45189</v>
      </c>
      <c r="C399" s="1" t="n">
        <v>45847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45748-2023</t>
        </is>
      </c>
      <c r="B400" s="1" t="n">
        <v>45189</v>
      </c>
      <c r="C400" s="1" t="n">
        <v>45847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45845-2023</t>
        </is>
      </c>
      <c r="B401" s="1" t="n">
        <v>45195</v>
      </c>
      <c r="C401" s="1" t="n">
        <v>45847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45934-2023</t>
        </is>
      </c>
      <c r="B402" s="1" t="n">
        <v>45196</v>
      </c>
      <c r="C402" s="1" t="n">
        <v>45847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45935-2023</t>
        </is>
      </c>
      <c r="B403" s="1" t="n">
        <v>45196</v>
      </c>
      <c r="C403" s="1" t="n">
        <v>45847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47485-2023</t>
        </is>
      </c>
      <c r="B404" s="1" t="n">
        <v>45203</v>
      </c>
      <c r="C404" s="1" t="n">
        <v>45847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47700-2023</t>
        </is>
      </c>
      <c r="B405" s="1" t="n">
        <v>45203</v>
      </c>
      <c r="C405" s="1" t="n">
        <v>45847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47706-2023</t>
        </is>
      </c>
      <c r="B406" s="1" t="n">
        <v>45203</v>
      </c>
      <c r="C406" s="1" t="n">
        <v>45847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47791-2023</t>
        </is>
      </c>
      <c r="B407" s="1" t="n">
        <v>45204</v>
      </c>
      <c r="C407" s="1" t="n">
        <v>45847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47790-2023</t>
        </is>
      </c>
      <c r="B408" s="1" t="n">
        <v>45204</v>
      </c>
      <c r="C408" s="1" t="n">
        <v>45847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45847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49425-2023</t>
        </is>
      </c>
      <c r="B410" s="1" t="n">
        <v>45205</v>
      </c>
      <c r="C410" s="1" t="n">
        <v>45847</v>
      </c>
      <c r="D410" t="inlineStr">
        <is>
          <t>NORRBOTTENS LÄN</t>
        </is>
      </c>
      <c r="E410" t="inlineStr">
        <is>
          <t>ÖVERKALIX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45847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48576-2023</t>
        </is>
      </c>
      <c r="B412" s="1" t="n">
        <v>45208</v>
      </c>
      <c r="C412" s="1" t="n">
        <v>45847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49865-2023</t>
        </is>
      </c>
      <c r="B413" s="1" t="n">
        <v>45213</v>
      </c>
      <c r="C413" s="1" t="n">
        <v>45847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50862-2023</t>
        </is>
      </c>
      <c r="B414" s="1" t="n">
        <v>45218</v>
      </c>
      <c r="C414" s="1" t="n">
        <v>45847</v>
      </c>
      <c r="D414" t="inlineStr">
        <is>
          <t>NORRBOTTENS LÄN</t>
        </is>
      </c>
      <c r="E414" t="inlineStr">
        <is>
          <t>ÖVERKALIX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51725-2023</t>
        </is>
      </c>
      <c r="B415" s="1" t="n">
        <v>45222</v>
      </c>
      <c r="C415" s="1" t="n">
        <v>45847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51721-2023</t>
        </is>
      </c>
      <c r="B416" s="1" t="n">
        <v>45222</v>
      </c>
      <c r="C416" s="1" t="n">
        <v>45847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52075-2023</t>
        </is>
      </c>
      <c r="B417" s="1" t="n">
        <v>45223</v>
      </c>
      <c r="C417" s="1" t="n">
        <v>45847</v>
      </c>
      <c r="D417" t="inlineStr">
        <is>
          <t>NORRBOTTENS LÄN</t>
        </is>
      </c>
      <c r="E417" t="inlineStr">
        <is>
          <t>ÖVERKALIX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52227-2023</t>
        </is>
      </c>
      <c r="B418" s="1" t="n">
        <v>45224</v>
      </c>
      <c r="C418" s="1" t="n">
        <v>45847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52620-2023</t>
        </is>
      </c>
      <c r="B419" s="1" t="n">
        <v>45225</v>
      </c>
      <c r="C419" s="1" t="n">
        <v>45847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54026-2023</t>
        </is>
      </c>
      <c r="B420" s="1" t="n">
        <v>45231</v>
      </c>
      <c r="C420" s="1" t="n">
        <v>45847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54025-2023</t>
        </is>
      </c>
      <c r="B421" s="1" t="n">
        <v>45231</v>
      </c>
      <c r="C421" s="1" t="n">
        <v>45847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55642-2023</t>
        </is>
      </c>
      <c r="B422" s="1" t="n">
        <v>45238</v>
      </c>
      <c r="C422" s="1" t="n">
        <v>45847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57966-2023</t>
        </is>
      </c>
      <c r="B423" s="1" t="n">
        <v>45244</v>
      </c>
      <c r="C423" s="1" t="n">
        <v>45847</v>
      </c>
      <c r="D423" t="inlineStr">
        <is>
          <t>NORRBOTTENS LÄN</t>
        </is>
      </c>
      <c r="E423" t="inlineStr">
        <is>
          <t>ÖVERKALIX</t>
        </is>
      </c>
      <c r="G423" t="n">
        <v>21.7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58273-2023</t>
        </is>
      </c>
      <c r="B424" s="1" t="n">
        <v>45250</v>
      </c>
      <c r="C424" s="1" t="n">
        <v>45847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58764-2023</t>
        </is>
      </c>
      <c r="B425" s="1" t="n">
        <v>45251</v>
      </c>
      <c r="C425" s="1" t="n">
        <v>45847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58763-2023</t>
        </is>
      </c>
      <c r="B426" s="1" t="n">
        <v>45251</v>
      </c>
      <c r="C426" s="1" t="n">
        <v>45847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60965-2023</t>
        </is>
      </c>
      <c r="B427" s="1" t="n">
        <v>45261</v>
      </c>
      <c r="C427" s="1" t="n">
        <v>45847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61548-2023</t>
        </is>
      </c>
      <c r="B428" s="1" t="n">
        <v>45265</v>
      </c>
      <c r="C428" s="1" t="n">
        <v>45847</v>
      </c>
      <c r="D428" t="inlineStr">
        <is>
          <t>NORRBOTTENS LÄN</t>
        </is>
      </c>
      <c r="E428" t="inlineStr">
        <is>
          <t>ÖVERKALIX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62384-2023</t>
        </is>
      </c>
      <c r="B429" s="1" t="n">
        <v>45266</v>
      </c>
      <c r="C429" s="1" t="n">
        <v>45847</v>
      </c>
      <c r="D429" t="inlineStr">
        <is>
          <t>NORRBOTTENS LÄN</t>
        </is>
      </c>
      <c r="E429" t="inlineStr">
        <is>
          <t>ÖVERKALIX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62548-2023</t>
        </is>
      </c>
      <c r="B430" s="1" t="n">
        <v>45268</v>
      </c>
      <c r="C430" s="1" t="n">
        <v>45847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62556-2023</t>
        </is>
      </c>
      <c r="B431" s="1" t="n">
        <v>45268</v>
      </c>
      <c r="C431" s="1" t="n">
        <v>45847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62549-2023</t>
        </is>
      </c>
      <c r="B432" s="1" t="n">
        <v>45268</v>
      </c>
      <c r="C432" s="1" t="n">
        <v>45847</v>
      </c>
      <c r="D432" t="inlineStr">
        <is>
          <t>NORRBOTTENS LÄN</t>
        </is>
      </c>
      <c r="E432" t="inlineStr">
        <is>
          <t>ÖVERKALIX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62561-2023</t>
        </is>
      </c>
      <c r="B433" s="1" t="n">
        <v>45268</v>
      </c>
      <c r="C433" s="1" t="n">
        <v>45847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63491-2023</t>
        </is>
      </c>
      <c r="B434" s="1" t="n">
        <v>45274</v>
      </c>
      <c r="C434" s="1" t="n">
        <v>45847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64524-2023</t>
        </is>
      </c>
      <c r="B435" s="1" t="n">
        <v>45281</v>
      </c>
      <c r="C435" s="1" t="n">
        <v>45847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64797-2023</t>
        </is>
      </c>
      <c r="B436" s="1" t="n">
        <v>45282</v>
      </c>
      <c r="C436" s="1" t="n">
        <v>45847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49-2024</t>
        </is>
      </c>
      <c r="B437" s="1" t="n">
        <v>45293</v>
      </c>
      <c r="C437" s="1" t="n">
        <v>45847</v>
      </c>
      <c r="D437" t="inlineStr">
        <is>
          <t>NORRBOTTENS LÄN</t>
        </is>
      </c>
      <c r="E437" t="inlineStr">
        <is>
          <t>ÖVERKALIX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1258-2024</t>
        </is>
      </c>
      <c r="B438" s="1" t="n">
        <v>45302</v>
      </c>
      <c r="C438" s="1" t="n">
        <v>45847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2009-2024</t>
        </is>
      </c>
      <c r="B439" s="1" t="n">
        <v>45308</v>
      </c>
      <c r="C439" s="1" t="n">
        <v>45847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2003-2024</t>
        </is>
      </c>
      <c r="B440" s="1" t="n">
        <v>45308</v>
      </c>
      <c r="C440" s="1" t="n">
        <v>45847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2225-2024</t>
        </is>
      </c>
      <c r="B441" s="1" t="n">
        <v>45309</v>
      </c>
      <c r="C441" s="1" t="n">
        <v>45847</v>
      </c>
      <c r="D441" t="inlineStr">
        <is>
          <t>NORRBOTTENS LÄN</t>
        </is>
      </c>
      <c r="E441" t="inlineStr">
        <is>
          <t>ÖVERKALIX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2993-2024</t>
        </is>
      </c>
      <c r="B442" s="1" t="n">
        <v>45315</v>
      </c>
      <c r="C442" s="1" t="n">
        <v>45847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2992-2024</t>
        </is>
      </c>
      <c r="B443" s="1" t="n">
        <v>45315</v>
      </c>
      <c r="C443" s="1" t="n">
        <v>45847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3701-2024</t>
        </is>
      </c>
      <c r="B444" s="1" t="n">
        <v>45321</v>
      </c>
      <c r="C444" s="1" t="n">
        <v>45847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3704-2024</t>
        </is>
      </c>
      <c r="B445" s="1" t="n">
        <v>45321</v>
      </c>
      <c r="C445" s="1" t="n">
        <v>45847</v>
      </c>
      <c r="D445" t="inlineStr">
        <is>
          <t>NORRBOTTENS LÄN</t>
        </is>
      </c>
      <c r="E445" t="inlineStr">
        <is>
          <t>ÖVERKALIX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4111-2024</t>
        </is>
      </c>
      <c r="B446" s="1" t="n">
        <v>45323</v>
      </c>
      <c r="C446" s="1" t="n">
        <v>45847</v>
      </c>
      <c r="D446" t="inlineStr">
        <is>
          <t>NORRBOTTENS LÄN</t>
        </is>
      </c>
      <c r="E446" t="inlineStr">
        <is>
          <t>ÖVERKALIX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4114-2024</t>
        </is>
      </c>
      <c r="B447" s="1" t="n">
        <v>45323</v>
      </c>
      <c r="C447" s="1" t="n">
        <v>45847</v>
      </c>
      <c r="D447" t="inlineStr">
        <is>
          <t>NORRBOTTENS LÄN</t>
        </is>
      </c>
      <c r="E447" t="inlineStr">
        <is>
          <t>ÖVERKALIX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45847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9849-2024</t>
        </is>
      </c>
      <c r="B449" s="1" t="n">
        <v>45363</v>
      </c>
      <c r="C449" s="1" t="n">
        <v>45847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9861-2024</t>
        </is>
      </c>
      <c r="B450" s="1" t="n">
        <v>45363</v>
      </c>
      <c r="C450" s="1" t="n">
        <v>45847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9860-2024</t>
        </is>
      </c>
      <c r="B451" s="1" t="n">
        <v>45363</v>
      </c>
      <c r="C451" s="1" t="n">
        <v>45847</v>
      </c>
      <c r="D451" t="inlineStr">
        <is>
          <t>NORRBOTTENS LÄN</t>
        </is>
      </c>
      <c r="E451" t="inlineStr">
        <is>
          <t>ÖVERKALIX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11329-2024</t>
        </is>
      </c>
      <c r="B452" s="1" t="n">
        <v>45372</v>
      </c>
      <c r="C452" s="1" t="n">
        <v>45847</v>
      </c>
      <c r="D452" t="inlineStr">
        <is>
          <t>NORRBOTTENS LÄN</t>
        </is>
      </c>
      <c r="E452" t="inlineStr">
        <is>
          <t>ÖVERKALIX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11535-2024</t>
        </is>
      </c>
      <c r="B453" s="1" t="n">
        <v>45372</v>
      </c>
      <c r="C453" s="1" t="n">
        <v>45847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12177-2024</t>
        </is>
      </c>
      <c r="B454" s="1" t="n">
        <v>45377</v>
      </c>
      <c r="C454" s="1" t="n">
        <v>45847</v>
      </c>
      <c r="D454" t="inlineStr">
        <is>
          <t>NORRBOTTENS LÄN</t>
        </is>
      </c>
      <c r="E454" t="inlineStr">
        <is>
          <t>ÖVERKALIX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12181-2024</t>
        </is>
      </c>
      <c r="B455" s="1" t="n">
        <v>45377</v>
      </c>
      <c r="C455" s="1" t="n">
        <v>45847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12180-2024</t>
        </is>
      </c>
      <c r="B456" s="1" t="n">
        <v>45377</v>
      </c>
      <c r="C456" s="1" t="n">
        <v>45847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12591-2024</t>
        </is>
      </c>
      <c r="B457" s="1" t="n">
        <v>45379</v>
      </c>
      <c r="C457" s="1" t="n">
        <v>45847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12580-2024</t>
        </is>
      </c>
      <c r="B458" s="1" t="n">
        <v>45379</v>
      </c>
      <c r="C458" s="1" t="n">
        <v>45847</v>
      </c>
      <c r="D458" t="inlineStr">
        <is>
          <t>NORRBOTTENS LÄN</t>
        </is>
      </c>
      <c r="E458" t="inlineStr">
        <is>
          <t>ÖVERKALIX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14974-2024</t>
        </is>
      </c>
      <c r="B459" s="1" t="n">
        <v>45399</v>
      </c>
      <c r="C459" s="1" t="n">
        <v>45847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14973-2024</t>
        </is>
      </c>
      <c r="B460" s="1" t="n">
        <v>45399</v>
      </c>
      <c r="C460" s="1" t="n">
        <v>45847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15302-2024</t>
        </is>
      </c>
      <c r="B461" s="1" t="n">
        <v>45400</v>
      </c>
      <c r="C461" s="1" t="n">
        <v>45847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15546-2024</t>
        </is>
      </c>
      <c r="B462" s="1" t="n">
        <v>45401</v>
      </c>
      <c r="C462" s="1" t="n">
        <v>45847</v>
      </c>
      <c r="D462" t="inlineStr">
        <is>
          <t>NORRBOTTENS LÄN</t>
        </is>
      </c>
      <c r="E462" t="inlineStr">
        <is>
          <t>ÖVERKALIX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15854-2024</t>
        </is>
      </c>
      <c r="B463" s="1" t="n">
        <v>45405</v>
      </c>
      <c r="C463" s="1" t="n">
        <v>45847</v>
      </c>
      <c r="D463" t="inlineStr">
        <is>
          <t>NORRBOTTENS LÄN</t>
        </is>
      </c>
      <c r="E463" t="inlineStr">
        <is>
          <t>ÖVERKALIX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16058-2024</t>
        </is>
      </c>
      <c r="B464" s="1" t="n">
        <v>45406</v>
      </c>
      <c r="C464" s="1" t="n">
        <v>45847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16435-2024</t>
        </is>
      </c>
      <c r="B465" s="1" t="n">
        <v>45407</v>
      </c>
      <c r="C465" s="1" t="n">
        <v>45847</v>
      </c>
      <c r="D465" t="inlineStr">
        <is>
          <t>NORRBOTTENS LÄN</t>
        </is>
      </c>
      <c r="E465" t="inlineStr">
        <is>
          <t>ÖVERKALIX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17514-2024</t>
        </is>
      </c>
      <c r="B466" s="1" t="n">
        <v>45415</v>
      </c>
      <c r="C466" s="1" t="n">
        <v>45847</v>
      </c>
      <c r="D466" t="inlineStr">
        <is>
          <t>NORRBOTTENS LÄN</t>
        </is>
      </c>
      <c r="E466" t="inlineStr">
        <is>
          <t>ÖVERKALIX</t>
        </is>
      </c>
      <c r="G466" t="n">
        <v>25.8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18976-2024</t>
        </is>
      </c>
      <c r="B467" s="1" t="n">
        <v>45427</v>
      </c>
      <c r="C467" s="1" t="n">
        <v>45847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19269-2024</t>
        </is>
      </c>
      <c r="B468" s="1" t="n">
        <v>45428</v>
      </c>
      <c r="C468" s="1" t="n">
        <v>45847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19259-2024</t>
        </is>
      </c>
      <c r="B469" s="1" t="n">
        <v>45428</v>
      </c>
      <c r="C469" s="1" t="n">
        <v>45847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19529-2024</t>
        </is>
      </c>
      <c r="B470" s="1" t="n">
        <v>45429</v>
      </c>
      <c r="C470" s="1" t="n">
        <v>45847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19537-2024</t>
        </is>
      </c>
      <c r="B471" s="1" t="n">
        <v>45429</v>
      </c>
      <c r="C471" s="1" t="n">
        <v>45847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19541-2024</t>
        </is>
      </c>
      <c r="B472" s="1" t="n">
        <v>45429</v>
      </c>
      <c r="C472" s="1" t="n">
        <v>45847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19531-2024</t>
        </is>
      </c>
      <c r="B473" s="1" t="n">
        <v>45429</v>
      </c>
      <c r="C473" s="1" t="n">
        <v>45847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20291-2024</t>
        </is>
      </c>
      <c r="B474" s="1" t="n">
        <v>45435</v>
      </c>
      <c r="C474" s="1" t="n">
        <v>45847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20648-2024</t>
        </is>
      </c>
      <c r="B475" s="1" t="n">
        <v>45436</v>
      </c>
      <c r="C475" s="1" t="n">
        <v>45847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20580-2024</t>
        </is>
      </c>
      <c r="B476" s="1" t="n">
        <v>45436</v>
      </c>
      <c r="C476" s="1" t="n">
        <v>45847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20998-2024</t>
        </is>
      </c>
      <c r="B477" s="1" t="n">
        <v>45439</v>
      </c>
      <c r="C477" s="1" t="n">
        <v>45847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20996-2024</t>
        </is>
      </c>
      <c r="B478" s="1" t="n">
        <v>45439</v>
      </c>
      <c r="C478" s="1" t="n">
        <v>45847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21299-2024</t>
        </is>
      </c>
      <c r="B479" s="1" t="n">
        <v>45440</v>
      </c>
      <c r="C479" s="1" t="n">
        <v>45847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21302-2024</t>
        </is>
      </c>
      <c r="B480" s="1" t="n">
        <v>45440</v>
      </c>
      <c r="C480" s="1" t="n">
        <v>45847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21405-2024</t>
        </is>
      </c>
      <c r="B481" s="1" t="n">
        <v>45441</v>
      </c>
      <c r="C481" s="1" t="n">
        <v>45847</v>
      </c>
      <c r="D481" t="inlineStr">
        <is>
          <t>NORRBOTTENS LÄN</t>
        </is>
      </c>
      <c r="E481" t="inlineStr">
        <is>
          <t>ÖVERKALIX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21777-2024</t>
        </is>
      </c>
      <c r="B482" s="1" t="n">
        <v>45442</v>
      </c>
      <c r="C482" s="1" t="n">
        <v>45847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22071-2024</t>
        </is>
      </c>
      <c r="B483" s="1" t="n">
        <v>45443</v>
      </c>
      <c r="C483" s="1" t="n">
        <v>45847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22852-2024</t>
        </is>
      </c>
      <c r="B484" s="1" t="n">
        <v>45448</v>
      </c>
      <c r="C484" s="1" t="n">
        <v>45847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22779-2024</t>
        </is>
      </c>
      <c r="B485" s="1" t="n">
        <v>45448</v>
      </c>
      <c r="C485" s="1" t="n">
        <v>45847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22854-2024</t>
        </is>
      </c>
      <c r="B486" s="1" t="n">
        <v>45448</v>
      </c>
      <c r="C486" s="1" t="n">
        <v>45847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23249-2024</t>
        </is>
      </c>
      <c r="B487" s="1" t="n">
        <v>45453</v>
      </c>
      <c r="C487" s="1" t="n">
        <v>45847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23525-2024</t>
        </is>
      </c>
      <c r="B488" s="1" t="n">
        <v>45454</v>
      </c>
      <c r="C488" s="1" t="n">
        <v>45847</v>
      </c>
      <c r="D488" t="inlineStr">
        <is>
          <t>NORRBOTTENS LÄN</t>
        </is>
      </c>
      <c r="E488" t="inlineStr">
        <is>
          <t>ÖVERKALIX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23250-2024</t>
        </is>
      </c>
      <c r="B489" s="1" t="n">
        <v>45453</v>
      </c>
      <c r="C489" s="1" t="n">
        <v>45847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23818-2024</t>
        </is>
      </c>
      <c r="B490" s="1" t="n">
        <v>45455</v>
      </c>
      <c r="C490" s="1" t="n">
        <v>45847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23874-2024</t>
        </is>
      </c>
      <c r="B491" s="1" t="n">
        <v>45455</v>
      </c>
      <c r="C491" s="1" t="n">
        <v>45847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23881-2024</t>
        </is>
      </c>
      <c r="B492" s="1" t="n">
        <v>45455</v>
      </c>
      <c r="C492" s="1" t="n">
        <v>45847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24290-2024</t>
        </is>
      </c>
      <c r="B493" s="1" t="n">
        <v>45457</v>
      </c>
      <c r="C493" s="1" t="n">
        <v>45847</v>
      </c>
      <c r="D493" t="inlineStr">
        <is>
          <t>NORRBOTTENS LÄN</t>
        </is>
      </c>
      <c r="E493" t="inlineStr">
        <is>
          <t>ÖVERKALIX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24395-2024</t>
        </is>
      </c>
      <c r="B494" s="1" t="n">
        <v>45457</v>
      </c>
      <c r="C494" s="1" t="n">
        <v>45847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24549-2024</t>
        </is>
      </c>
      <c r="B495" s="1" t="n">
        <v>45460</v>
      </c>
      <c r="C495" s="1" t="n">
        <v>45847</v>
      </c>
      <c r="D495" t="inlineStr">
        <is>
          <t>NORRBOTTENS LÄN</t>
        </is>
      </c>
      <c r="E495" t="inlineStr">
        <is>
          <t>ÖVERKALIX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24548-2024</t>
        </is>
      </c>
      <c r="B496" s="1" t="n">
        <v>45460</v>
      </c>
      <c r="C496" s="1" t="n">
        <v>45847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24738-2024</t>
        </is>
      </c>
      <c r="B497" s="1" t="n">
        <v>45460</v>
      </c>
      <c r="C497" s="1" t="n">
        <v>45847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25692-2024</t>
        </is>
      </c>
      <c r="B498" s="1" t="n">
        <v>45464</v>
      </c>
      <c r="C498" s="1" t="n">
        <v>45847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25698-2024</t>
        </is>
      </c>
      <c r="B499" s="1" t="n">
        <v>45464</v>
      </c>
      <c r="C499" s="1" t="n">
        <v>45847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25489-2024</t>
        </is>
      </c>
      <c r="B500" s="1" t="n">
        <v>45463</v>
      </c>
      <c r="C500" s="1" t="n">
        <v>45847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25697-2024</t>
        </is>
      </c>
      <c r="B501" s="1" t="n">
        <v>45463</v>
      </c>
      <c r="C501" s="1" t="n">
        <v>45847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25510-2024</t>
        </is>
      </c>
      <c r="B502" s="1" t="n">
        <v>45463</v>
      </c>
      <c r="C502" s="1" t="n">
        <v>45847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25506-2024</t>
        </is>
      </c>
      <c r="B503" s="1" t="n">
        <v>45463</v>
      </c>
      <c r="C503" s="1" t="n">
        <v>45847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25958-2024</t>
        </is>
      </c>
      <c r="B504" s="1" t="n">
        <v>45467</v>
      </c>
      <c r="C504" s="1" t="n">
        <v>45847</v>
      </c>
      <c r="D504" t="inlineStr">
        <is>
          <t>NORRBOTTENS LÄN</t>
        </is>
      </c>
      <c r="E504" t="inlineStr">
        <is>
          <t>ÖVERKALIX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25991-2024</t>
        </is>
      </c>
      <c r="B505" s="1" t="n">
        <v>45467</v>
      </c>
      <c r="C505" s="1" t="n">
        <v>45847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26366-2024</t>
        </is>
      </c>
      <c r="B506" s="1" t="n">
        <v>45469</v>
      </c>
      <c r="C506" s="1" t="n">
        <v>45847</v>
      </c>
      <c r="D506" t="inlineStr">
        <is>
          <t>NORRBOTTENS LÄN</t>
        </is>
      </c>
      <c r="E506" t="inlineStr">
        <is>
          <t>ÖVERKALIX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26350-2024</t>
        </is>
      </c>
      <c r="B507" s="1" t="n">
        <v>45469</v>
      </c>
      <c r="C507" s="1" t="n">
        <v>45847</v>
      </c>
      <c r="D507" t="inlineStr">
        <is>
          <t>NORRBOTTENS LÄN</t>
        </is>
      </c>
      <c r="E507" t="inlineStr">
        <is>
          <t>ÖVERKALIX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27057-2024</t>
        </is>
      </c>
      <c r="B508" s="1" t="n">
        <v>45471</v>
      </c>
      <c r="C508" s="1" t="n">
        <v>45847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27054-2024</t>
        </is>
      </c>
      <c r="B509" s="1" t="n">
        <v>45471</v>
      </c>
      <c r="C509" s="1" t="n">
        <v>45847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27060-2024</t>
        </is>
      </c>
      <c r="B510" s="1" t="n">
        <v>45471</v>
      </c>
      <c r="C510" s="1" t="n">
        <v>45847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28236-2024</t>
        </is>
      </c>
      <c r="B511" s="1" t="n">
        <v>45477</v>
      </c>
      <c r="C511" s="1" t="n">
        <v>45847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30598-2024</t>
        </is>
      </c>
      <c r="B512" s="1" t="n">
        <v>45493</v>
      </c>
      <c r="C512" s="1" t="n">
        <v>45847</v>
      </c>
      <c r="D512" t="inlineStr">
        <is>
          <t>NORRBOTTENS LÄN</t>
        </is>
      </c>
      <c r="E512" t="inlineStr">
        <is>
          <t>ÖVERKALIX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30881-2024</t>
        </is>
      </c>
      <c r="B513" s="1" t="n">
        <v>45498</v>
      </c>
      <c r="C513" s="1" t="n">
        <v>45847</v>
      </c>
      <c r="D513" t="inlineStr">
        <is>
          <t>NORRBOTTENS LÄN</t>
        </is>
      </c>
      <c r="E513" t="inlineStr">
        <is>
          <t>ÖVERKALIX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31647-2024</t>
        </is>
      </c>
      <c r="B514" s="1" t="n">
        <v>45506</v>
      </c>
      <c r="C514" s="1" t="n">
        <v>45847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32061-2024</t>
        </is>
      </c>
      <c r="B515" s="1" t="n">
        <v>45510</v>
      </c>
      <c r="C515" s="1" t="n">
        <v>45847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32615-2024</t>
        </is>
      </c>
      <c r="B516" s="1" t="n">
        <v>45513</v>
      </c>
      <c r="C516" s="1" t="n">
        <v>45847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32477-2024</t>
        </is>
      </c>
      <c r="B517" s="1" t="n">
        <v>45513</v>
      </c>
      <c r="C517" s="1" t="n">
        <v>45847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32478-2024</t>
        </is>
      </c>
      <c r="B518" s="1" t="n">
        <v>45513</v>
      </c>
      <c r="C518" s="1" t="n">
        <v>45847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32616-2024</t>
        </is>
      </c>
      <c r="B519" s="1" t="n">
        <v>45513</v>
      </c>
      <c r="C519" s="1" t="n">
        <v>45847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33315-2024</t>
        </is>
      </c>
      <c r="B520" s="1" t="n">
        <v>45519</v>
      </c>
      <c r="C520" s="1" t="n">
        <v>45847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33301-2024</t>
        </is>
      </c>
      <c r="B521" s="1" t="n">
        <v>45519</v>
      </c>
      <c r="C521" s="1" t="n">
        <v>45847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33606-2024</t>
        </is>
      </c>
      <c r="B522" s="1" t="n">
        <v>45520</v>
      </c>
      <c r="C522" s="1" t="n">
        <v>45847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33761-2024</t>
        </is>
      </c>
      <c r="B523" s="1" t="n">
        <v>45520</v>
      </c>
      <c r="C523" s="1" t="n">
        <v>45847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34651-2024</t>
        </is>
      </c>
      <c r="B524" s="1" t="n">
        <v>45526</v>
      </c>
      <c r="C524" s="1" t="n">
        <v>45847</v>
      </c>
      <c r="D524" t="inlineStr">
        <is>
          <t>NORRBOTTENS LÄN</t>
        </is>
      </c>
      <c r="E524" t="inlineStr">
        <is>
          <t>ÖVERKALIX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35290-2024</t>
        </is>
      </c>
      <c r="B525" s="1" t="n">
        <v>45530</v>
      </c>
      <c r="C525" s="1" t="n">
        <v>45847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36381-2024</t>
        </is>
      </c>
      <c r="B526" s="1" t="n">
        <v>45534</v>
      </c>
      <c r="C526" s="1" t="n">
        <v>45847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36804-2024</t>
        </is>
      </c>
      <c r="B527" s="1" t="n">
        <v>45538</v>
      </c>
      <c r="C527" s="1" t="n">
        <v>45847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36805-2024</t>
        </is>
      </c>
      <c r="B528" s="1" t="n">
        <v>45538</v>
      </c>
      <c r="C528" s="1" t="n">
        <v>45847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37085-2024</t>
        </is>
      </c>
      <c r="B529" s="1" t="n">
        <v>45539</v>
      </c>
      <c r="C529" s="1" t="n">
        <v>45847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37429-2024</t>
        </is>
      </c>
      <c r="B530" s="1" t="n">
        <v>45540</v>
      </c>
      <c r="C530" s="1" t="n">
        <v>45847</v>
      </c>
      <c r="D530" t="inlineStr">
        <is>
          <t>NORRBOTTENS LÄN</t>
        </is>
      </c>
      <c r="E530" t="inlineStr">
        <is>
          <t>ÖVERKALIX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38154-2024</t>
        </is>
      </c>
      <c r="B531" s="1" t="n">
        <v>45545</v>
      </c>
      <c r="C531" s="1" t="n">
        <v>45847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38157-2024</t>
        </is>
      </c>
      <c r="B532" s="1" t="n">
        <v>45545</v>
      </c>
      <c r="C532" s="1" t="n">
        <v>45847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40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38838-2024</t>
        </is>
      </c>
      <c r="B533" s="1" t="n">
        <v>45547</v>
      </c>
      <c r="C533" s="1" t="n">
        <v>45847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38940-2024</t>
        </is>
      </c>
      <c r="B534" s="1" t="n">
        <v>45548</v>
      </c>
      <c r="C534" s="1" t="n">
        <v>45847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38941-2024</t>
        </is>
      </c>
      <c r="B535" s="1" t="n">
        <v>45548</v>
      </c>
      <c r="C535" s="1" t="n">
        <v>45847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38975-2024</t>
        </is>
      </c>
      <c r="B536" s="1" t="n">
        <v>45548</v>
      </c>
      <c r="C536" s="1" t="n">
        <v>45847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39327-2024</t>
        </is>
      </c>
      <c r="B537" s="1" t="n">
        <v>45551</v>
      </c>
      <c r="C537" s="1" t="n">
        <v>45847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45847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40660-2024</t>
        </is>
      </c>
      <c r="B539" s="1" t="n">
        <v>45558</v>
      </c>
      <c r="C539" s="1" t="n">
        <v>45847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40901-2024</t>
        </is>
      </c>
      <c r="B540" s="1" t="n">
        <v>45558</v>
      </c>
      <c r="C540" s="1" t="n">
        <v>45847</v>
      </c>
      <c r="D540" t="inlineStr">
        <is>
          <t>NORRBOTTENS LÄN</t>
        </is>
      </c>
      <c r="E540" t="inlineStr">
        <is>
          <t>ÖVERKALIX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41291-2024</t>
        </is>
      </c>
      <c r="B541" s="1" t="n">
        <v>45559</v>
      </c>
      <c r="C541" s="1" t="n">
        <v>45847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41752-2024</t>
        </is>
      </c>
      <c r="B542" s="1" t="n">
        <v>45561</v>
      </c>
      <c r="C542" s="1" t="n">
        <v>45847</v>
      </c>
      <c r="D542" t="inlineStr">
        <is>
          <t>NORRBOTTENS LÄN</t>
        </is>
      </c>
      <c r="E542" t="inlineStr">
        <is>
          <t>ÖVERKALIX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41830-2024</t>
        </is>
      </c>
      <c r="B543" s="1" t="n">
        <v>45561</v>
      </c>
      <c r="C543" s="1" t="n">
        <v>45847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42134-2024</t>
        </is>
      </c>
      <c r="B544" s="1" t="n">
        <v>45562</v>
      </c>
      <c r="C544" s="1" t="n">
        <v>45847</v>
      </c>
      <c r="D544" t="inlineStr">
        <is>
          <t>NORRBOTTENS LÄN</t>
        </is>
      </c>
      <c r="E544" t="inlineStr">
        <is>
          <t>ÖVERKALIX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42119-2024</t>
        </is>
      </c>
      <c r="B545" s="1" t="n">
        <v>45562</v>
      </c>
      <c r="C545" s="1" t="n">
        <v>45847</v>
      </c>
      <c r="D545" t="inlineStr">
        <is>
          <t>NORRBOTTENS LÄN</t>
        </is>
      </c>
      <c r="E545" t="inlineStr">
        <is>
          <t>ÖVERKALIX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42843-2024</t>
        </is>
      </c>
      <c r="B546" s="1" t="n">
        <v>45566</v>
      </c>
      <c r="C546" s="1" t="n">
        <v>45847</v>
      </c>
      <c r="D546" t="inlineStr">
        <is>
          <t>NORRBOTTENS LÄN</t>
        </is>
      </c>
      <c r="E546" t="inlineStr">
        <is>
          <t>ÖVERKALIX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42988-2024</t>
        </is>
      </c>
      <c r="B547" s="1" t="n">
        <v>45567</v>
      </c>
      <c r="C547" s="1" t="n">
        <v>45847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43334-2024</t>
        </is>
      </c>
      <c r="B548" s="1" t="n">
        <v>45568</v>
      </c>
      <c r="C548" s="1" t="n">
        <v>45847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43721-2024</t>
        </is>
      </c>
      <c r="B549" s="1" t="n">
        <v>45569</v>
      </c>
      <c r="C549" s="1" t="n">
        <v>45847</v>
      </c>
      <c r="D549" t="inlineStr">
        <is>
          <t>NORRBOTTENS LÄN</t>
        </is>
      </c>
      <c r="E549" t="inlineStr">
        <is>
          <t>ÖVERKALIX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43719-2024</t>
        </is>
      </c>
      <c r="B550" s="1" t="n">
        <v>45569</v>
      </c>
      <c r="C550" s="1" t="n">
        <v>45847</v>
      </c>
      <c r="D550" t="inlineStr">
        <is>
          <t>NORRBOTTENS LÄN</t>
        </is>
      </c>
      <c r="E550" t="inlineStr">
        <is>
          <t>ÖVERKALIX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44952-2024</t>
        </is>
      </c>
      <c r="B551" s="1" t="n">
        <v>45575</v>
      </c>
      <c r="C551" s="1" t="n">
        <v>45847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47735-2024</t>
        </is>
      </c>
      <c r="B552" s="1" t="n">
        <v>45588</v>
      </c>
      <c r="C552" s="1" t="n">
        <v>45847</v>
      </c>
      <c r="D552" t="inlineStr">
        <is>
          <t>NORRBOTTENS LÄN</t>
        </is>
      </c>
      <c r="E552" t="inlineStr">
        <is>
          <t>ÖVERKALIX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47734-2024</t>
        </is>
      </c>
      <c r="B553" s="1" t="n">
        <v>45588</v>
      </c>
      <c r="C553" s="1" t="n">
        <v>45847</v>
      </c>
      <c r="D553" t="inlineStr">
        <is>
          <t>NORRBOTTENS LÄN</t>
        </is>
      </c>
      <c r="E553" t="inlineStr">
        <is>
          <t>ÖVERKALIX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48561-2024</t>
        </is>
      </c>
      <c r="B554" s="1" t="n">
        <v>45593</v>
      </c>
      <c r="C554" s="1" t="n">
        <v>45847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48747-2024</t>
        </is>
      </c>
      <c r="B555" s="1" t="n">
        <v>45593</v>
      </c>
      <c r="C555" s="1" t="n">
        <v>45847</v>
      </c>
      <c r="D555" t="inlineStr">
        <is>
          <t>NORRBOTTENS LÄN</t>
        </is>
      </c>
      <c r="E555" t="inlineStr">
        <is>
          <t>ÖVERKALIX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49091-2024</t>
        </is>
      </c>
      <c r="B556" s="1" t="n">
        <v>45594</v>
      </c>
      <c r="C556" s="1" t="n">
        <v>45847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49923-2024</t>
        </is>
      </c>
      <c r="B557" s="1" t="n">
        <v>45597</v>
      </c>
      <c r="C557" s="1" t="n">
        <v>45847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49872-2024</t>
        </is>
      </c>
      <c r="B558" s="1" t="n">
        <v>45597</v>
      </c>
      <c r="C558" s="1" t="n">
        <v>45847</v>
      </c>
      <c r="D558" t="inlineStr">
        <is>
          <t>NORRBOTTENS LÄN</t>
        </is>
      </c>
      <c r="E558" t="inlineStr">
        <is>
          <t>ÖVERKALIX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50175-2024</t>
        </is>
      </c>
      <c r="B559" s="1" t="n">
        <v>45600</v>
      </c>
      <c r="C559" s="1" t="n">
        <v>45847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50216-2024</t>
        </is>
      </c>
      <c r="B560" s="1" t="n">
        <v>45600</v>
      </c>
      <c r="C560" s="1" t="n">
        <v>45847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50691-2024</t>
        </is>
      </c>
      <c r="B561" s="1" t="n">
        <v>45602</v>
      </c>
      <c r="C561" s="1" t="n">
        <v>45847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51057-2024</t>
        </is>
      </c>
      <c r="B562" s="1" t="n">
        <v>45603</v>
      </c>
      <c r="C562" s="1" t="n">
        <v>45847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51058-2024</t>
        </is>
      </c>
      <c r="B563" s="1" t="n">
        <v>45603</v>
      </c>
      <c r="C563" s="1" t="n">
        <v>45847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51063-2024</t>
        </is>
      </c>
      <c r="B564" s="1" t="n">
        <v>45603</v>
      </c>
      <c r="C564" s="1" t="n">
        <v>45847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51525-2024</t>
        </is>
      </c>
      <c r="B565" s="1" t="n">
        <v>45604</v>
      </c>
      <c r="C565" s="1" t="n">
        <v>45847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51561-2024</t>
        </is>
      </c>
      <c r="B566" s="1" t="n">
        <v>45604</v>
      </c>
      <c r="C566" s="1" t="n">
        <v>45847</v>
      </c>
      <c r="D566" t="inlineStr">
        <is>
          <t>NORRBOTTENS LÄN</t>
        </is>
      </c>
      <c r="E566" t="inlineStr">
        <is>
          <t>ÖVERKALIX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51526-2024</t>
        </is>
      </c>
      <c r="B567" s="1" t="n">
        <v>45604</v>
      </c>
      <c r="C567" s="1" t="n">
        <v>45847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51745-2024</t>
        </is>
      </c>
      <c r="B568" s="1" t="n">
        <v>45607</v>
      </c>
      <c r="C568" s="1" t="n">
        <v>45847</v>
      </c>
      <c r="D568" t="inlineStr">
        <is>
          <t>NORRBOTTENS LÄN</t>
        </is>
      </c>
      <c r="E568" t="inlineStr">
        <is>
          <t>ÖVERKALIX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52154-2024</t>
        </is>
      </c>
      <c r="B569" s="1" t="n">
        <v>45608</v>
      </c>
      <c r="C569" s="1" t="n">
        <v>45847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52647-2024</t>
        </is>
      </c>
      <c r="B570" s="1" t="n">
        <v>45610</v>
      </c>
      <c r="C570" s="1" t="n">
        <v>45847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52976-2024</t>
        </is>
      </c>
      <c r="B571" s="1" t="n">
        <v>45611</v>
      </c>
      <c r="C571" s="1" t="n">
        <v>45847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52984-2024</t>
        </is>
      </c>
      <c r="B572" s="1" t="n">
        <v>45611</v>
      </c>
      <c r="C572" s="1" t="n">
        <v>45847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25.9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54740-2024</t>
        </is>
      </c>
      <c r="B573" s="1" t="n">
        <v>45618</v>
      </c>
      <c r="C573" s="1" t="n">
        <v>45847</v>
      </c>
      <c r="D573" t="inlineStr">
        <is>
          <t>NORRBOTTENS LÄN</t>
        </is>
      </c>
      <c r="E573" t="inlineStr">
        <is>
          <t>ÖVERKALIX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55085-2024</t>
        </is>
      </c>
      <c r="B574" s="1" t="n">
        <v>45621</v>
      </c>
      <c r="C574" s="1" t="n">
        <v>45847</v>
      </c>
      <c r="D574" t="inlineStr">
        <is>
          <t>NORRBOTTENS LÄN</t>
        </is>
      </c>
      <c r="E574" t="inlineStr">
        <is>
          <t>ÖVERKALIX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55089-2024</t>
        </is>
      </c>
      <c r="B575" s="1" t="n">
        <v>45621</v>
      </c>
      <c r="C575" s="1" t="n">
        <v>45847</v>
      </c>
      <c r="D575" t="inlineStr">
        <is>
          <t>NORRBOTTENS LÄN</t>
        </is>
      </c>
      <c r="E575" t="inlineStr">
        <is>
          <t>ÖVERKALIX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55329-2024</t>
        </is>
      </c>
      <c r="B576" s="1" t="n">
        <v>45621</v>
      </c>
      <c r="C576" s="1" t="n">
        <v>45847</v>
      </c>
      <c r="D576" t="inlineStr">
        <is>
          <t>NORRBOTTENS LÄN</t>
        </is>
      </c>
      <c r="E576" t="inlineStr">
        <is>
          <t>ÖVERKALIX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55330-2024</t>
        </is>
      </c>
      <c r="B577" s="1" t="n">
        <v>45621</v>
      </c>
      <c r="C577" s="1" t="n">
        <v>45847</v>
      </c>
      <c r="D577" t="inlineStr">
        <is>
          <t>NORRBOTTENS LÄN</t>
        </is>
      </c>
      <c r="E577" t="inlineStr">
        <is>
          <t>ÖVERKALIX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55094-2024</t>
        </is>
      </c>
      <c r="B578" s="1" t="n">
        <v>45621</v>
      </c>
      <c r="C578" s="1" t="n">
        <v>45847</v>
      </c>
      <c r="D578" t="inlineStr">
        <is>
          <t>NORRBOTTENS LÄN</t>
        </is>
      </c>
      <c r="E578" t="inlineStr">
        <is>
          <t>ÖVERKALIX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55227-2024</t>
        </is>
      </c>
      <c r="B579" s="1" t="n">
        <v>45621</v>
      </c>
      <c r="C579" s="1" t="n">
        <v>45847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55226-2024</t>
        </is>
      </c>
      <c r="B580" s="1" t="n">
        <v>45621</v>
      </c>
      <c r="C580" s="1" t="n">
        <v>45847</v>
      </c>
      <c r="D580" t="inlineStr">
        <is>
          <t>NORRBOTTENS LÄN</t>
        </is>
      </c>
      <c r="E580" t="inlineStr">
        <is>
          <t>ÖVERKALIX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55853-2024</t>
        </is>
      </c>
      <c r="B581" s="1" t="n">
        <v>45622</v>
      </c>
      <c r="C581" s="1" t="n">
        <v>45847</v>
      </c>
      <c r="D581" t="inlineStr">
        <is>
          <t>NORRBOTTENS LÄN</t>
        </is>
      </c>
      <c r="E581" t="inlineStr">
        <is>
          <t>ÖVERKALIX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55838-2024</t>
        </is>
      </c>
      <c r="B582" s="1" t="n">
        <v>45622</v>
      </c>
      <c r="C582" s="1" t="n">
        <v>45847</v>
      </c>
      <c r="D582" t="inlineStr">
        <is>
          <t>NORRBOTTENS LÄN</t>
        </is>
      </c>
      <c r="E582" t="inlineStr">
        <is>
          <t>ÖVERKALIX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55857-2024</t>
        </is>
      </c>
      <c r="B583" s="1" t="n">
        <v>45622</v>
      </c>
      <c r="C583" s="1" t="n">
        <v>45847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58038-2024</t>
        </is>
      </c>
      <c r="B584" s="1" t="n">
        <v>45631</v>
      </c>
      <c r="C584" s="1" t="n">
        <v>45847</v>
      </c>
      <c r="D584" t="inlineStr">
        <is>
          <t>NORRBOTTENS LÄN</t>
        </is>
      </c>
      <c r="E584" t="inlineStr">
        <is>
          <t>ÖVERKALIX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58037-2024</t>
        </is>
      </c>
      <c r="B585" s="1" t="n">
        <v>45631</v>
      </c>
      <c r="C585" s="1" t="n">
        <v>45847</v>
      </c>
      <c r="D585" t="inlineStr">
        <is>
          <t>NORRBOTTENS LÄN</t>
        </is>
      </c>
      <c r="E585" t="inlineStr">
        <is>
          <t>ÖVERKALIX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59183-2024</t>
        </is>
      </c>
      <c r="B586" s="1" t="n">
        <v>45637</v>
      </c>
      <c r="C586" s="1" t="n">
        <v>45847</v>
      </c>
      <c r="D586" t="inlineStr">
        <is>
          <t>NORRBOTTENS LÄN</t>
        </is>
      </c>
      <c r="E586" t="inlineStr">
        <is>
          <t>ÖVERKALIX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59280-2024</t>
        </is>
      </c>
      <c r="B587" s="1" t="n">
        <v>45637</v>
      </c>
      <c r="C587" s="1" t="n">
        <v>45847</v>
      </c>
      <c r="D587" t="inlineStr">
        <is>
          <t>NORRBOTTENS LÄN</t>
        </is>
      </c>
      <c r="E587" t="inlineStr">
        <is>
          <t>ÖVERKALIX</t>
        </is>
      </c>
      <c r="F587" t="inlineStr">
        <is>
          <t>Sveaskog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59186-2024</t>
        </is>
      </c>
      <c r="B588" s="1" t="n">
        <v>45637</v>
      </c>
      <c r="C588" s="1" t="n">
        <v>45847</v>
      </c>
      <c r="D588" t="inlineStr">
        <is>
          <t>NORRBOTTENS LÄN</t>
        </is>
      </c>
      <c r="E588" t="inlineStr">
        <is>
          <t>ÖVERKALIX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59832-2024</t>
        </is>
      </c>
      <c r="B589" s="1" t="n">
        <v>45639</v>
      </c>
      <c r="C589" s="1" t="n">
        <v>45847</v>
      </c>
      <c r="D589" t="inlineStr">
        <is>
          <t>NORRBOTTENS LÄN</t>
        </is>
      </c>
      <c r="E589" t="inlineStr">
        <is>
          <t>ÖVERKALIX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59911-2024</t>
        </is>
      </c>
      <c r="B590" s="1" t="n">
        <v>45641</v>
      </c>
      <c r="C590" s="1" t="n">
        <v>45847</v>
      </c>
      <c r="D590" t="inlineStr">
        <is>
          <t>NORRBOTTENS LÄN</t>
        </is>
      </c>
      <c r="E590" t="inlineStr">
        <is>
          <t>ÖVERKALIX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60393-2024</t>
        </is>
      </c>
      <c r="B591" s="1" t="n">
        <v>45643</v>
      </c>
      <c r="C591" s="1" t="n">
        <v>45847</v>
      </c>
      <c r="D591" t="inlineStr">
        <is>
          <t>NORRBOTTENS LÄN</t>
        </is>
      </c>
      <c r="E591" t="inlineStr">
        <is>
          <t>ÖVERKALIX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60417-2024</t>
        </is>
      </c>
      <c r="B592" s="1" t="n">
        <v>45643</v>
      </c>
      <c r="C592" s="1" t="n">
        <v>45847</v>
      </c>
      <c r="D592" t="inlineStr">
        <is>
          <t>NORRBOTTENS LÄN</t>
        </is>
      </c>
      <c r="E592" t="inlineStr">
        <is>
          <t>ÖVERKALIX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60418-2024</t>
        </is>
      </c>
      <c r="B593" s="1" t="n">
        <v>45643</v>
      </c>
      <c r="C593" s="1" t="n">
        <v>45847</v>
      </c>
      <c r="D593" t="inlineStr">
        <is>
          <t>NORRBOTTENS LÄN</t>
        </is>
      </c>
      <c r="E593" t="inlineStr">
        <is>
          <t>ÖVERKALIX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60463-2024</t>
        </is>
      </c>
      <c r="B594" s="1" t="n">
        <v>45643</v>
      </c>
      <c r="C594" s="1" t="n">
        <v>45847</v>
      </c>
      <c r="D594" t="inlineStr">
        <is>
          <t>NORRBOTTENS LÄN</t>
        </is>
      </c>
      <c r="E594" t="inlineStr">
        <is>
          <t>ÖVERKALIX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60774-2024</t>
        </is>
      </c>
      <c r="B595" s="1" t="n">
        <v>45644</v>
      </c>
      <c r="C595" s="1" t="n">
        <v>45847</v>
      </c>
      <c r="D595" t="inlineStr">
        <is>
          <t>NORRBOTTENS LÄN</t>
        </is>
      </c>
      <c r="E595" t="inlineStr">
        <is>
          <t>ÖVERKALIX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60786-2024</t>
        </is>
      </c>
      <c r="B596" s="1" t="n">
        <v>45644</v>
      </c>
      <c r="C596" s="1" t="n">
        <v>45847</v>
      </c>
      <c r="D596" t="inlineStr">
        <is>
          <t>NORRBOTTENS LÄN</t>
        </is>
      </c>
      <c r="E596" t="inlineStr">
        <is>
          <t>ÖVERKALIX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60772-2024</t>
        </is>
      </c>
      <c r="B597" s="1" t="n">
        <v>45644</v>
      </c>
      <c r="C597" s="1" t="n">
        <v>45847</v>
      </c>
      <c r="D597" t="inlineStr">
        <is>
          <t>NORRBOTTENS LÄN</t>
        </is>
      </c>
      <c r="E597" t="inlineStr">
        <is>
          <t>ÖVERKALIX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60776-2024</t>
        </is>
      </c>
      <c r="B598" s="1" t="n">
        <v>45644</v>
      </c>
      <c r="C598" s="1" t="n">
        <v>45847</v>
      </c>
      <c r="D598" t="inlineStr">
        <is>
          <t>NORRBOTTENS LÄN</t>
        </is>
      </c>
      <c r="E598" t="inlineStr">
        <is>
          <t>ÖVERKALIX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60-2025</t>
        </is>
      </c>
      <c r="B599" s="1" t="n">
        <v>45659</v>
      </c>
      <c r="C599" s="1" t="n">
        <v>45847</v>
      </c>
      <c r="D599" t="inlineStr">
        <is>
          <t>NORRBOTTENS LÄN</t>
        </is>
      </c>
      <c r="E599" t="inlineStr">
        <is>
          <t>ÖVERKALIX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276-2025</t>
        </is>
      </c>
      <c r="B600" s="1" t="n">
        <v>45660</v>
      </c>
      <c r="C600" s="1" t="n">
        <v>45847</v>
      </c>
      <c r="D600" t="inlineStr">
        <is>
          <t>NORRBOTTENS LÄN</t>
        </is>
      </c>
      <c r="E600" t="inlineStr">
        <is>
          <t>ÖVERKALIX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1310-2025</t>
        </is>
      </c>
      <c r="B601" s="1" t="n">
        <v>45667</v>
      </c>
      <c r="C601" s="1" t="n">
        <v>45847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1821-2025</t>
        </is>
      </c>
      <c r="B602" s="1" t="n">
        <v>45671</v>
      </c>
      <c r="C602" s="1" t="n">
        <v>45847</v>
      </c>
      <c r="D602" t="inlineStr">
        <is>
          <t>NORRBOTTENS LÄN</t>
        </is>
      </c>
      <c r="E602" t="inlineStr">
        <is>
          <t>ÖVERKALIX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2725-2025</t>
        </is>
      </c>
      <c r="B603" s="1" t="n">
        <v>45677</v>
      </c>
      <c r="C603" s="1" t="n">
        <v>45847</v>
      </c>
      <c r="D603" t="inlineStr">
        <is>
          <t>NORRBOTTENS LÄN</t>
        </is>
      </c>
      <c r="E603" t="inlineStr">
        <is>
          <t>ÖVERKALIX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2723-2025</t>
        </is>
      </c>
      <c r="B604" s="1" t="n">
        <v>45677</v>
      </c>
      <c r="C604" s="1" t="n">
        <v>45847</v>
      </c>
      <c r="D604" t="inlineStr">
        <is>
          <t>NORRBOTTENS LÄN</t>
        </is>
      </c>
      <c r="E604" t="inlineStr">
        <is>
          <t>ÖVERKALIX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3242-2025</t>
        </is>
      </c>
      <c r="B605" s="1" t="n">
        <v>45679</v>
      </c>
      <c r="C605" s="1" t="n">
        <v>45847</v>
      </c>
      <c r="D605" t="inlineStr">
        <is>
          <t>NORRBOTTENS LÄN</t>
        </is>
      </c>
      <c r="E605" t="inlineStr">
        <is>
          <t>ÖVERKALIX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3202-2025</t>
        </is>
      </c>
      <c r="B606" s="1" t="n">
        <v>45679</v>
      </c>
      <c r="C606" s="1" t="n">
        <v>45847</v>
      </c>
      <c r="D606" t="inlineStr">
        <is>
          <t>NORRBOTTENS LÄN</t>
        </is>
      </c>
      <c r="E606" t="inlineStr">
        <is>
          <t>ÖVERKALIX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4840-2025</t>
        </is>
      </c>
      <c r="B607" s="1" t="n">
        <v>45688</v>
      </c>
      <c r="C607" s="1" t="n">
        <v>45847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4961-2025</t>
        </is>
      </c>
      <c r="B608" s="1" t="n">
        <v>45689</v>
      </c>
      <c r="C608" s="1" t="n">
        <v>45847</v>
      </c>
      <c r="D608" t="inlineStr">
        <is>
          <t>NORRBOTTENS LÄN</t>
        </is>
      </c>
      <c r="E608" t="inlineStr">
        <is>
          <t>ÖVERKALIX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5209-2025</t>
        </is>
      </c>
      <c r="B609" s="1" t="n">
        <v>45691</v>
      </c>
      <c r="C609" s="1" t="n">
        <v>45847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5170-2025</t>
        </is>
      </c>
      <c r="B610" s="1" t="n">
        <v>45691</v>
      </c>
      <c r="C610" s="1" t="n">
        <v>45847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5385-2025</t>
        </is>
      </c>
      <c r="B611" s="1" t="n">
        <v>45692</v>
      </c>
      <c r="C611" s="1" t="n">
        <v>45847</v>
      </c>
      <c r="D611" t="inlineStr">
        <is>
          <t>NORRBOTTENS LÄN</t>
        </is>
      </c>
      <c r="E611" t="inlineStr">
        <is>
          <t>ÖVERKALIX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5408-2025</t>
        </is>
      </c>
      <c r="B612" s="1" t="n">
        <v>45692</v>
      </c>
      <c r="C612" s="1" t="n">
        <v>45847</v>
      </c>
      <c r="D612" t="inlineStr">
        <is>
          <t>NORRBOTTENS LÄN</t>
        </is>
      </c>
      <c r="E612" t="inlineStr">
        <is>
          <t>ÖVERKALIX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5382-2025</t>
        </is>
      </c>
      <c r="B613" s="1" t="n">
        <v>45692</v>
      </c>
      <c r="C613" s="1" t="n">
        <v>45847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5570-2025</t>
        </is>
      </c>
      <c r="B614" s="1" t="n">
        <v>45693</v>
      </c>
      <c r="C614" s="1" t="n">
        <v>45847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5572-2025</t>
        </is>
      </c>
      <c r="B615" s="1" t="n">
        <v>45693</v>
      </c>
      <c r="C615" s="1" t="n">
        <v>45847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5526-2025</t>
        </is>
      </c>
      <c r="B616" s="1" t="n">
        <v>45693</v>
      </c>
      <c r="C616" s="1" t="n">
        <v>45847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6454-2025</t>
        </is>
      </c>
      <c r="B617" s="1" t="n">
        <v>45699</v>
      </c>
      <c r="C617" s="1" t="n">
        <v>45847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28.8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6453-2025</t>
        </is>
      </c>
      <c r="B618" s="1" t="n">
        <v>45699</v>
      </c>
      <c r="C618" s="1" t="n">
        <v>45847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18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6810-2025</t>
        </is>
      </c>
      <c r="B619" s="1" t="n">
        <v>45700</v>
      </c>
      <c r="C619" s="1" t="n">
        <v>45847</v>
      </c>
      <c r="D619" t="inlineStr">
        <is>
          <t>NORRBOTTENS LÄN</t>
        </is>
      </c>
      <c r="E619" t="inlineStr">
        <is>
          <t>ÖVERKALIX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7231-2025</t>
        </is>
      </c>
      <c r="B620" s="1" t="n">
        <v>45702</v>
      </c>
      <c r="C620" s="1" t="n">
        <v>45847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8407-2025</t>
        </is>
      </c>
      <c r="B621" s="1" t="n">
        <v>45709</v>
      </c>
      <c r="C621" s="1" t="n">
        <v>45847</v>
      </c>
      <c r="D621" t="inlineStr">
        <is>
          <t>NORRBOTTENS LÄN</t>
        </is>
      </c>
      <c r="E621" t="inlineStr">
        <is>
          <t>ÖVERKALIX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8422-2025</t>
        </is>
      </c>
      <c r="B622" s="1" t="n">
        <v>45709</v>
      </c>
      <c r="C622" s="1" t="n">
        <v>45847</v>
      </c>
      <c r="D622" t="inlineStr">
        <is>
          <t>NORRBOTTENS LÄN</t>
        </is>
      </c>
      <c r="E622" t="inlineStr">
        <is>
          <t>ÖVERKALIX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8400-2025</t>
        </is>
      </c>
      <c r="B623" s="1" t="n">
        <v>45709</v>
      </c>
      <c r="C623" s="1" t="n">
        <v>45847</v>
      </c>
      <c r="D623" t="inlineStr">
        <is>
          <t>NORRBOTTENS LÄN</t>
        </is>
      </c>
      <c r="E623" t="inlineStr">
        <is>
          <t>ÖVERKALIX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8417-2025</t>
        </is>
      </c>
      <c r="B624" s="1" t="n">
        <v>45709</v>
      </c>
      <c r="C624" s="1" t="n">
        <v>45847</v>
      </c>
      <c r="D624" t="inlineStr">
        <is>
          <t>NORRBOTTENS LÄN</t>
        </is>
      </c>
      <c r="E624" t="inlineStr">
        <is>
          <t>ÖVERKALIX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8672-2025</t>
        </is>
      </c>
      <c r="B625" s="1" t="n">
        <v>45712</v>
      </c>
      <c r="C625" s="1" t="n">
        <v>45847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9458-2025</t>
        </is>
      </c>
      <c r="B626" s="1" t="n">
        <v>45715</v>
      </c>
      <c r="C626" s="1" t="n">
        <v>45847</v>
      </c>
      <c r="D626" t="inlineStr">
        <is>
          <t>NORRBOTTENS LÄN</t>
        </is>
      </c>
      <c r="E626" t="inlineStr">
        <is>
          <t>ÖVERKALIX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13739-2025</t>
        </is>
      </c>
      <c r="B627" s="1" t="n">
        <v>45737</v>
      </c>
      <c r="C627" s="1" t="n">
        <v>45847</v>
      </c>
      <c r="D627" t="inlineStr">
        <is>
          <t>NORRBOTTENS LÄN</t>
        </is>
      </c>
      <c r="E627" t="inlineStr">
        <is>
          <t>ÖVERKALIX</t>
        </is>
      </c>
      <c r="G627" t="n">
        <v>20.1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15153-2025</t>
        </is>
      </c>
      <c r="B628" s="1" t="n">
        <v>45744</v>
      </c>
      <c r="C628" s="1" t="n">
        <v>45847</v>
      </c>
      <c r="D628" t="inlineStr">
        <is>
          <t>NORRBOTTENS LÄN</t>
        </is>
      </c>
      <c r="E628" t="inlineStr">
        <is>
          <t>ÖVERKALIX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15493-2025</t>
        </is>
      </c>
      <c r="B629" s="1" t="n">
        <v>45747</v>
      </c>
      <c r="C629" s="1" t="n">
        <v>45847</v>
      </c>
      <c r="D629" t="inlineStr">
        <is>
          <t>NORRBOTTENS LÄN</t>
        </is>
      </c>
      <c r="E629" t="inlineStr">
        <is>
          <t>ÖVERKALIX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15365-2025</t>
        </is>
      </c>
      <c r="B630" s="1" t="n">
        <v>45747</v>
      </c>
      <c r="C630" s="1" t="n">
        <v>45847</v>
      </c>
      <c r="D630" t="inlineStr">
        <is>
          <t>NORRBOTTENS LÄN</t>
        </is>
      </c>
      <c r="E630" t="inlineStr">
        <is>
          <t>ÖVERKALIX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15491-2025</t>
        </is>
      </c>
      <c r="B631" s="1" t="n">
        <v>45747</v>
      </c>
      <c r="C631" s="1" t="n">
        <v>45847</v>
      </c>
      <c r="D631" t="inlineStr">
        <is>
          <t>NORRBOTTENS LÄN</t>
        </is>
      </c>
      <c r="E631" t="inlineStr">
        <is>
          <t>ÖVERKALIX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15718-2025</t>
        </is>
      </c>
      <c r="B632" s="1" t="n">
        <v>45748</v>
      </c>
      <c r="C632" s="1" t="n">
        <v>45847</v>
      </c>
      <c r="D632" t="inlineStr">
        <is>
          <t>NORRBOTTENS LÄN</t>
        </is>
      </c>
      <c r="E632" t="inlineStr">
        <is>
          <t>ÖVERKALIX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17087-2025</t>
        </is>
      </c>
      <c r="B633" s="1" t="n">
        <v>45755</v>
      </c>
      <c r="C633" s="1" t="n">
        <v>45847</v>
      </c>
      <c r="D633" t="inlineStr">
        <is>
          <t>NORRBOTTENS LÄN</t>
        </is>
      </c>
      <c r="E633" t="inlineStr">
        <is>
          <t>ÖVERKALIX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17161-2025</t>
        </is>
      </c>
      <c r="B634" s="1" t="n">
        <v>45756</v>
      </c>
      <c r="C634" s="1" t="n">
        <v>45847</v>
      </c>
      <c r="D634" t="inlineStr">
        <is>
          <t>NORRBOTTENS LÄN</t>
        </is>
      </c>
      <c r="E634" t="inlineStr">
        <is>
          <t>ÖVERKALIX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17531-2025</t>
        </is>
      </c>
      <c r="B635" s="1" t="n">
        <v>45757</v>
      </c>
      <c r="C635" s="1" t="n">
        <v>45847</v>
      </c>
      <c r="D635" t="inlineStr">
        <is>
          <t>NORRBOTTENS LÄN</t>
        </is>
      </c>
      <c r="E635" t="inlineStr">
        <is>
          <t>ÖVERKALIX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17800-2025</t>
        </is>
      </c>
      <c r="B636" s="1" t="n">
        <v>45758</v>
      </c>
      <c r="C636" s="1" t="n">
        <v>45847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19985-2025</t>
        </is>
      </c>
      <c r="B637" s="1" t="n">
        <v>45771</v>
      </c>
      <c r="C637" s="1" t="n">
        <v>45847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19984-2025</t>
        </is>
      </c>
      <c r="B638" s="1" t="n">
        <v>45771</v>
      </c>
      <c r="C638" s="1" t="n">
        <v>45847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20392-2025</t>
        </is>
      </c>
      <c r="B639" s="1" t="n">
        <v>45775</v>
      </c>
      <c r="C639" s="1" t="n">
        <v>45847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21053-2025</t>
        </is>
      </c>
      <c r="B640" s="1" t="n">
        <v>45777</v>
      </c>
      <c r="C640" s="1" t="n">
        <v>45847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21209-2025</t>
        </is>
      </c>
      <c r="B641" s="1" t="n">
        <v>45779</v>
      </c>
      <c r="C641" s="1" t="n">
        <v>45847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21187-2025</t>
        </is>
      </c>
      <c r="B642" s="1" t="n">
        <v>45779</v>
      </c>
      <c r="C642" s="1" t="n">
        <v>45847</v>
      </c>
      <c r="D642" t="inlineStr">
        <is>
          <t>NORRBOTTENS LÄN</t>
        </is>
      </c>
      <c r="E642" t="inlineStr">
        <is>
          <t>ÖVERKALIX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21516-2025</t>
        </is>
      </c>
      <c r="B643" s="1" t="n">
        <v>45782</v>
      </c>
      <c r="C643" s="1" t="n">
        <v>45847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21423-2025</t>
        </is>
      </c>
      <c r="B644" s="1" t="n">
        <v>45782</v>
      </c>
      <c r="C644" s="1" t="n">
        <v>45847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21520-2025</t>
        </is>
      </c>
      <c r="B645" s="1" t="n">
        <v>45782</v>
      </c>
      <c r="C645" s="1" t="n">
        <v>45847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21824-2025</t>
        </is>
      </c>
      <c r="B646" s="1" t="n">
        <v>45783</v>
      </c>
      <c r="C646" s="1" t="n">
        <v>45847</v>
      </c>
      <c r="D646" t="inlineStr">
        <is>
          <t>NORRBOTTENS LÄN</t>
        </is>
      </c>
      <c r="E646" t="inlineStr">
        <is>
          <t>ÖVERKALIX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21825-2025</t>
        </is>
      </c>
      <c r="B647" s="1" t="n">
        <v>45783</v>
      </c>
      <c r="C647" s="1" t="n">
        <v>45847</v>
      </c>
      <c r="D647" t="inlineStr">
        <is>
          <t>NORRBOTTENS LÄN</t>
        </is>
      </c>
      <c r="E647" t="inlineStr">
        <is>
          <t>ÖVERKALIX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21826-2025</t>
        </is>
      </c>
      <c r="B648" s="1" t="n">
        <v>45783</v>
      </c>
      <c r="C648" s="1" t="n">
        <v>45847</v>
      </c>
      <c r="D648" t="inlineStr">
        <is>
          <t>NORRBOTTENS LÄN</t>
        </is>
      </c>
      <c r="E648" t="inlineStr">
        <is>
          <t>ÖVERKALIX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22108-2025</t>
        </is>
      </c>
      <c r="B649" s="1" t="n">
        <v>45785</v>
      </c>
      <c r="C649" s="1" t="n">
        <v>45847</v>
      </c>
      <c r="D649" t="inlineStr">
        <is>
          <t>NORRBOTTENS LÄN</t>
        </is>
      </c>
      <c r="E649" t="inlineStr">
        <is>
          <t>ÖVERKALIX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22318-2025</t>
        </is>
      </c>
      <c r="B650" s="1" t="n">
        <v>45786</v>
      </c>
      <c r="C650" s="1" t="n">
        <v>45847</v>
      </c>
      <c r="D650" t="inlineStr">
        <is>
          <t>NORRBOTTENS LÄN</t>
        </is>
      </c>
      <c r="E650" t="inlineStr">
        <is>
          <t>ÖVERKALIX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22710-2025</t>
        </is>
      </c>
      <c r="B651" s="1" t="n">
        <v>45789</v>
      </c>
      <c r="C651" s="1" t="n">
        <v>45847</v>
      </c>
      <c r="D651" t="inlineStr">
        <is>
          <t>NORRBOTTENS LÄN</t>
        </is>
      </c>
      <c r="E651" t="inlineStr">
        <is>
          <t>ÖVERKALIX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22702-2025</t>
        </is>
      </c>
      <c r="B652" s="1" t="n">
        <v>45789</v>
      </c>
      <c r="C652" s="1" t="n">
        <v>45847</v>
      </c>
      <c r="D652" t="inlineStr">
        <is>
          <t>NORRBOTTENS LÄN</t>
        </is>
      </c>
      <c r="E652" t="inlineStr">
        <is>
          <t>ÖVERKALIX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45847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23866-2025</t>
        </is>
      </c>
      <c r="B654" s="1" t="n">
        <v>45793</v>
      </c>
      <c r="C654" s="1" t="n">
        <v>45847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23861-2025</t>
        </is>
      </c>
      <c r="B655" s="1" t="n">
        <v>45793</v>
      </c>
      <c r="C655" s="1" t="n">
        <v>45847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23870-2025</t>
        </is>
      </c>
      <c r="B656" s="1" t="n">
        <v>45793</v>
      </c>
      <c r="C656" s="1" t="n">
        <v>45847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23858-2025</t>
        </is>
      </c>
      <c r="B657" s="1" t="n">
        <v>45793</v>
      </c>
      <c r="C657" s="1" t="n">
        <v>45847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23867-2025</t>
        </is>
      </c>
      <c r="B658" s="1" t="n">
        <v>45793</v>
      </c>
      <c r="C658" s="1" t="n">
        <v>45847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23873-2025</t>
        </is>
      </c>
      <c r="B659" s="1" t="n">
        <v>45793</v>
      </c>
      <c r="C659" s="1" t="n">
        <v>45847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24136-2025</t>
        </is>
      </c>
      <c r="B660" s="1" t="n">
        <v>45796</v>
      </c>
      <c r="C660" s="1" t="n">
        <v>45847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24144-2025</t>
        </is>
      </c>
      <c r="B661" s="1" t="n">
        <v>45796</v>
      </c>
      <c r="C661" s="1" t="n">
        <v>45847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24141-2025</t>
        </is>
      </c>
      <c r="B662" s="1" t="n">
        <v>45796</v>
      </c>
      <c r="C662" s="1" t="n">
        <v>45847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25629-2025</t>
        </is>
      </c>
      <c r="B663" s="1" t="n">
        <v>45803</v>
      </c>
      <c r="C663" s="1" t="n">
        <v>45847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25670-2025</t>
        </is>
      </c>
      <c r="B664" s="1" t="n">
        <v>45803</v>
      </c>
      <c r="C664" s="1" t="n">
        <v>45847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22.1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26450-2025</t>
        </is>
      </c>
      <c r="B665" s="1" t="n">
        <v>45807</v>
      </c>
      <c r="C665" s="1" t="n">
        <v>45847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45847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45847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45847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26442-2025</t>
        </is>
      </c>
      <c r="B669" s="1" t="n">
        <v>45807</v>
      </c>
      <c r="C669" s="1" t="n">
        <v>45847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26444-2025</t>
        </is>
      </c>
      <c r="B670" s="1" t="n">
        <v>45807</v>
      </c>
      <c r="C670" s="1" t="n">
        <v>45847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26535-2025</t>
        </is>
      </c>
      <c r="B671" s="1" t="n">
        <v>45807</v>
      </c>
      <c r="C671" s="1" t="n">
        <v>45847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37.4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26452-2025</t>
        </is>
      </c>
      <c r="B672" s="1" t="n">
        <v>45807</v>
      </c>
      <c r="C672" s="1" t="n">
        <v>45847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26666-2025</t>
        </is>
      </c>
      <c r="B673" s="1" t="n">
        <v>45810</v>
      </c>
      <c r="C673" s="1" t="n">
        <v>45847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26945-2025</t>
        </is>
      </c>
      <c r="B674" s="1" t="n">
        <v>45811</v>
      </c>
      <c r="C674" s="1" t="n">
        <v>45847</v>
      </c>
      <c r="D674" t="inlineStr">
        <is>
          <t>NORRBOTTENS LÄN</t>
        </is>
      </c>
      <c r="E674" t="inlineStr">
        <is>
          <t>ÖVERKALIX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26944-2025</t>
        </is>
      </c>
      <c r="B675" s="1" t="n">
        <v>45811</v>
      </c>
      <c r="C675" s="1" t="n">
        <v>45847</v>
      </c>
      <c r="D675" t="inlineStr">
        <is>
          <t>NORRBOTTENS LÄN</t>
        </is>
      </c>
      <c r="E675" t="inlineStr">
        <is>
          <t>ÖVERKALIX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27339-2025</t>
        </is>
      </c>
      <c r="B676" s="1" t="n">
        <v>45812</v>
      </c>
      <c r="C676" s="1" t="n">
        <v>45847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27336-2025</t>
        </is>
      </c>
      <c r="B677" s="1" t="n">
        <v>45812</v>
      </c>
      <c r="C677" s="1" t="n">
        <v>45847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18.7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27451-2025</t>
        </is>
      </c>
      <c r="B678" s="1" t="n">
        <v>45813</v>
      </c>
      <c r="C678" s="1" t="n">
        <v>45847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27452-2025</t>
        </is>
      </c>
      <c r="B679" s="1" t="n">
        <v>45813</v>
      </c>
      <c r="C679" s="1" t="n">
        <v>45847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27454-2025</t>
        </is>
      </c>
      <c r="B680" s="1" t="n">
        <v>45813</v>
      </c>
      <c r="C680" s="1" t="n">
        <v>45847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27455-2025</t>
        </is>
      </c>
      <c r="B681" s="1" t="n">
        <v>45813</v>
      </c>
      <c r="C681" s="1" t="n">
        <v>45847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27456-2025</t>
        </is>
      </c>
      <c r="B682" s="1" t="n">
        <v>45813</v>
      </c>
      <c r="C682" s="1" t="n">
        <v>45847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27457-2025</t>
        </is>
      </c>
      <c r="B683" s="1" t="n">
        <v>45813</v>
      </c>
      <c r="C683" s="1" t="n">
        <v>45847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27461-2025</t>
        </is>
      </c>
      <c r="B684" s="1" t="n">
        <v>45813</v>
      </c>
      <c r="C684" s="1" t="n">
        <v>45847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27458-2025</t>
        </is>
      </c>
      <c r="B685" s="1" t="n">
        <v>45813</v>
      </c>
      <c r="C685" s="1" t="n">
        <v>45847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27613-2025</t>
        </is>
      </c>
      <c r="B686" s="1" t="n">
        <v>45813</v>
      </c>
      <c r="C686" s="1" t="n">
        <v>45847</v>
      </c>
      <c r="D686" t="inlineStr">
        <is>
          <t>NORRBOTTENS LÄN</t>
        </is>
      </c>
      <c r="E686" t="inlineStr">
        <is>
          <t>ÖVERKALIX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27949-2025</t>
        </is>
      </c>
      <c r="B687" s="1" t="n">
        <v>45817</v>
      </c>
      <c r="C687" s="1" t="n">
        <v>45847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Sveaskog</t>
        </is>
      </c>
      <c r="G687" t="n">
        <v>51.1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28202-2025</t>
        </is>
      </c>
      <c r="B688" s="1" t="n">
        <v>45818</v>
      </c>
      <c r="C688" s="1" t="n">
        <v>45847</v>
      </c>
      <c r="D688" t="inlineStr">
        <is>
          <t>NORRBOTTENS LÄN</t>
        </is>
      </c>
      <c r="E688" t="inlineStr">
        <is>
          <t>ÖVERKALIX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28208-2025</t>
        </is>
      </c>
      <c r="B689" s="1" t="n">
        <v>45818</v>
      </c>
      <c r="C689" s="1" t="n">
        <v>45847</v>
      </c>
      <c r="D689" t="inlineStr">
        <is>
          <t>NORRBOTTENS LÄN</t>
        </is>
      </c>
      <c r="E689" t="inlineStr">
        <is>
          <t>ÖVERKALIX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28343-2025</t>
        </is>
      </c>
      <c r="B690" s="1" t="n">
        <v>45818</v>
      </c>
      <c r="C690" s="1" t="n">
        <v>45847</v>
      </c>
      <c r="D690" t="inlineStr">
        <is>
          <t>NORRBOTTENS LÄN</t>
        </is>
      </c>
      <c r="E690" t="inlineStr">
        <is>
          <t>ÖVERKALIX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28372-2025</t>
        </is>
      </c>
      <c r="B691" s="1" t="n">
        <v>45818</v>
      </c>
      <c r="C691" s="1" t="n">
        <v>45847</v>
      </c>
      <c r="D691" t="inlineStr">
        <is>
          <t>NORRBOTTENS LÄN</t>
        </is>
      </c>
      <c r="E691" t="inlineStr">
        <is>
          <t>ÖVERKALIX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28400-2025</t>
        </is>
      </c>
      <c r="B692" s="1" t="n">
        <v>45819</v>
      </c>
      <c r="C692" s="1" t="n">
        <v>45847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SCA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28402-2025</t>
        </is>
      </c>
      <c r="B693" s="1" t="n">
        <v>45819</v>
      </c>
      <c r="C693" s="1" t="n">
        <v>45847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45847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28893-2025</t>
        </is>
      </c>
      <c r="B695" s="1" t="n">
        <v>45820</v>
      </c>
      <c r="C695" s="1" t="n">
        <v>45847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28912-2025</t>
        </is>
      </c>
      <c r="B696" s="1" t="n">
        <v>45820</v>
      </c>
      <c r="C696" s="1" t="n">
        <v>45847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28935-2025</t>
        </is>
      </c>
      <c r="B697" s="1" t="n">
        <v>45820</v>
      </c>
      <c r="C697" s="1" t="n">
        <v>45847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28926-2025</t>
        </is>
      </c>
      <c r="B698" s="1" t="n">
        <v>45820</v>
      </c>
      <c r="C698" s="1" t="n">
        <v>45847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29147-2025</t>
        </is>
      </c>
      <c r="B699" s="1" t="n">
        <v>45821</v>
      </c>
      <c r="C699" s="1" t="n">
        <v>45847</v>
      </c>
      <c r="D699" t="inlineStr">
        <is>
          <t>NORRBOTTENS LÄN</t>
        </is>
      </c>
      <c r="E699" t="inlineStr">
        <is>
          <t>ÖVERKALIX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29150-2025</t>
        </is>
      </c>
      <c r="B700" s="1" t="n">
        <v>45821</v>
      </c>
      <c r="C700" s="1" t="n">
        <v>45847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29463-2025</t>
        </is>
      </c>
      <c r="B701" s="1" t="n">
        <v>45824</v>
      </c>
      <c r="C701" s="1" t="n">
        <v>45847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29464-2025</t>
        </is>
      </c>
      <c r="B702" s="1" t="n">
        <v>45824</v>
      </c>
      <c r="C702" s="1" t="n">
        <v>45847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29213-2025</t>
        </is>
      </c>
      <c r="B703" s="1" t="n">
        <v>45824</v>
      </c>
      <c r="C703" s="1" t="n">
        <v>45847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29212-2025</t>
        </is>
      </c>
      <c r="B704" s="1" t="n">
        <v>45824</v>
      </c>
      <c r="C704" s="1" t="n">
        <v>45847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Sveaskog</t>
        </is>
      </c>
      <c r="G704" t="n">
        <v>24.4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29532-2025</t>
        </is>
      </c>
      <c r="B705" s="1" t="n">
        <v>45825</v>
      </c>
      <c r="C705" s="1" t="n">
        <v>45847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30086-2025</t>
        </is>
      </c>
      <c r="B706" s="1" t="n">
        <v>45826</v>
      </c>
      <c r="C706" s="1" t="n">
        <v>45847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SCA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30038-2025</t>
        </is>
      </c>
      <c r="B707" s="1" t="n">
        <v>45826</v>
      </c>
      <c r="C707" s="1" t="n">
        <v>45847</v>
      </c>
      <c r="D707" t="inlineStr">
        <is>
          <t>NORRBOTTENS LÄN</t>
        </is>
      </c>
      <c r="E707" t="inlineStr">
        <is>
          <t>ÖVERKALIX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30099-2025</t>
        </is>
      </c>
      <c r="B708" s="1" t="n">
        <v>45826</v>
      </c>
      <c r="C708" s="1" t="n">
        <v>45847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30257-2025</t>
        </is>
      </c>
      <c r="B709" s="1" t="n">
        <v>45827</v>
      </c>
      <c r="C709" s="1" t="n">
        <v>45847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30992-2025</t>
        </is>
      </c>
      <c r="B710" s="1" t="n">
        <v>45831</v>
      </c>
      <c r="C710" s="1" t="n">
        <v>45847</v>
      </c>
      <c r="D710" t="inlineStr">
        <is>
          <t>NORRBOTTENS LÄN</t>
        </is>
      </c>
      <c r="E710" t="inlineStr">
        <is>
          <t>ÖVERKALIX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45847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30776-2025</t>
        </is>
      </c>
      <c r="B712" s="1" t="n">
        <v>45831</v>
      </c>
      <c r="C712" s="1" t="n">
        <v>45847</v>
      </c>
      <c r="D712" t="inlineStr">
        <is>
          <t>NORRBOTTENS LÄN</t>
        </is>
      </c>
      <c r="E712" t="inlineStr">
        <is>
          <t>ÖVERKALIX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30980-2025</t>
        </is>
      </c>
      <c r="B713" s="1" t="n">
        <v>45831</v>
      </c>
      <c r="C713" s="1" t="n">
        <v>45847</v>
      </c>
      <c r="D713" t="inlineStr">
        <is>
          <t>NORRBOTTENS LÄN</t>
        </is>
      </c>
      <c r="E713" t="inlineStr">
        <is>
          <t>ÖVERKALIX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30985-2025</t>
        </is>
      </c>
      <c r="B714" s="1" t="n">
        <v>45831</v>
      </c>
      <c r="C714" s="1" t="n">
        <v>45847</v>
      </c>
      <c r="D714" t="inlineStr">
        <is>
          <t>NORRBOTTENS LÄN</t>
        </is>
      </c>
      <c r="E714" t="inlineStr">
        <is>
          <t>ÖVERKALIX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30990-2025</t>
        </is>
      </c>
      <c r="B715" s="1" t="n">
        <v>45831</v>
      </c>
      <c r="C715" s="1" t="n">
        <v>45847</v>
      </c>
      <c r="D715" t="inlineStr">
        <is>
          <t>NORRBOTTENS LÄN</t>
        </is>
      </c>
      <c r="E715" t="inlineStr">
        <is>
          <t>ÖVERKALIX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30987-2025</t>
        </is>
      </c>
      <c r="B716" s="1" t="n">
        <v>45831</v>
      </c>
      <c r="C716" s="1" t="n">
        <v>45847</v>
      </c>
      <c r="D716" t="inlineStr">
        <is>
          <t>NORRBOTTENS LÄN</t>
        </is>
      </c>
      <c r="E716" t="inlineStr">
        <is>
          <t>ÖVERKALIX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31751-2025</t>
        </is>
      </c>
      <c r="B717" s="1" t="n">
        <v>45834</v>
      </c>
      <c r="C717" s="1" t="n">
        <v>45847</v>
      </c>
      <c r="D717" t="inlineStr">
        <is>
          <t>NORRBOTTENS LÄN</t>
        </is>
      </c>
      <c r="E717" t="inlineStr">
        <is>
          <t>ÖVERKALIX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31744-2025</t>
        </is>
      </c>
      <c r="B718" s="1" t="n">
        <v>45834</v>
      </c>
      <c r="C718" s="1" t="n">
        <v>45847</v>
      </c>
      <c r="D718" t="inlineStr">
        <is>
          <t>NORRBOTTENS LÄN</t>
        </is>
      </c>
      <c r="E718" t="inlineStr">
        <is>
          <t>ÖVERKALIX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31645-2025</t>
        </is>
      </c>
      <c r="B719" s="1" t="n">
        <v>45834</v>
      </c>
      <c r="C719" s="1" t="n">
        <v>45847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31640-2025</t>
        </is>
      </c>
      <c r="B720" s="1" t="n">
        <v>45834</v>
      </c>
      <c r="C720" s="1" t="n">
        <v>45847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SCA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32067-2025</t>
        </is>
      </c>
      <c r="B721" s="1" t="n">
        <v>45835</v>
      </c>
      <c r="C721" s="1" t="n">
        <v>45847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45847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31961-2025</t>
        </is>
      </c>
      <c r="B723" s="1" t="n">
        <v>45835</v>
      </c>
      <c r="C723" s="1" t="n">
        <v>45847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32173-2025</t>
        </is>
      </c>
      <c r="B724" s="1" t="n">
        <v>45835</v>
      </c>
      <c r="C724" s="1" t="n">
        <v>45847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Sveaskog</t>
        </is>
      </c>
      <c r="G724" t="n">
        <v>16.3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32371-2025</t>
        </is>
      </c>
      <c r="B725" s="1" t="n">
        <v>45837</v>
      </c>
      <c r="C725" s="1" t="n">
        <v>45847</v>
      </c>
      <c r="D725" t="inlineStr">
        <is>
          <t>NORRBOTTENS LÄN</t>
        </is>
      </c>
      <c r="E725" t="inlineStr">
        <is>
          <t>ÖVERKALIX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32370-2025</t>
        </is>
      </c>
      <c r="B726" s="1" t="n">
        <v>45837</v>
      </c>
      <c r="C726" s="1" t="n">
        <v>45847</v>
      </c>
      <c r="D726" t="inlineStr">
        <is>
          <t>NORRBOTTENS LÄN</t>
        </is>
      </c>
      <c r="E726" t="inlineStr">
        <is>
          <t>ÖVERKALIX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32377-2025</t>
        </is>
      </c>
      <c r="B727" s="1" t="n">
        <v>45837</v>
      </c>
      <c r="C727" s="1" t="n">
        <v>45847</v>
      </c>
      <c r="D727" t="inlineStr">
        <is>
          <t>NORRBOTTENS LÄN</t>
        </is>
      </c>
      <c r="E727" t="inlineStr">
        <is>
          <t>ÖVERKALIX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32634-2025</t>
        </is>
      </c>
      <c r="B728" s="1" t="n">
        <v>45838</v>
      </c>
      <c r="C728" s="1" t="n">
        <v>45847</v>
      </c>
      <c r="D728" t="inlineStr">
        <is>
          <t>NORRBOTTENS LÄN</t>
        </is>
      </c>
      <c r="E728" t="inlineStr">
        <is>
          <t>ÖVERKALIX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32535-2025</t>
        </is>
      </c>
      <c r="B729" s="1" t="n">
        <v>45838</v>
      </c>
      <c r="C729" s="1" t="n">
        <v>45847</v>
      </c>
      <c r="D729" t="inlineStr">
        <is>
          <t>NORRBOTTENS LÄN</t>
        </is>
      </c>
      <c r="E729" t="inlineStr">
        <is>
          <t>ÖVERKALIX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32636-2025</t>
        </is>
      </c>
      <c r="B730" s="1" t="n">
        <v>45838</v>
      </c>
      <c r="C730" s="1" t="n">
        <v>45847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32708-2025</t>
        </is>
      </c>
      <c r="B731" s="1" t="n">
        <v>45839</v>
      </c>
      <c r="C731" s="1" t="n">
        <v>45847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32892-2025</t>
        </is>
      </c>
      <c r="B732" s="1" t="n">
        <v>45839</v>
      </c>
      <c r="C732" s="1" t="n">
        <v>45847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32715-2025</t>
        </is>
      </c>
      <c r="B733" s="1" t="n">
        <v>45839</v>
      </c>
      <c r="C733" s="1" t="n">
        <v>45847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24.5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33224-2025</t>
        </is>
      </c>
      <c r="B734" s="1" t="n">
        <v>45840</v>
      </c>
      <c r="C734" s="1" t="n">
        <v>45847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33266-2025</t>
        </is>
      </c>
      <c r="B735" s="1" t="n">
        <v>45840</v>
      </c>
      <c r="C735" s="1" t="n">
        <v>45847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33939-2025</t>
        </is>
      </c>
      <c r="B736" s="1" t="n">
        <v>45842</v>
      </c>
      <c r="C736" s="1" t="n">
        <v>45847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Sveaskog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34128-2025</t>
        </is>
      </c>
      <c r="B737" s="1" t="n">
        <v>45845</v>
      </c>
      <c r="C737" s="1" t="n">
        <v>45847</v>
      </c>
      <c r="D737" t="inlineStr">
        <is>
          <t>NORRBOTTENS LÄN</t>
        </is>
      </c>
      <c r="E737" t="inlineStr">
        <is>
          <t>ÖVERKALIX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2025-07-09T20:37:13Z</dcterms:created>
  <dcterms:modified xmlns:dcterms="http://purl.org/dc/terms/" xmlns:xsi="http://www.w3.org/2001/XMLSchema-instance" xsi:type="dcterms:W3CDTF">2025-07-09T20:37:14Z</dcterms:modified>
</cp:coreProperties>
</file>