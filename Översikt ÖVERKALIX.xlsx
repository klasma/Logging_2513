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46253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46253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46253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46253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46253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23</v>
      </c>
      <c r="U6" t="n">
        <v>23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46253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42</v>
      </c>
      <c r="U7" t="n">
        <v>42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46253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46253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3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11</v>
      </c>
      <c r="V9" s="2" t="inlineStr">
        <is>
          <t>Garnlav
Knärot
Myskmåra
Tretåig hackspett
Björksplintborre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46253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46253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46253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46253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46253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38989-2023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46253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9</v>
      </c>
      <c r="U15" t="n">
        <v>9</v>
      </c>
      <c r="V15" s="2" t="inlineStr">
        <is>
          <t>Goliatmusseron
Blå taggsvamp
Dropptaggsvamp
Motaggsvamp
Orange taggsvamp</t>
        </is>
      </c>
      <c r="W15">
        <f>HYPERLINK("https://klasma.github.io/Logging_2513/artfynd/A 38989-2023 artfynd.xlsx", "A 38989-2023")</f>
        <v/>
      </c>
      <c r="X15">
        <f>HYPERLINK("https://klasma.github.io/Logging_2513/kartor/A 38989-2023 karta.png", "A 38989-2023")</f>
        <v/>
      </c>
      <c r="Y15">
        <f>HYPERLINK("https://klasma.github.io/Logging_2513/kartor_geotiff/A 38989-2023 georefererad karta.tif", "A 38989-2023")</f>
        <v/>
      </c>
      <c r="AA15">
        <f>HYPERLINK("https://klasma.github.io/Logging_2513/klagomål/A 38989-2023 FSC-klagomål.docx", "A 38989-2023")</f>
        <v/>
      </c>
      <c r="AB15">
        <f>HYPERLINK("https://klasma.github.io/Logging_2513/klagomålsmail/A 38989-2023 FSC-klagomål mail.docx", "A 38989-2023")</f>
        <v/>
      </c>
      <c r="AC15">
        <f>HYPERLINK("https://klasma.github.io/Logging_2513/tillsyn/A 38989-2023 tillsynsbegäran.docx", "A 38989-2023")</f>
        <v/>
      </c>
      <c r="AD15">
        <f>HYPERLINK("https://klasma.github.io/Logging_2513/tillsynsmail/A 38989-2023 tillsynsbegäran mail.docx", "A 38989-2023")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46253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46253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46253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46253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46253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46253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46253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Blå taggsvamp
Dropptaggsvamp
Skarp dropptaggsvamp</t>
        </is>
      </c>
      <c r="W22">
        <f>HYPERLINK("https://klasma.github.io/Logging_2513/artfynd/A 42872-2025 artfynd.xlsx", "A 42872-2025")</f>
        <v/>
      </c>
      <c r="X22">
        <f>HYPERLINK("https://klasma.github.io/Logging_2513/kartor/A 42872-2025 karta.png", "A 42872-2025")</f>
        <v/>
      </c>
      <c r="Y22">
        <f>HYPERLINK("https://klasma.github.io/Logging_2513/kartor_geotiff/A 42872-2025 georefererad karta.tif", "A 42872-2025")</f>
        <v/>
      </c>
      <c r="AA22">
        <f>HYPERLINK("https://klasma.github.io/Logging_2513/klagomål/A 42872-2025 FSC-klagomål.docx", "A 42872-2025")</f>
        <v/>
      </c>
      <c r="AB22">
        <f>HYPERLINK("https://klasma.github.io/Logging_2513/klagomålsmail/A 42872-2025 FSC-klagomål mail.docx", "A 42872-2025")</f>
        <v/>
      </c>
      <c r="AC22">
        <f>HYPERLINK("https://klasma.github.io/Logging_2513/tillsyn/A 42872-2025 tillsynsbegäran.docx", "A 42872-2025")</f>
        <v/>
      </c>
      <c r="AD22">
        <f>HYPERLINK("https://klasma.github.io/Logging_2513/tillsynsmail/A 42872-2025 tillsynsbegäran mail.docx", "A 42872-2025")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46253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46253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46253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46253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17802-2025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46253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1.6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Hökuggla
Älg
Tjäder</t>
        </is>
      </c>
      <c r="W27">
        <f>HYPERLINK("https://klasma.github.io/Logging_2513/artfynd/A 17802-2025 artfynd.xlsx", "A 17802-2025")</f>
        <v/>
      </c>
      <c r="X27">
        <f>HYPERLINK("https://klasma.github.io/Logging_2513/kartor/A 17802-2025 karta.png", "A 17802-2025")</f>
        <v/>
      </c>
      <c r="Y27">
        <f>HYPERLINK("https://klasma.github.io/Logging_2513/kartor_geotiff/A 17802-2025 georefererad karta.tif", "A 17802-2025")</f>
        <v/>
      </c>
      <c r="AA27">
        <f>HYPERLINK("https://klasma.github.io/Logging_2513/klagomål/A 17802-2025 FSC-klagomål.docx", "A 17802-2025")</f>
        <v/>
      </c>
      <c r="AB27">
        <f>HYPERLINK("https://klasma.github.io/Logging_2513/klagomålsmail/A 17802-2025 FSC-klagomål mail.docx", "A 17802-2025")</f>
        <v/>
      </c>
      <c r="AC27">
        <f>HYPERLINK("https://klasma.github.io/Logging_2513/tillsyn/A 17802-2025 tillsynsbegäran.docx", "A 17802-2025")</f>
        <v/>
      </c>
      <c r="AD27">
        <f>HYPERLINK("https://klasma.github.io/Logging_2513/tillsynsmail/A 17802-2025 tillsynsbegäran mail.docx", "A 17802-2025")</f>
        <v/>
      </c>
      <c r="AE27">
        <f>HYPERLINK("https://klasma.github.io/Logging_2513/fåglar/A 17802-2025 prioriterade fågelarter.docx", "A 17802-2025")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46253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46253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36378-2024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46253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Lunglav
Fläcknycklar</t>
        </is>
      </c>
      <c r="W30">
        <f>HYPERLINK("https://klasma.github.io/Logging_2513/artfynd/A 36378-2024 artfynd.xlsx", "A 36378-2024")</f>
        <v/>
      </c>
      <c r="X30">
        <f>HYPERLINK("https://klasma.github.io/Logging_2513/kartor/A 36378-2024 karta.png", "A 36378-2024")</f>
        <v/>
      </c>
      <c r="Y30">
        <f>HYPERLINK("https://klasma.github.io/Logging_2513/kartor_geotiff/A 36378-2024 georefererad karta.tif", "A 36378-2024")</f>
        <v/>
      </c>
      <c r="AA30">
        <f>HYPERLINK("https://klasma.github.io/Logging_2513/klagomål/A 36378-2024 FSC-klagomål.docx", "A 36378-2024")</f>
        <v/>
      </c>
      <c r="AB30">
        <f>HYPERLINK("https://klasma.github.io/Logging_2513/klagomålsmail/A 36378-2024 FSC-klagomål mail.docx", "A 36378-2024")</f>
        <v/>
      </c>
      <c r="AC30">
        <f>HYPERLINK("https://klasma.github.io/Logging_2513/tillsyn/A 36378-2024 tillsynsbegäran.docx", "A 36378-2024")</f>
        <v/>
      </c>
      <c r="AD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46253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26.7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Gammelgransskål
Orre</t>
        </is>
      </c>
      <c r="W31">
        <f>HYPERLINK("https://klasma.github.io/Logging_2513/artfynd/A 36381-2024 artfynd.xlsx", "A 36381-2024")</f>
        <v/>
      </c>
      <c r="X31">
        <f>HYPERLINK("https://klasma.github.io/Logging_2513/kartor/A 36381-2024 karta.png", "A 36381-2024")</f>
        <v/>
      </c>
      <c r="Y31">
        <f>HYPERLINK("https://klasma.github.io/Logging_2513/kartor_geotiff/A 36381-2024 georefererad karta.tif", "A 36381-2024")</f>
        <v/>
      </c>
      <c r="AA31">
        <f>HYPERLINK("https://klasma.github.io/Logging_2513/klagomål/A 36381-2024 FSC-klagomål.docx", "A 36381-2024")</f>
        <v/>
      </c>
      <c r="AB31">
        <f>HYPERLINK("https://klasma.github.io/Logging_2513/klagomålsmail/A 36381-2024 FSC-klagomål mail.docx", "A 36381-2024")</f>
        <v/>
      </c>
      <c r="AC31">
        <f>HYPERLINK("https://klasma.github.io/Logging_2513/tillsyn/A 36381-2024 tillsynsbegäran.docx", "A 36381-2024")</f>
        <v/>
      </c>
      <c r="AD31">
        <f>HYPERLINK("https://klasma.github.io/Logging_2513/tillsynsmail/A 36381-2024 tillsynsbegäran mail.docx", "A 36381-2024")</f>
        <v/>
      </c>
      <c r="AE31">
        <f>HYPERLINK("https://klasma.github.io/Logging_2513/fåglar/A 36381-2024 prioriterade fågelarter.docx", "A 36381-2024")</f>
        <v/>
      </c>
    </row>
    <row r="32" ht="15" customHeight="1">
      <c r="A32" t="inlineStr">
        <is>
          <t>A 26452-2025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45807</v>
      </c>
      <c r="E32" s="1" t="n">
        <v>46253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1.2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Stor aspticka</t>
        </is>
      </c>
      <c r="W32">
        <f>HYPERLINK("https://klasma.github.io/Logging_2513/artfynd/A 26452-2025 artfynd.xlsx", "A 26452-2025")</f>
        <v/>
      </c>
      <c r="X32">
        <f>HYPERLINK("https://klasma.github.io/Logging_2513/kartor/A 26452-2025 karta.png", "A 26452-2025")</f>
        <v/>
      </c>
      <c r="Y32">
        <f>HYPERLINK("https://klasma.github.io/Logging_2513/kartor_geotiff/A 26452-2025 georefererad karta.tif", "A 26452-2025")</f>
        <v/>
      </c>
      <c r="AA32">
        <f>HYPERLINK("https://klasma.github.io/Logging_2513/klagomål/A 26452-2025 FSC-klagomål.docx", "A 26452-2025")</f>
        <v/>
      </c>
      <c r="AB32">
        <f>HYPERLINK("https://klasma.github.io/Logging_2513/klagomålsmail/A 26452-2025 FSC-klagomål mail.docx", "A 26452-2025")</f>
        <v/>
      </c>
      <c r="AC32">
        <f>HYPERLINK("https://klasma.github.io/Logging_2513/tillsyn/A 26452-2025 tillsynsbegäran.docx", "A 26452-2025")</f>
        <v/>
      </c>
      <c r="AD32">
        <f>HYPERLINK("https://klasma.github.io/Logging_2513/tillsynsmail/A 26452-2025 tillsynsbegäran mail.docx", "A 26452-2025")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46253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40116-2025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46253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29.7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5</v>
      </c>
      <c r="U34" t="n">
        <v>3</v>
      </c>
      <c r="V34" s="2" t="inlineStr">
        <is>
          <t>Lunglav
Skrovellav</t>
        </is>
      </c>
      <c r="W34">
        <f>HYPERLINK("https://klasma.github.io/Logging_2513/artfynd/A 40116-2025 artfynd.xlsx", "A 40116-2025")</f>
        <v/>
      </c>
      <c r="X34">
        <f>HYPERLINK("https://klasma.github.io/Logging_2513/kartor/A 40116-2025 karta.png", "A 40116-2025")</f>
        <v/>
      </c>
      <c r="Y34">
        <f>HYPERLINK("https://klasma.github.io/Logging_2513/kartor_geotiff/A 40116-2025 georefererad karta.tif", "A 40116-2025")</f>
        <v/>
      </c>
      <c r="AA34">
        <f>HYPERLINK("https://klasma.github.io/Logging_2513/klagomål/A 40116-2025 FSC-klagomål.docx", "A 40116-2025")</f>
        <v/>
      </c>
      <c r="AB34">
        <f>HYPERLINK("https://klasma.github.io/Logging_2513/klagomålsmail/A 40116-2025 FSC-klagomål mail.docx", "A 40116-2025")</f>
        <v/>
      </c>
      <c r="AC34">
        <f>HYPERLINK("https://klasma.github.io/Logging_2513/tillsyn/A 40116-2025 tillsynsbegäran.docx", "A 40116-2025")</f>
        <v/>
      </c>
      <c r="AD34">
        <f>HYPERLINK("https://klasma.github.io/Logging_2513/tillsynsmail/A 40116-2025 tillsynsbegäran mail.docx", "A 40116-2025")</f>
        <v/>
      </c>
    </row>
    <row r="35" ht="15" customHeight="1">
      <c r="A35" t="inlineStr">
        <is>
          <t>A 50691-2024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46253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4.2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Gammelgransskål
Vedticka</t>
        </is>
      </c>
      <c r="W35">
        <f>HYPERLINK("https://klasma.github.io/Logging_2513/artfynd/A 50691-2024 artfynd.xlsx", "A 50691-2024")</f>
        <v/>
      </c>
      <c r="X35">
        <f>HYPERLINK("https://klasma.github.io/Logging_2513/kartor/A 50691-2024 karta.png", "A 50691-2024")</f>
        <v/>
      </c>
      <c r="Y35">
        <f>HYPERLINK("https://klasma.github.io/Logging_2513/kartor_geotiff/A 50691-2024 georefererad karta.tif", "A 50691-2024")</f>
        <v/>
      </c>
      <c r="AA35">
        <f>HYPERLINK("https://klasma.github.io/Logging_2513/klagomål/A 50691-2024 FSC-klagomål.docx", "A 50691-2024")</f>
        <v/>
      </c>
      <c r="AB35">
        <f>HYPERLINK("https://klasma.github.io/Logging_2513/klagomålsmail/A 50691-2024 FSC-klagomål mail.docx", "A 50691-2024")</f>
        <v/>
      </c>
      <c r="AC35">
        <f>HYPERLINK("https://klasma.github.io/Logging_2513/tillsyn/A 50691-2024 tillsynsbegäran.docx", "A 50691-2024")</f>
        <v/>
      </c>
      <c r="AD35">
        <f>HYPERLINK("https://klasma.github.io/Logging_2513/tillsynsmail/A 50691-2024 tillsynsbegäran mail.docx", "A 50691-2024")</f>
        <v/>
      </c>
    </row>
    <row r="36" ht="15" customHeight="1">
      <c r="A36" t="inlineStr">
        <is>
          <t>A 42285-2025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45904</v>
      </c>
      <c r="E36" s="1" t="n">
        <v>46253</v>
      </c>
      <c r="F36" t="inlineStr">
        <is>
          <t>NORRBOTTENS LÄN</t>
        </is>
      </c>
      <c r="G36" t="inlineStr">
        <is>
          <t>ÖVERKALIX</t>
        </is>
      </c>
      <c r="I36" t="n">
        <v>0.3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Kungsfågel
Vanlig padda</t>
        </is>
      </c>
      <c r="W36">
        <f>HYPERLINK("https://klasma.github.io/Logging_2513/artfynd/A 42285-2025 artfynd.xlsx", "A 42285-2025")</f>
        <v/>
      </c>
      <c r="X36">
        <f>HYPERLINK("https://klasma.github.io/Logging_2513/kartor/A 42285-2025 karta.png", "A 42285-2025")</f>
        <v/>
      </c>
      <c r="Y36">
        <f>HYPERLINK("https://klasma.github.io/Logging_2513/kartor_geotiff/A 42285-2025 georefererad karta.tif", "A 42285-2025")</f>
        <v/>
      </c>
      <c r="AA36">
        <f>HYPERLINK("https://klasma.github.io/Logging_2513/klagomål/A 42285-2025 FSC-klagomål.docx", "A 42285-2025")</f>
        <v/>
      </c>
      <c r="AB36">
        <f>HYPERLINK("https://klasma.github.io/Logging_2513/klagomålsmail/A 42285-2025 FSC-klagomål mail.docx", "A 42285-2025")</f>
        <v/>
      </c>
      <c r="AC36">
        <f>HYPERLINK("https://klasma.github.io/Logging_2513/tillsyn/A 42285-2025 tillsynsbegäran.docx", "A 42285-2025")</f>
        <v/>
      </c>
      <c r="AD36">
        <f>HYPERLINK("https://klasma.github.io/Logging_2513/tillsynsmail/A 42285-2025 tillsynsbegäran mail.docx", "A 42285-2025")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46253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34921-2025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46253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16.4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Lunglav</t>
        </is>
      </c>
      <c r="W38">
        <f>HYPERLINK("https://klasma.github.io/Logging_2513/artfynd/A 34921-2025 artfynd.xlsx", "A 34921-2025")</f>
        <v/>
      </c>
      <c r="X38">
        <f>HYPERLINK("https://klasma.github.io/Logging_2513/kartor/A 34921-2025 karta.png", "A 34921-2025")</f>
        <v/>
      </c>
      <c r="Y38">
        <f>HYPERLINK("https://klasma.github.io/Logging_2513/kartor_geotiff/A 34921-2025 georefererad karta.tif", "A 34921-2025")</f>
        <v/>
      </c>
      <c r="AA38">
        <f>HYPERLINK("https://klasma.github.io/Logging_2513/klagomål/A 34921-2025 FSC-klagomål.docx", "A 34921-2025")</f>
        <v/>
      </c>
      <c r="AB38">
        <f>HYPERLINK("https://klasma.github.io/Logging_2513/klagomålsmail/A 34921-2025 FSC-klagomål mail.docx", "A 34921-2025")</f>
        <v/>
      </c>
      <c r="AC38">
        <f>HYPERLINK("https://klasma.github.io/Logging_2513/tillsyn/A 34921-2025 tillsynsbegäran.docx", "A 34921-2025")</f>
        <v/>
      </c>
      <c r="AD38">
        <f>HYPERLINK("https://klasma.github.io/Logging_2513/tillsynsmail/A 34921-2025 tillsynsbegäran mail.docx", "A 34921-2025")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46253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47680-2024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46253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Blå taggsvamp
Skarp dropptaggsvamp</t>
        </is>
      </c>
      <c r="W40">
        <f>HYPERLINK("https://klasma.github.io/Logging_2513/artfynd/A 47680-2024 artfynd.xlsx", "A 47680-2024")</f>
        <v/>
      </c>
      <c r="X40">
        <f>HYPERLINK("https://klasma.github.io/Logging_2513/kartor/A 47680-2024 karta.png", "A 47680-2024")</f>
        <v/>
      </c>
      <c r="Y40">
        <f>HYPERLINK("https://klasma.github.io/Logging_2513/kartor_geotiff/A 47680-2024 georefererad karta.tif", "A 47680-2024")</f>
        <v/>
      </c>
      <c r="AA40">
        <f>HYPERLINK("https://klasma.github.io/Logging_2513/klagomål/A 47680-2024 FSC-klagomål.docx", "A 47680-2024")</f>
        <v/>
      </c>
      <c r="AB40">
        <f>HYPERLINK("https://klasma.github.io/Logging_2513/klagomålsmail/A 47680-2024 FSC-klagomål mail.docx", "A 47680-2024")</f>
        <v/>
      </c>
      <c r="AC40">
        <f>HYPERLINK("https://klasma.github.io/Logging_2513/tillsyn/A 47680-2024 tillsynsbegäran.docx", "A 47680-2024")</f>
        <v/>
      </c>
      <c r="AD40">
        <f>HYPERLINK("https://klasma.github.io/Logging_2513/tillsynsmail/A 47680-2024 tillsynsbegäran mail.docx", "A 47680-2024")</f>
        <v/>
      </c>
    </row>
    <row r="41" ht="15" customHeight="1">
      <c r="A41" t="inlineStr">
        <is>
          <t>A 62951-2025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46253</v>
      </c>
      <c r="F41" t="inlineStr">
        <is>
          <t>NORRBOTTENS LÄN</t>
        </is>
      </c>
      <c r="G41" t="inlineStr">
        <is>
          <t>ÖVERKALIX</t>
        </is>
      </c>
      <c r="H41" t="inlineStr">
        <is>
          <t>SCA</t>
        </is>
      </c>
      <c r="I41" t="n">
        <v>4.2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Ullticka</t>
        </is>
      </c>
      <c r="W41">
        <f>HYPERLINK("https://klasma.github.io/Logging_2513/artfynd/A 62951-2025 artfynd.xlsx", "A 62951-2025")</f>
        <v/>
      </c>
      <c r="X41">
        <f>HYPERLINK("https://klasma.github.io/Logging_2513/kartor/A 62951-2025 karta.png", "A 62951-2025")</f>
        <v/>
      </c>
      <c r="Y41">
        <f>HYPERLINK("https://klasma.github.io/Logging_2513/kartor_geotiff/A 62951-2025 georefererad karta.tif", "A 62951-2025")</f>
        <v/>
      </c>
      <c r="AA41">
        <f>HYPERLINK("https://klasma.github.io/Logging_2513/klagomål/A 62951-2025 FSC-klagomål.docx", "A 62951-2025")</f>
        <v/>
      </c>
      <c r="AB41">
        <f>HYPERLINK("https://klasma.github.io/Logging_2513/klagomålsmail/A 62951-2025 FSC-klagomål mail.docx", "A 62951-2025")</f>
        <v/>
      </c>
      <c r="AC41">
        <f>HYPERLINK("https://klasma.github.io/Logging_2513/tillsyn/A 62951-2025 tillsynsbegäran.docx", "A 62951-2025")</f>
        <v/>
      </c>
      <c r="AD41">
        <f>HYPERLINK("https://klasma.github.io/Logging_2513/tillsynsmail/A 62951-2025 tillsynsbegäran mail.docx", "A 62951-2025")</f>
        <v/>
      </c>
    </row>
    <row r="42" ht="15" customHeight="1">
      <c r="A42" t="inlineStr">
        <is>
          <t>A 36803-2023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46253</v>
      </c>
      <c r="F42" t="inlineStr">
        <is>
          <t>NORRBOTTENS LÄN</t>
        </is>
      </c>
      <c r="G42" t="inlineStr">
        <is>
          <t>ÖVERKALIX</t>
        </is>
      </c>
      <c r="I42" t="n">
        <v>3.1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6</v>
      </c>
      <c r="U42" t="n">
        <v>6</v>
      </c>
      <c r="V42" s="2" t="inlineStr">
        <is>
          <t>Knärot
Revlummer</t>
        </is>
      </c>
      <c r="W42">
        <f>HYPERLINK("https://klasma.github.io/Logging_2513/artfynd/A 36803-2023 artfynd.xlsx", "A 36803-2023")</f>
        <v/>
      </c>
      <c r="X42">
        <f>HYPERLINK("https://klasma.github.io/Logging_2513/kartor/A 36803-2023 karta.png", "A 36803-2023")</f>
        <v/>
      </c>
      <c r="Y42">
        <f>HYPERLINK("https://klasma.github.io/Logging_2513/kartor_geotiff/A 36803-2023 georefererad karta.tif", "A 36803-2023")</f>
        <v/>
      </c>
      <c r="Z42">
        <f>HYPERLINK("https://klasma.github.io/Logging_2513/knärot/A 36803-2023 karta knärot.png", "A 36803-2023")</f>
        <v/>
      </c>
      <c r="AA42">
        <f>HYPERLINK("https://klasma.github.io/Logging_2513/klagomål/A 36803-2023 FSC-klagomål.docx", "A 36803-2023")</f>
        <v/>
      </c>
      <c r="AB42">
        <f>HYPERLINK("https://klasma.github.io/Logging_2513/klagomålsmail/A 36803-2023 FSC-klagomål mail.docx", "A 36803-2023")</f>
        <v/>
      </c>
      <c r="AC42">
        <f>HYPERLINK("https://klasma.github.io/Logging_2513/tillsyn/A 36803-2023 tillsynsbegäran.docx", "A 36803-2023")</f>
        <v/>
      </c>
      <c r="AD42">
        <f>HYPERLINK("https://klasma.github.io/Logging_2513/tillsynsmail/A 36803-2023 tillsynsbegäran mail.docx", "A 36803-2023")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46253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46253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46253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60509-2021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44496</v>
      </c>
      <c r="E46" s="1" t="n">
        <v>46253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13.5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Stor aspticka
Vedticka</t>
        </is>
      </c>
      <c r="W46">
        <f>HYPERLINK("https://klasma.github.io/Logging_2513/artfynd/A 60509-2021 artfynd.xlsx", "A 60509-2021")</f>
        <v/>
      </c>
      <c r="X46">
        <f>HYPERLINK("https://klasma.github.io/Logging_2513/kartor/A 60509-2021 karta.png", "A 60509-2021")</f>
        <v/>
      </c>
      <c r="Y46">
        <f>HYPERLINK("https://klasma.github.io/Logging_2513/kartor_geotiff/A 60509-2021 georefererad karta.tif", "A 60509-2021")</f>
        <v/>
      </c>
      <c r="AA46">
        <f>HYPERLINK("https://klasma.github.io/Logging_2513/klagomål/A 60509-2021 FSC-klagomål.docx", "A 60509-2021")</f>
        <v/>
      </c>
      <c r="AB46">
        <f>HYPERLINK("https://klasma.github.io/Logging_2513/klagomålsmail/A 60509-2021 FSC-klagomål mail.docx", "A 60509-2021")</f>
        <v/>
      </c>
      <c r="AC46">
        <f>HYPERLINK("https://klasma.github.io/Logging_2513/tillsyn/A 60509-2021 tillsynsbegäran.docx", "A 60509-2021")</f>
        <v/>
      </c>
      <c r="AD46">
        <f>HYPERLINK("https://klasma.github.io/Logging_2513/tillsynsmail/A 60509-2021 tillsynsbegäran mail.docx", "A 60509-2021")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46253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46253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21777-2024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46253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30.5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HYPERLINK("https://klasma.github.io/Logging_2513/artfynd/A 21777-2024 artfynd.xlsx", "A 21777-2024")</f>
        <v/>
      </c>
      <c r="X49">
        <f>HYPERLINK("https://klasma.github.io/Logging_2513/kartor/A 21777-2024 karta.png", "A 21777-2024")</f>
        <v/>
      </c>
      <c r="Y49">
        <f>HYPERLINK("https://klasma.github.io/Logging_2513/kartor_geotiff/A 21777-2024 georefererad karta.tif", "A 21777-2024")</f>
        <v/>
      </c>
      <c r="AA49">
        <f>HYPERLINK("https://klasma.github.io/Logging_2513/klagomål/A 21777-2024 FSC-klagomål.docx", "A 21777-2024")</f>
        <v/>
      </c>
      <c r="AB49">
        <f>HYPERLINK("https://klasma.github.io/Logging_2513/klagomålsmail/A 21777-2024 FSC-klagomål mail.docx", "A 21777-2024")</f>
        <v/>
      </c>
      <c r="AC49">
        <f>HYPERLINK("https://klasma.github.io/Logging_2513/tillsyn/A 21777-2024 tillsynsbegäran.docx", "A 21777-2024")</f>
        <v/>
      </c>
      <c r="AD49">
        <f>HYPERLINK("https://klasma.github.io/Logging_2513/tillsynsmail/A 21777-2024 tillsynsbegäran mail.docx", "A 21777-2024")</f>
        <v/>
      </c>
    </row>
    <row r="50" ht="15" customHeight="1">
      <c r="A50" t="inlineStr">
        <is>
          <t>A 26305-2025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45805</v>
      </c>
      <c r="E50" s="1" t="n">
        <v>46253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Luddlav</t>
        </is>
      </c>
      <c r="W50">
        <f>HYPERLINK("https://klasma.github.io/Logging_2513/artfynd/A 26305-2025 artfynd.xlsx", "A 26305-2025")</f>
        <v/>
      </c>
      <c r="X50">
        <f>HYPERLINK("https://klasma.github.io/Logging_2513/kartor/A 26305-2025 karta.png", "A 26305-2025")</f>
        <v/>
      </c>
      <c r="Y50">
        <f>HYPERLINK("https://klasma.github.io/Logging_2513/kartor_geotiff/A 26305-2025 georefererad karta.tif", "A 26305-2025")</f>
        <v/>
      </c>
      <c r="AA50">
        <f>HYPERLINK("https://klasma.github.io/Logging_2513/klagomål/A 26305-2025 FSC-klagomål.docx", "A 26305-2025")</f>
        <v/>
      </c>
      <c r="AB50">
        <f>HYPERLINK("https://klasma.github.io/Logging_2513/klagomålsmail/A 26305-2025 FSC-klagomål mail.docx", "A 26305-2025")</f>
        <v/>
      </c>
      <c r="AC50">
        <f>HYPERLINK("https://klasma.github.io/Logging_2513/tillsyn/A 26305-2025 tillsynsbegäran.docx", "A 26305-2025")</f>
        <v/>
      </c>
      <c r="AD50">
        <f>HYPERLINK("https://klasma.github.io/Logging_2513/tillsynsmail/A 26305-2025 tillsynsbegäran mail.docx", "A 26305-2025")</f>
        <v/>
      </c>
    </row>
    <row r="51" ht="15" customHeight="1">
      <c r="A51" t="inlineStr">
        <is>
          <t>A 27452-2025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45813</v>
      </c>
      <c r="E51" s="1" t="n">
        <v>46253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HYPERLINK("https://klasma.github.io/Logging_2513/artfynd/A 27452-2025 artfynd.xlsx", "A 27452-2025")</f>
        <v/>
      </c>
      <c r="X51">
        <f>HYPERLINK("https://klasma.github.io/Logging_2513/kartor/A 27452-2025 karta.png", "A 27452-2025")</f>
        <v/>
      </c>
      <c r="Y51">
        <f>HYPERLINK("https://klasma.github.io/Logging_2513/kartor_geotiff/A 27452-2025 georefererad karta.tif", "A 27452-2025")</f>
        <v/>
      </c>
      <c r="AA51">
        <f>HYPERLINK("https://klasma.github.io/Logging_2513/klagomål/A 27452-2025 FSC-klagomål.docx", "A 27452-2025")</f>
        <v/>
      </c>
      <c r="AB51">
        <f>HYPERLINK("https://klasma.github.io/Logging_2513/klagomålsmail/A 27452-2025 FSC-klagomål mail.docx", "A 27452-2025")</f>
        <v/>
      </c>
      <c r="AC51">
        <f>HYPERLINK("https://klasma.github.io/Logging_2513/tillsyn/A 27452-2025 tillsynsbegäran.docx", "A 27452-2025")</f>
        <v/>
      </c>
      <c r="AD51">
        <f>HYPERLINK("https://klasma.github.io/Logging_2513/tillsynsmail/A 27452-2025 tillsynsbegäran mail.docx", "A 27452-2025")</f>
        <v/>
      </c>
      <c r="AE51">
        <f>HYPERLINK("https://klasma.github.io/Logging_2513/fåglar/A 27452-2025 prioriterade fågelarter.docx", "A 27452-2025")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46253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35602-2025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45859</v>
      </c>
      <c r="E53" s="1" t="n">
        <v>46253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HYPERLINK("https://klasma.github.io/Logging_2513/artfynd/A 35602-2025 artfynd.xlsx", "A 35602-2025")</f>
        <v/>
      </c>
      <c r="X53">
        <f>HYPERLINK("https://klasma.github.io/Logging_2513/kartor/A 35602-2025 karta.png", "A 35602-2025")</f>
        <v/>
      </c>
      <c r="Y53">
        <f>HYPERLINK("https://klasma.github.io/Logging_2513/kartor_geotiff/A 35602-2025 georefererad karta.tif", "A 35602-2025")</f>
        <v/>
      </c>
      <c r="AA53">
        <f>HYPERLINK("https://klasma.github.io/Logging_2513/klagomål/A 35602-2025 FSC-klagomål.docx", "A 35602-2025")</f>
        <v/>
      </c>
      <c r="AB53">
        <f>HYPERLINK("https://klasma.github.io/Logging_2513/klagomålsmail/A 35602-2025 FSC-klagomål mail.docx", "A 35602-2025")</f>
        <v/>
      </c>
      <c r="AC53">
        <f>HYPERLINK("https://klasma.github.io/Logging_2513/tillsyn/A 35602-2025 tillsynsbegäran.docx", "A 35602-2025")</f>
        <v/>
      </c>
      <c r="AD53">
        <f>HYPERLINK("https://klasma.github.io/Logging_2513/tillsynsmail/A 35602-2025 tillsynsbegäran mail.docx", "A 35602-2025")</f>
        <v/>
      </c>
    </row>
    <row r="54" ht="15" customHeight="1">
      <c r="A54" t="inlineStr">
        <is>
          <t>A 37532-2022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46253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 taggsvamp</t>
        </is>
      </c>
      <c r="W54">
        <f>HYPERLINK("https://klasma.github.io/Logging_2513/artfynd/A 37532-2022 artfynd.xlsx", "A 37532-2022")</f>
        <v/>
      </c>
      <c r="X54">
        <f>HYPERLINK("https://klasma.github.io/Logging_2513/kartor/A 37532-2022 karta.png", "A 37532-2022")</f>
        <v/>
      </c>
      <c r="Y54">
        <f>HYPERLINK("https://klasma.github.io/Logging_2513/kartor_geotiff/A 37532-2022 georefererad karta.tif", "A 37532-2022")</f>
        <v/>
      </c>
      <c r="AA54">
        <f>HYPERLINK("https://klasma.github.io/Logging_2513/klagomål/A 37532-2022 FSC-klagomål.docx", "A 37532-2022")</f>
        <v/>
      </c>
      <c r="AB54">
        <f>HYPERLINK("https://klasma.github.io/Logging_2513/klagomålsmail/A 37532-2022 FSC-klagomål mail.docx", "A 37532-2022")</f>
        <v/>
      </c>
      <c r="AC54">
        <f>HYPERLINK("https://klasma.github.io/Logging_2513/tillsyn/A 37532-2022 tillsynsbegäran.docx", "A 37532-2022")</f>
        <v/>
      </c>
      <c r="AD54">
        <f>HYPERLINK("https://klasma.github.io/Logging_2513/tillsynsmail/A 37532-2022 tillsynsbegäran mail.docx", "A 37532-2022")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46253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20949-2026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46142</v>
      </c>
      <c r="E56" s="1" t="n">
        <v>46253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9.1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20949-2026 artfynd.xlsx", "A 20949-2026")</f>
        <v/>
      </c>
      <c r="X56">
        <f>HYPERLINK("https://klasma.github.io/Logging_2513/kartor/A 20949-2026 karta.png", "A 20949-2026")</f>
        <v/>
      </c>
      <c r="Y56">
        <f>HYPERLINK("https://klasma.github.io/Logging_2513/kartor_geotiff/A 20949-2026 georefererad karta.tif", "A 20949-2026")</f>
        <v/>
      </c>
      <c r="AA56">
        <f>HYPERLINK("https://klasma.github.io/Logging_2513/klagomål/A 20949-2026 FSC-klagomål.docx", "A 20949-2026")</f>
        <v/>
      </c>
      <c r="AB56">
        <f>HYPERLINK("https://klasma.github.io/Logging_2513/klagomålsmail/A 20949-2026 FSC-klagomål mail.docx", "A 20949-2026")</f>
        <v/>
      </c>
      <c r="AC56">
        <f>HYPERLINK("https://klasma.github.io/Logging_2513/tillsyn/A 20949-2026 tillsynsbegäran.docx", "A 20949-2026")</f>
        <v/>
      </c>
      <c r="AD56">
        <f>HYPERLINK("https://klasma.github.io/Logging_2513/tillsynsmail/A 20949-2026 tillsynsbegäran mail.docx", "A 20949-2026")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46253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31920-2026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46231</v>
      </c>
      <c r="E58" s="1" t="n">
        <v>46253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HYPERLINK("https://klasma.github.io/Logging_2513/artfynd/A 31920-2026 artfynd.xlsx", "A 31920-2026")</f>
        <v/>
      </c>
      <c r="X58">
        <f>HYPERLINK("https://klasma.github.io/Logging_2513/kartor/A 31920-2026 karta.png", "A 31920-2026")</f>
        <v/>
      </c>
      <c r="Y58">
        <f>HYPERLINK("https://klasma.github.io/Logging_2513/kartor_geotiff/A 31920-2026 georefererad karta.tif", "A 31920-2026")</f>
        <v/>
      </c>
      <c r="AA58">
        <f>HYPERLINK("https://klasma.github.io/Logging_2513/klagomål/A 31920-2026 FSC-klagomål.docx", "A 31920-2026")</f>
        <v/>
      </c>
      <c r="AB58">
        <f>HYPERLINK("https://klasma.github.io/Logging_2513/klagomålsmail/A 31920-2026 FSC-klagomål mail.docx", "A 31920-2026")</f>
        <v/>
      </c>
      <c r="AC58">
        <f>HYPERLINK("https://klasma.github.io/Logging_2513/tillsyn/A 31920-2026 tillsynsbegäran.docx", "A 31920-2026")</f>
        <v/>
      </c>
      <c r="AD58">
        <f>HYPERLINK("https://klasma.github.io/Logging_2513/tillsynsmail/A 31920-2026 tillsynsbegäran mail.docx", "A 31920-2026")</f>
        <v/>
      </c>
    </row>
    <row r="59" ht="15" customHeight="1">
      <c r="A59" t="inlineStr">
        <is>
          <t>A 8407-2025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45709</v>
      </c>
      <c r="E59" s="1" t="n">
        <v>46253</v>
      </c>
      <c r="F59" t="inlineStr">
        <is>
          <t>NORRBOTTENS LÄN</t>
        </is>
      </c>
      <c r="G59" t="inlineStr">
        <is>
          <t>ÖVERKALIX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Tallbit</t>
        </is>
      </c>
      <c r="W59">
        <f>HYPERLINK("https://klasma.github.io/Logging_2513/artfynd/A 8407-2025 artfynd.xlsx", "A 8407-2025")</f>
        <v/>
      </c>
      <c r="X59">
        <f>HYPERLINK("https://klasma.github.io/Logging_2513/kartor/A 8407-2025 karta.png", "A 8407-2025")</f>
        <v/>
      </c>
      <c r="Y59">
        <f>HYPERLINK("https://klasma.github.io/Logging_2513/kartor_geotiff/A 8407-2025 georefererad karta.tif", "A 8407-2025")</f>
        <v/>
      </c>
      <c r="AA59">
        <f>HYPERLINK("https://klasma.github.io/Logging_2513/klagomål/A 8407-2025 FSC-klagomål.docx", "A 8407-2025")</f>
        <v/>
      </c>
      <c r="AB59">
        <f>HYPERLINK("https://klasma.github.io/Logging_2513/klagomålsmail/A 8407-2025 FSC-klagomål mail.docx", "A 8407-2025")</f>
        <v/>
      </c>
      <c r="AC59">
        <f>HYPERLINK("https://klasma.github.io/Logging_2513/tillsyn/A 8407-2025 tillsynsbegäran.docx", "A 8407-2025")</f>
        <v/>
      </c>
      <c r="AD59">
        <f>HYPERLINK("https://klasma.github.io/Logging_2513/tillsynsmail/A 8407-2025 tillsynsbegäran mail.docx", "A 8407-2025")</f>
        <v/>
      </c>
      <c r="AE59">
        <f>HYPERLINK("https://klasma.github.io/Logging_2513/fåglar/A 8407-2025 prioriterade fågelarter.docx", "A 8407-2025")</f>
        <v/>
      </c>
    </row>
    <row r="60" ht="15" customHeight="1">
      <c r="A60" t="inlineStr">
        <is>
          <t>A 7234-2023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46253</v>
      </c>
      <c r="F60" t="inlineStr">
        <is>
          <t>NORRBOTTENS LÄN</t>
        </is>
      </c>
      <c r="G60" t="inlineStr">
        <is>
          <t>ÖVERKALIX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HYPERLINK("https://klasma.github.io/Logging_2513/artfynd/A 7234-2023 artfynd.xlsx", "A 7234-2023")</f>
        <v/>
      </c>
      <c r="X60">
        <f>HYPERLINK("https://klasma.github.io/Logging_2513/kartor/A 7234-2023 karta.png", "A 7234-2023")</f>
        <v/>
      </c>
      <c r="Y60">
        <f>HYPERLINK("https://klasma.github.io/Logging_2513/kartor_geotiff/A 7234-2023 georefererad karta.tif", "A 7234-2023")</f>
        <v/>
      </c>
      <c r="AA60">
        <f>HYPERLINK("https://klasma.github.io/Logging_2513/klagomål/A 7234-2023 FSC-klagomål.docx", "A 7234-2023")</f>
        <v/>
      </c>
      <c r="AB60">
        <f>HYPERLINK("https://klasma.github.io/Logging_2513/klagomålsmail/A 7234-2023 FSC-klagomål mail.docx", "A 7234-2023")</f>
        <v/>
      </c>
      <c r="AC60">
        <f>HYPERLINK("https://klasma.github.io/Logging_2513/tillsyn/A 7234-2023 tillsynsbegäran.docx", "A 7234-2023")</f>
        <v/>
      </c>
      <c r="AD60">
        <f>HYPERLINK("https://klasma.github.io/Logging_2513/tillsynsmail/A 7234-2023 tillsynsbegäran mail.docx", "A 7234-2023")</f>
        <v/>
      </c>
      <c r="AE60">
        <f>HYPERLINK("https://klasma.github.io/Logging_2513/fåglar/A 7234-2023 prioriterade fågelarter.docx", "A 7234-2023")</f>
        <v/>
      </c>
    </row>
    <row r="61" ht="15" customHeight="1">
      <c r="A61" t="inlineStr">
        <is>
          <t>A 46280-2024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46253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Spillkråka</t>
        </is>
      </c>
      <c r="W61">
        <f>HYPERLINK("https://klasma.github.io/Logging_2513/artfynd/A 46280-2024 artfynd.xlsx", "A 46280-2024")</f>
        <v/>
      </c>
      <c r="X61">
        <f>HYPERLINK("https://klasma.github.io/Logging_2513/kartor/A 46280-2024 karta.png", "A 46280-2024")</f>
        <v/>
      </c>
      <c r="Y61">
        <f>HYPERLINK("https://klasma.github.io/Logging_2513/kartor_geotiff/A 46280-2024 georefererad karta.tif", "A 46280-2024")</f>
        <v/>
      </c>
      <c r="AA61">
        <f>HYPERLINK("https://klasma.github.io/Logging_2513/klagomål/A 46280-2024 FSC-klagomål.docx", "A 46280-2024")</f>
        <v/>
      </c>
      <c r="AB61">
        <f>HYPERLINK("https://klasma.github.io/Logging_2513/klagomålsmail/A 46280-2024 FSC-klagomål mail.docx", "A 46280-2024")</f>
        <v/>
      </c>
      <c r="AC61">
        <f>HYPERLINK("https://klasma.github.io/Logging_2513/tillsyn/A 46280-2024 tillsynsbegäran.docx", "A 46280-2024")</f>
        <v/>
      </c>
      <c r="AD61">
        <f>HYPERLINK("https://klasma.github.io/Logging_2513/tillsynsmail/A 46280-2024 tillsynsbegäran mail.docx", "A 46280-2024")</f>
        <v/>
      </c>
      <c r="AE61">
        <f>HYPERLINK("https://klasma.github.io/Logging_2513/fåglar/A 46280-2024 prioriterade fågelarter.docx", "A 46280-2024")</f>
        <v/>
      </c>
    </row>
    <row r="62" ht="15" customHeight="1">
      <c r="A62" t="inlineStr">
        <is>
          <t>A 46281-2024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46253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HYPERLINK("https://klasma.github.io/Logging_2513/artfynd/A 46281-2024 artfynd.xlsx", "A 46281-2024")</f>
        <v/>
      </c>
      <c r="X62">
        <f>HYPERLINK("https://klasma.github.io/Logging_2513/kartor/A 46281-2024 karta.png", "A 46281-2024")</f>
        <v/>
      </c>
      <c r="Y62">
        <f>HYPERLINK("https://klasma.github.io/Logging_2513/kartor_geotiff/A 46281-2024 georefererad karta.tif", "A 46281-2024")</f>
        <v/>
      </c>
      <c r="AA62">
        <f>HYPERLINK("https://klasma.github.io/Logging_2513/klagomål/A 46281-2024 FSC-klagomål.docx", "A 46281-2024")</f>
        <v/>
      </c>
      <c r="AB62">
        <f>HYPERLINK("https://klasma.github.io/Logging_2513/klagomålsmail/A 46281-2024 FSC-klagomål mail.docx", "A 46281-2024")</f>
        <v/>
      </c>
      <c r="AC62">
        <f>HYPERLINK("https://klasma.github.io/Logging_2513/tillsyn/A 46281-2024 tillsynsbegäran.docx", "A 46281-2024")</f>
        <v/>
      </c>
      <c r="AD62">
        <f>HYPERLINK("https://klasma.github.io/Logging_2513/tillsynsmail/A 46281-2024 tillsynsbegäran mail.docx", "A 46281-2024")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46253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46253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46253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44830-2021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44438</v>
      </c>
      <c r="E66" s="1" t="n">
        <v>46253</v>
      </c>
      <c r="F66" t="inlineStr">
        <is>
          <t>NORRBOTTENS LÄN</t>
        </is>
      </c>
      <c r="G66" t="inlineStr">
        <is>
          <t>ÖVERKALIX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44718</v>
      </c>
      <c r="E67" s="1" t="n">
        <v>46253</v>
      </c>
      <c r="F67" t="inlineStr">
        <is>
          <t>NORRBOTTENS LÄN</t>
        </is>
      </c>
      <c r="G67" t="inlineStr">
        <is>
          <t>ÖVERKALIX</t>
        </is>
      </c>
      <c r="I67" t="n">
        <v>13.2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46253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46253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46253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46253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46253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46253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46253</v>
      </c>
      <c r="F74" t="inlineStr">
        <is>
          <t>NORRBOTTENS LÄN</t>
        </is>
      </c>
      <c r="G74" t="inlineStr">
        <is>
          <t>ÖVERKALIX</t>
        </is>
      </c>
      <c r="H74" t="inlineStr">
        <is>
          <t>SCA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47629-2021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44448</v>
      </c>
      <c r="E75" s="1" t="n">
        <v>46253</v>
      </c>
      <c r="F75" t="inlineStr">
        <is>
          <t>NORRBOTTENS LÄN</t>
        </is>
      </c>
      <c r="G75" t="inlineStr">
        <is>
          <t>ÖVERKALIX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46253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44435</v>
      </c>
      <c r="E77" s="1" t="n">
        <v>46253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33497-2022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44788</v>
      </c>
      <c r="E78" s="1" t="n">
        <v>46253</v>
      </c>
      <c r="F78" t="inlineStr">
        <is>
          <t>NORRBOTTENS LÄN</t>
        </is>
      </c>
      <c r="G78" t="inlineStr">
        <is>
          <t>ÖVERKALIX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46253</v>
      </c>
      <c r="F79" t="inlineStr">
        <is>
          <t>NORRBOTTENS LÄN</t>
        </is>
      </c>
      <c r="G79" t="inlineStr">
        <is>
          <t>ÖVERKALIX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52869-2021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46253</v>
      </c>
      <c r="F80" t="inlineStr">
        <is>
          <t>NORRBOTTENS LÄN</t>
        </is>
      </c>
      <c r="G80" t="inlineStr">
        <is>
          <t>ÖVERKALIX</t>
        </is>
      </c>
      <c r="I80" t="n">
        <v>12.6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44432</v>
      </c>
      <c r="E81" s="1" t="n">
        <v>46253</v>
      </c>
      <c r="F81" t="inlineStr">
        <is>
          <t>NORRBOTTENS LÄN</t>
        </is>
      </c>
      <c r="G81" t="inlineStr">
        <is>
          <t>ÖVERKALIX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46253</v>
      </c>
      <c r="F82" t="inlineStr">
        <is>
          <t>NORRBOTTENS LÄN</t>
        </is>
      </c>
      <c r="G82" t="inlineStr">
        <is>
          <t>ÖVERKALIX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44623</v>
      </c>
      <c r="E83" s="1" t="n">
        <v>46253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46253</v>
      </c>
      <c r="F84" t="inlineStr">
        <is>
          <t>NORRBOTTENS LÄN</t>
        </is>
      </c>
      <c r="G84" t="inlineStr">
        <is>
          <t>ÖVERKALIX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44433</v>
      </c>
      <c r="E85" s="1" t="n">
        <v>46253</v>
      </c>
      <c r="F85" t="inlineStr">
        <is>
          <t>NORRBOTTENS LÄN</t>
        </is>
      </c>
      <c r="G85" t="inlineStr">
        <is>
          <t>ÖVERKALIX</t>
        </is>
      </c>
      <c r="H85" t="inlineStr">
        <is>
          <t>Sveaskog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46253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44530</v>
      </c>
      <c r="E87" s="1" t="n">
        <v>46253</v>
      </c>
      <c r="F87" t="inlineStr">
        <is>
          <t>NORRBOTTENS LÄN</t>
        </is>
      </c>
      <c r="G87" t="inlineStr">
        <is>
          <t>ÖVERKALIX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46253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46253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6916-2022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44602</v>
      </c>
      <c r="E90" s="1" t="n">
        <v>46253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15.6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46253</v>
      </c>
      <c r="F91" t="inlineStr">
        <is>
          <t>NORRBOTTENS LÄN</t>
        </is>
      </c>
      <c r="G91" t="inlineStr">
        <is>
          <t>ÖVERKALIX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46253</v>
      </c>
      <c r="F92" t="inlineStr">
        <is>
          <t>NORRBOTTENS LÄN</t>
        </is>
      </c>
      <c r="G92" t="inlineStr">
        <is>
          <t>ÖVERKALIX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45709</v>
      </c>
      <c r="E93" s="1" t="n">
        <v>46253</v>
      </c>
      <c r="F93" t="inlineStr">
        <is>
          <t>NORRBOTTENS LÄN</t>
        </is>
      </c>
      <c r="G93" t="inlineStr">
        <is>
          <t>ÖVERKALIX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46253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46253</v>
      </c>
      <c r="F95" t="inlineStr">
        <is>
          <t>NORRBOTTENS LÄN</t>
        </is>
      </c>
      <c r="G95" t="inlineStr">
        <is>
          <t>ÖVERKALIX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46253</v>
      </c>
      <c r="F96" t="inlineStr">
        <is>
          <t>NORRBOTTENS LÄN</t>
        </is>
      </c>
      <c r="G96" t="inlineStr">
        <is>
          <t>ÖVERKALIX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19985-2025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46253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19541-2024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46253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46253</v>
      </c>
      <c r="F99" t="inlineStr">
        <is>
          <t>NORRBOTTENS LÄN</t>
        </is>
      </c>
      <c r="G99" t="inlineStr">
        <is>
          <t>ÖVERKALIX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45379</v>
      </c>
      <c r="E100" s="1" t="n">
        <v>46253</v>
      </c>
      <c r="F100" t="inlineStr">
        <is>
          <t>NORRBOTTENS LÄN</t>
        </is>
      </c>
      <c r="G100" t="inlineStr">
        <is>
          <t>ÖVERKALIX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46253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46253</v>
      </c>
      <c r="F102" t="inlineStr">
        <is>
          <t>NORRBOTTENS LÄN</t>
        </is>
      </c>
      <c r="G102" t="inlineStr">
        <is>
          <t>ÖVERKALIX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46253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46253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46945-2021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46253</v>
      </c>
      <c r="F105" t="inlineStr">
        <is>
          <t>NORRBOTTENS LÄN</t>
        </is>
      </c>
      <c r="G105" t="inlineStr">
        <is>
          <t>ÖVERKALIX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45075</v>
      </c>
      <c r="E106" s="1" t="n">
        <v>46253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72809-2021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46253</v>
      </c>
      <c r="F107" t="inlineStr">
        <is>
          <t>NORRBOTTENS LÄN</t>
        </is>
      </c>
      <c r="G107" t="inlineStr">
        <is>
          <t>ÖVERKALIX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45463</v>
      </c>
      <c r="E108" s="1" t="n">
        <v>46253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46253</v>
      </c>
      <c r="F109" t="inlineStr">
        <is>
          <t>NORRBOTTENS LÄN</t>
        </is>
      </c>
      <c r="G109" t="inlineStr">
        <is>
          <t>ÖVERKALIX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46253</v>
      </c>
      <c r="F110" t="inlineStr">
        <is>
          <t>NORRBOTTENS LÄN</t>
        </is>
      </c>
      <c r="G110" t="inlineStr">
        <is>
          <t>ÖVERKALIX</t>
        </is>
      </c>
      <c r="I110" t="n">
        <v>21.7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46253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46253</v>
      </c>
      <c r="F112" t="inlineStr">
        <is>
          <t>NORRBOTTENS LÄN</t>
        </is>
      </c>
      <c r="G112" t="inlineStr">
        <is>
          <t>ÖVERKALIX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46253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46253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20580-2024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45436</v>
      </c>
      <c r="E115" s="1" t="n">
        <v>46253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29.9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45460</v>
      </c>
      <c r="E116" s="1" t="n">
        <v>46253</v>
      </c>
      <c r="F116" t="inlineStr">
        <is>
          <t>NORRBOTTENS LÄN</t>
        </is>
      </c>
      <c r="G116" t="inlineStr">
        <is>
          <t>ÖVERKALIX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46253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44899</v>
      </c>
      <c r="E118" s="1" t="n">
        <v>46253</v>
      </c>
      <c r="F118" t="inlineStr">
        <is>
          <t>NORRBOTTENS LÄN</t>
        </is>
      </c>
      <c r="G118" t="inlineStr">
        <is>
          <t>ÖVERKALIX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44306-2021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44435</v>
      </c>
      <c r="E119" s="1" t="n">
        <v>46253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45518</v>
      </c>
      <c r="E120" s="1" t="n">
        <v>46253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45518</v>
      </c>
      <c r="E121" s="1" t="n">
        <v>46253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46253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46253</v>
      </c>
      <c r="F123" t="inlineStr">
        <is>
          <t>NORRBOTTENS LÄN</t>
        </is>
      </c>
      <c r="G123" t="inlineStr">
        <is>
          <t>ÖVERKALIX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46253</v>
      </c>
      <c r="F124" t="inlineStr">
        <is>
          <t>NORRBOTTENS LÄN</t>
        </is>
      </c>
      <c r="G124" t="inlineStr">
        <is>
          <t>ÖVERKALIX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46253</v>
      </c>
      <c r="F125" t="inlineStr">
        <is>
          <t>NORRBOTTENS LÄN</t>
        </is>
      </c>
      <c r="G125" t="inlineStr">
        <is>
          <t>ÖVERKALIX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46253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46253</v>
      </c>
      <c r="F127" t="inlineStr">
        <is>
          <t>NORRBOTTENS LÄN</t>
        </is>
      </c>
      <c r="G127" t="inlineStr">
        <is>
          <t>ÖVERKALIX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46253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46253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46253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46253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46253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45513</v>
      </c>
      <c r="E133" s="1" t="n">
        <v>46253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9.800000000000001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46253</v>
      </c>
      <c r="F134" t="inlineStr">
        <is>
          <t>NORRBOTTENS LÄN</t>
        </is>
      </c>
      <c r="G134" t="inlineStr">
        <is>
          <t>ÖVERKALIX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46253</v>
      </c>
      <c r="F135" t="inlineStr">
        <is>
          <t>NORRBOTTENS LÄN</t>
        </is>
      </c>
      <c r="G135" t="inlineStr">
        <is>
          <t>ÖVERKALIX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46253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46253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46253</v>
      </c>
      <c r="F138" t="inlineStr">
        <is>
          <t>NORRBOTTENS LÄN</t>
        </is>
      </c>
      <c r="G138" t="inlineStr">
        <is>
          <t>ÖVERKALIX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46253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46253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46253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46253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46253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17.2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46253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46253</v>
      </c>
      <c r="F145" t="inlineStr">
        <is>
          <t>NORRBOTTENS LÄN</t>
        </is>
      </c>
      <c r="G145" t="inlineStr">
        <is>
          <t>ÖVERKALIX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46253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46253</v>
      </c>
      <c r="F147" t="inlineStr">
        <is>
          <t>NORRBOTTENS LÄN</t>
        </is>
      </c>
      <c r="G147" t="inlineStr">
        <is>
          <t>ÖVERKALIX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46253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24.4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46253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46253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46253</v>
      </c>
      <c r="F151" t="inlineStr">
        <is>
          <t>NORRBOTTENS LÄN</t>
        </is>
      </c>
      <c r="G151" t="inlineStr">
        <is>
          <t>ÖVERKALIX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45826</v>
      </c>
      <c r="E152" s="1" t="n">
        <v>46253</v>
      </c>
      <c r="F152" t="inlineStr">
        <is>
          <t>NORRBOTTENS LÄN</t>
        </is>
      </c>
      <c r="G152" t="inlineStr">
        <is>
          <t>ÖVERKALIX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46253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44950</v>
      </c>
      <c r="E154" s="1" t="n">
        <v>46253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46253</v>
      </c>
      <c r="F155" t="inlineStr">
        <is>
          <t>NORRBOTTENS LÄN</t>
        </is>
      </c>
      <c r="G155" t="inlineStr">
        <is>
          <t>ÖVERKALIX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46055</v>
      </c>
      <c r="E156" s="1" t="n">
        <v>46253</v>
      </c>
      <c r="F156" t="inlineStr">
        <is>
          <t>NORRBOTTENS LÄN</t>
        </is>
      </c>
      <c r="G156" t="inlineStr">
        <is>
          <t>ÖVERKALIX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46253</v>
      </c>
      <c r="F157" t="inlineStr">
        <is>
          <t>NORRBOTTENS LÄN</t>
        </is>
      </c>
      <c r="G157" t="inlineStr">
        <is>
          <t>ÖVERKALIX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46253</v>
      </c>
      <c r="F158" t="inlineStr">
        <is>
          <t>NORRBOTTENS LÄN</t>
        </is>
      </c>
      <c r="G158" t="inlineStr">
        <is>
          <t>ÖVERKALIX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45890</v>
      </c>
      <c r="E159" s="1" t="n">
        <v>46253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13.4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45807</v>
      </c>
      <c r="E160" s="1" t="n">
        <v>46253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46253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46253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46253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45807</v>
      </c>
      <c r="E164" s="1" t="n">
        <v>46253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37.4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46253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19529-2024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45429</v>
      </c>
      <c r="E166" s="1" t="n">
        <v>46253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31744-2025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45834</v>
      </c>
      <c r="E167" s="1" t="n">
        <v>46253</v>
      </c>
      <c r="F167" t="inlineStr">
        <is>
          <t>NORRBOTTENS LÄN</t>
        </is>
      </c>
      <c r="G167" t="inlineStr">
        <is>
          <t>ÖVERKALIX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45401</v>
      </c>
      <c r="E168" s="1" t="n">
        <v>46253</v>
      </c>
      <c r="F168" t="inlineStr">
        <is>
          <t>NORRBOTTENS LÄN</t>
        </is>
      </c>
      <c r="G168" t="inlineStr">
        <is>
          <t>ÖVERKALIX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46253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46253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46253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45837</v>
      </c>
      <c r="E172" s="1" t="n">
        <v>46253</v>
      </c>
      <c r="F172" t="inlineStr">
        <is>
          <t>NORRBOTTENS LÄN</t>
        </is>
      </c>
      <c r="G172" t="inlineStr">
        <is>
          <t>ÖVERKALIX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46253</v>
      </c>
      <c r="F173" t="inlineStr">
        <is>
          <t>NORRBOTTENS LÄN</t>
        </is>
      </c>
      <c r="G173" t="inlineStr">
        <is>
          <t>ÖVERKALIX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45904</v>
      </c>
      <c r="E174" s="1" t="n">
        <v>46253</v>
      </c>
      <c r="F174" t="inlineStr">
        <is>
          <t>NORRBOTTENS LÄN</t>
        </is>
      </c>
      <c r="G174" t="inlineStr">
        <is>
          <t>ÖVERKALIX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46253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46253</v>
      </c>
      <c r="F176" t="inlineStr">
        <is>
          <t>NORRBOTTENS LÄN</t>
        </is>
      </c>
      <c r="G176" t="inlineStr">
        <is>
          <t>ÖVERKALIX</t>
        </is>
      </c>
      <c r="I176" t="n">
        <v>9.800000000000001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46253</v>
      </c>
      <c r="F177" t="inlineStr">
        <is>
          <t>NORRBOTTENS LÄN</t>
        </is>
      </c>
      <c r="G177" t="inlineStr">
        <is>
          <t>ÖVERKALIX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46253</v>
      </c>
      <c r="F178" t="inlineStr">
        <is>
          <t>NORRBOTTENS LÄN</t>
        </is>
      </c>
      <c r="G178" t="inlineStr">
        <is>
          <t>ÖVERKALIX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45837</v>
      </c>
      <c r="E179" s="1" t="n">
        <v>46253</v>
      </c>
      <c r="F179" t="inlineStr">
        <is>
          <t>NORRBOTTENS LÄN</t>
        </is>
      </c>
      <c r="G179" t="inlineStr">
        <is>
          <t>ÖVERKALIX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10292-2026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46253</v>
      </c>
      <c r="F180" t="inlineStr">
        <is>
          <t>NORRBOTTENS LÄN</t>
        </is>
      </c>
      <c r="G180" t="inlineStr">
        <is>
          <t>ÖVERKALIX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46253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45820</v>
      </c>
      <c r="E182" s="1" t="n">
        <v>46253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10.4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46253</v>
      </c>
      <c r="F183" t="inlineStr">
        <is>
          <t>NORRBOTTENS LÄN</t>
        </is>
      </c>
      <c r="G183" t="inlineStr">
        <is>
          <t>ÖVERKALIX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45268</v>
      </c>
      <c r="E184" s="1" t="n">
        <v>46253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46253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28343-2025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45818</v>
      </c>
      <c r="E186" s="1" t="n">
        <v>46253</v>
      </c>
      <c r="F186" t="inlineStr">
        <is>
          <t>NORRBOTTENS LÄN</t>
        </is>
      </c>
      <c r="G186" t="inlineStr">
        <is>
          <t>ÖVERKALIX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46253</v>
      </c>
      <c r="F187" t="inlineStr">
        <is>
          <t>NORRBOTTENS LÄN</t>
        </is>
      </c>
      <c r="G187" t="inlineStr">
        <is>
          <t>ÖVERKALIX</t>
        </is>
      </c>
      <c r="H187" t="inlineStr">
        <is>
          <t>Övriga statliga verk och myndigheter</t>
        </is>
      </c>
      <c r="I187" t="n">
        <v>38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46080</v>
      </c>
      <c r="E188" s="1" t="n">
        <v>46253</v>
      </c>
      <c r="F188" t="inlineStr">
        <is>
          <t>NORRBOTTENS LÄN</t>
        </is>
      </c>
      <c r="G188" t="inlineStr">
        <is>
          <t>ÖVERKALIX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45744</v>
      </c>
      <c r="E189" s="1" t="n">
        <v>46253</v>
      </c>
      <c r="F189" t="inlineStr">
        <is>
          <t>NORRBOTTENS LÄN</t>
        </is>
      </c>
      <c r="G189" t="inlineStr">
        <is>
          <t>ÖVERKALIX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45840</v>
      </c>
      <c r="E190" s="1" t="n">
        <v>46253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46080</v>
      </c>
      <c r="E191" s="1" t="n">
        <v>46253</v>
      </c>
      <c r="F191" t="inlineStr">
        <is>
          <t>NORRBOTTENS LÄN</t>
        </is>
      </c>
      <c r="G191" t="inlineStr">
        <is>
          <t>ÖVERKALIX</t>
        </is>
      </c>
      <c r="I191" t="n">
        <v>9.800000000000001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46253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46253</v>
      </c>
      <c r="F193" t="inlineStr">
        <is>
          <t>NORRBOTTENS LÄN</t>
        </is>
      </c>
      <c r="G193" t="inlineStr">
        <is>
          <t>ÖVERKALIX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46253</v>
      </c>
      <c r="F194" t="inlineStr">
        <is>
          <t>NORRBOTTENS LÄN</t>
        </is>
      </c>
      <c r="G194" t="inlineStr">
        <is>
          <t>ÖVERKALIX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46253</v>
      </c>
      <c r="F195" t="inlineStr">
        <is>
          <t>NORRBOTTENS LÄN</t>
        </is>
      </c>
      <c r="G195" t="inlineStr">
        <is>
          <t>ÖVERKALIX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46253</v>
      </c>
      <c r="F196" t="inlineStr">
        <is>
          <t>NORRBOTTENS LÄN</t>
        </is>
      </c>
      <c r="G196" t="inlineStr">
        <is>
          <t>ÖVERKALIX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52984-2024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45611</v>
      </c>
      <c r="E197" s="1" t="n">
        <v>46253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25.9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11685-2026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46253</v>
      </c>
      <c r="F198" t="inlineStr">
        <is>
          <t>NORRBOTTENS LÄN</t>
        </is>
      </c>
      <c r="G198" t="inlineStr">
        <is>
          <t>ÖVERKALIX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46253</v>
      </c>
      <c r="F199" t="inlineStr">
        <is>
          <t>NORRBOTTENS LÄN</t>
        </is>
      </c>
      <c r="G199" t="inlineStr">
        <is>
          <t>ÖVERKALIX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46084</v>
      </c>
      <c r="E200" s="1" t="n">
        <v>46253</v>
      </c>
      <c r="F200" t="inlineStr">
        <is>
          <t>NORRBOTTENS LÄN</t>
        </is>
      </c>
      <c r="G200" t="inlineStr">
        <is>
          <t>ÖVERKALIX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12277-2026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46087</v>
      </c>
      <c r="E201" s="1" t="n">
        <v>46253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12278-2026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46087</v>
      </c>
      <c r="E202" s="1" t="n">
        <v>46253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44754-2025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45917</v>
      </c>
      <c r="E203" s="1" t="n">
        <v>46253</v>
      </c>
      <c r="F203" t="inlineStr">
        <is>
          <t>NORRBOTTENS LÄN</t>
        </is>
      </c>
      <c r="G203" t="inlineStr">
        <is>
          <t>ÖVERKALIX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46253</v>
      </c>
      <c r="F204" t="inlineStr">
        <is>
          <t>NORRBOTTENS LÄN</t>
        </is>
      </c>
      <c r="G204" t="inlineStr">
        <is>
          <t>ÖVERKALIX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58037-2024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45631</v>
      </c>
      <c r="E205" s="1" t="n">
        <v>46253</v>
      </c>
      <c r="F205" t="inlineStr">
        <is>
          <t>NORRBOTTENS LÄN</t>
        </is>
      </c>
      <c r="G205" t="inlineStr">
        <is>
          <t>ÖVERKALIX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13058-2026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46093</v>
      </c>
      <c r="E206" s="1" t="n">
        <v>46253</v>
      </c>
      <c r="F206" t="inlineStr">
        <is>
          <t>NORRBOTTENS LÄN</t>
        </is>
      </c>
      <c r="G206" t="inlineStr">
        <is>
          <t>ÖVERKALIX</t>
        </is>
      </c>
      <c r="I206" t="n">
        <v>12.5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45535-2025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45922</v>
      </c>
      <c r="E207" s="1" t="n">
        <v>46253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44993</v>
      </c>
      <c r="E208" s="1" t="n">
        <v>46253</v>
      </c>
      <c r="F208" t="inlineStr">
        <is>
          <t>NORRBOTTENS LÄN</t>
        </is>
      </c>
      <c r="G208" t="inlineStr">
        <is>
          <t>ÖVERKALIX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34128-2025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45845</v>
      </c>
      <c r="E209" s="1" t="n">
        <v>46253</v>
      </c>
      <c r="F209" t="inlineStr">
        <is>
          <t>NORRBOTTENS LÄN</t>
        </is>
      </c>
      <c r="G209" t="inlineStr">
        <is>
          <t>ÖVERKALIX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46253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51561-2024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45604</v>
      </c>
      <c r="E211" s="1" t="n">
        <v>46253</v>
      </c>
      <c r="F211" t="inlineStr">
        <is>
          <t>NORRBOTTENS LÄN</t>
        </is>
      </c>
      <c r="G211" t="inlineStr">
        <is>
          <t>ÖVERKALIX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52976-2024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45611</v>
      </c>
      <c r="E212" s="1" t="n">
        <v>46253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46253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45699</v>
      </c>
      <c r="E214" s="1" t="n">
        <v>46253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28.8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46253</v>
      </c>
      <c r="F215" t="inlineStr">
        <is>
          <t>NORRBOTTENS LÄN</t>
        </is>
      </c>
      <c r="G215" t="inlineStr">
        <is>
          <t>ÖVERKALIX</t>
        </is>
      </c>
      <c r="I215" t="n">
        <v>9.4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15358-2026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46253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22.8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46253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49756-2025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45940</v>
      </c>
      <c r="E218" s="1" t="n">
        <v>46253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45643</v>
      </c>
      <c r="E219" s="1" t="n">
        <v>46253</v>
      </c>
      <c r="F219" t="inlineStr">
        <is>
          <t>NORRBOTTENS LÄN</t>
        </is>
      </c>
      <c r="G219" t="inlineStr">
        <is>
          <t>ÖVERKALIX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46113</v>
      </c>
      <c r="E220" s="1" t="n">
        <v>46253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48577-2023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45208</v>
      </c>
      <c r="E221" s="1" t="n">
        <v>46253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46112</v>
      </c>
      <c r="E222" s="1" t="n">
        <v>46253</v>
      </c>
      <c r="F222" t="inlineStr">
        <is>
          <t>NORRBOTTENS LÄN</t>
        </is>
      </c>
      <c r="G222" t="inlineStr">
        <is>
          <t>ÖVERKALIX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5170-2025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45691</v>
      </c>
      <c r="E223" s="1" t="n">
        <v>46253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20.3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46253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46253</v>
      </c>
      <c r="F225" t="inlineStr">
        <is>
          <t>NORRBOTTENS LÄN</t>
        </is>
      </c>
      <c r="G225" t="inlineStr">
        <is>
          <t>ÖVERKALIX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46253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46120</v>
      </c>
      <c r="E227" s="1" t="n">
        <v>46253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46253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45947</v>
      </c>
      <c r="E229" s="1" t="n">
        <v>46253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45947</v>
      </c>
      <c r="E230" s="1" t="n">
        <v>46253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51257-2025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45949</v>
      </c>
      <c r="E231" s="1" t="n">
        <v>46253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51634-2025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45951</v>
      </c>
      <c r="E232" s="1" t="n">
        <v>46253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43673-2021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44433</v>
      </c>
      <c r="E233" s="1" t="n">
        <v>46253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46253</v>
      </c>
      <c r="F234" t="inlineStr">
        <is>
          <t>NORRBOTTENS LÄN</t>
        </is>
      </c>
      <c r="G234" t="inlineStr">
        <is>
          <t>ÖVERKALIX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46253</v>
      </c>
      <c r="F235" t="inlineStr">
        <is>
          <t>NORRBOTTENS LÄN</t>
        </is>
      </c>
      <c r="G235" t="inlineStr">
        <is>
          <t>ÖVERKALIX</t>
        </is>
      </c>
      <c r="I235" t="n">
        <v>10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52591-2025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45954</v>
      </c>
      <c r="E236" s="1" t="n">
        <v>46253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46253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46253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53091-2025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46253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46253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9.9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19107-2026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46132</v>
      </c>
      <c r="E241" s="1" t="n">
        <v>46253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19410-2026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46253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46253</v>
      </c>
      <c r="F243" t="inlineStr">
        <is>
          <t>NORRBOTTENS LÄN</t>
        </is>
      </c>
      <c r="G243" t="inlineStr">
        <is>
          <t>ÖVERKALIX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45964</v>
      </c>
      <c r="E244" s="1" t="n">
        <v>46253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Sveaskog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19616-2026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46253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45869</v>
      </c>
      <c r="E246" s="1" t="n">
        <v>46253</v>
      </c>
      <c r="F246" t="inlineStr">
        <is>
          <t>NORRBOTTENS LÄN</t>
        </is>
      </c>
      <c r="G246" t="inlineStr">
        <is>
          <t>ÖVERKALIX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45870</v>
      </c>
      <c r="E247" s="1" t="n">
        <v>46253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45870</v>
      </c>
      <c r="E248" s="1" t="n">
        <v>46253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36501-2025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45869</v>
      </c>
      <c r="E249" s="1" t="n">
        <v>46253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Sveaskog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54143-2021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44469</v>
      </c>
      <c r="E250" s="1" t="n">
        <v>46253</v>
      </c>
      <c r="F250" t="inlineStr">
        <is>
          <t>NORRBOTTENS LÄN</t>
        </is>
      </c>
      <c r="G250" t="inlineStr">
        <is>
          <t>ÖVERKALIX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56402-2022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44890</v>
      </c>
      <c r="E251" s="1" t="n">
        <v>46253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13.8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54899-2025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46253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45873</v>
      </c>
      <c r="E253" s="1" t="n">
        <v>46253</v>
      </c>
      <c r="F253" t="inlineStr">
        <is>
          <t>NORRBOTTENS LÄN</t>
        </is>
      </c>
      <c r="G253" t="inlineStr">
        <is>
          <t>ÖVERKALIX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45205</v>
      </c>
      <c r="E254" s="1" t="n">
        <v>46253</v>
      </c>
      <c r="F254" t="inlineStr">
        <is>
          <t>NORRBOTTENS LÄN</t>
        </is>
      </c>
      <c r="G254" t="inlineStr">
        <is>
          <t>ÖVERKALIX</t>
        </is>
      </c>
      <c r="I254" t="n">
        <v>9.300000000000001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45315</v>
      </c>
      <c r="E255" s="1" t="n">
        <v>46253</v>
      </c>
      <c r="F255" t="inlineStr">
        <is>
          <t>NORRBOTTENS LÄN</t>
        </is>
      </c>
      <c r="G255" t="inlineStr">
        <is>
          <t>ÖVERKALIX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46253</v>
      </c>
      <c r="F256" t="inlineStr">
        <is>
          <t>NORRBOTTENS LÄN</t>
        </is>
      </c>
      <c r="G256" t="inlineStr">
        <is>
          <t>ÖVERKALIX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46253</v>
      </c>
      <c r="F257" t="inlineStr">
        <is>
          <t>NORRBOTTENS LÄN</t>
        </is>
      </c>
      <c r="G257" t="inlineStr">
        <is>
          <t>ÖVERKALIX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45440</v>
      </c>
      <c r="E258" s="1" t="n">
        <v>46253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57744-2025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45981</v>
      </c>
      <c r="E259" s="1" t="n">
        <v>46253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44966</v>
      </c>
      <c r="E260" s="1" t="n">
        <v>46253</v>
      </c>
      <c r="F260" t="inlineStr">
        <is>
          <t>NORRBOTTENS LÄN</t>
        </is>
      </c>
      <c r="G260" t="inlineStr">
        <is>
          <t>ÖVERKALIX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46253</v>
      </c>
      <c r="F261" t="inlineStr">
        <is>
          <t>NORRBOTTENS LÄN</t>
        </is>
      </c>
      <c r="G261" t="inlineStr">
        <is>
          <t>ÖVERKALIX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45986</v>
      </c>
      <c r="E262" s="1" t="n">
        <v>46253</v>
      </c>
      <c r="F262" t="inlineStr">
        <is>
          <t>NORRBOTTENS LÄN</t>
        </is>
      </c>
      <c r="G262" t="inlineStr">
        <is>
          <t>ÖVERKALIX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45986</v>
      </c>
      <c r="E263" s="1" t="n">
        <v>46253</v>
      </c>
      <c r="F263" t="inlineStr">
        <is>
          <t>NORRBOTTENS LÄN</t>
        </is>
      </c>
      <c r="G263" t="inlineStr">
        <is>
          <t>ÖVERKALIX</t>
        </is>
      </c>
      <c r="I263" t="n">
        <v>16.1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46253</v>
      </c>
      <c r="F264" t="inlineStr">
        <is>
          <t>NORRBOTTENS LÄN</t>
        </is>
      </c>
      <c r="G264" t="inlineStr">
        <is>
          <t>ÖVERKALIX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46253</v>
      </c>
      <c r="F265" t="inlineStr">
        <is>
          <t>NORRBOTTENS LÄN</t>
        </is>
      </c>
      <c r="G265" t="inlineStr">
        <is>
          <t>ÖVERKALIX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45882</v>
      </c>
      <c r="E266" s="1" t="n">
        <v>46253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13.4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46253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59202-2025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45988</v>
      </c>
      <c r="E268" s="1" t="n">
        <v>46253</v>
      </c>
      <c r="F268" t="inlineStr">
        <is>
          <t>NORRBOTTENS LÄN</t>
        </is>
      </c>
      <c r="G268" t="inlineStr">
        <is>
          <t>ÖVERKALIX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73216-2021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44547</v>
      </c>
      <c r="E269" s="1" t="n">
        <v>46253</v>
      </c>
      <c r="F269" t="inlineStr">
        <is>
          <t>NORRBOTTENS LÄN</t>
        </is>
      </c>
      <c r="G269" t="inlineStr">
        <is>
          <t>ÖVERKALIX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15301-2022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44659</v>
      </c>
      <c r="E270" s="1" t="n">
        <v>46253</v>
      </c>
      <c r="F270" t="inlineStr">
        <is>
          <t>NORRBOTTENS LÄN</t>
        </is>
      </c>
      <c r="G270" t="inlineStr">
        <is>
          <t>ÖVERKALIX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45818</v>
      </c>
      <c r="E271" s="1" t="n">
        <v>46253</v>
      </c>
      <c r="F271" t="inlineStr">
        <is>
          <t>NORRBOTTENS LÄN</t>
        </is>
      </c>
      <c r="G271" t="inlineStr">
        <is>
          <t>ÖVERKALIX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46253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13.3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45189</v>
      </c>
      <c r="E273" s="1" t="n">
        <v>46253</v>
      </c>
      <c r="F273" t="inlineStr">
        <is>
          <t>NORRBOTTENS LÄN</t>
        </is>
      </c>
      <c r="G273" t="inlineStr">
        <is>
          <t>ÖVERKALIX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40281-2022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44820</v>
      </c>
      <c r="E274" s="1" t="n">
        <v>46253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40619-2022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44823</v>
      </c>
      <c r="E275" s="1" t="n">
        <v>46253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60171-2025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45994</v>
      </c>
      <c r="E276" s="1" t="n">
        <v>46253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60172-2025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45994</v>
      </c>
      <c r="E277" s="1" t="n">
        <v>46253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45086</v>
      </c>
      <c r="E278" s="1" t="n">
        <v>46253</v>
      </c>
      <c r="F278" t="inlineStr">
        <is>
          <t>NORRBOTTENS LÄN</t>
        </is>
      </c>
      <c r="G278" t="inlineStr">
        <is>
          <t>ÖVERKALIX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46253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45994</v>
      </c>
      <c r="E280" s="1" t="n">
        <v>46253</v>
      </c>
      <c r="F280" t="inlineStr">
        <is>
          <t>NORRBOTTENS LÄN</t>
        </is>
      </c>
      <c r="G280" t="inlineStr">
        <is>
          <t>ÖVERKALIX</t>
        </is>
      </c>
      <c r="I280" t="n">
        <v>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45520</v>
      </c>
      <c r="E281" s="1" t="n">
        <v>46253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44648</v>
      </c>
      <c r="E282" s="1" t="n">
        <v>46253</v>
      </c>
      <c r="F282" t="inlineStr">
        <is>
          <t>NORRBOTTENS LÄN</t>
        </is>
      </c>
      <c r="G282" t="inlineStr">
        <is>
          <t>ÖVERKALIX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45996</v>
      </c>
      <c r="E283" s="1" t="n">
        <v>46253</v>
      </c>
      <c r="F283" t="inlineStr">
        <is>
          <t>NORRBOTTENS LÄN</t>
        </is>
      </c>
      <c r="G283" t="inlineStr">
        <is>
          <t>ÖVERKALIX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20171-2026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46139</v>
      </c>
      <c r="E284" s="1" t="n">
        <v>46253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46253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46253</v>
      </c>
      <c r="F286" t="inlineStr">
        <is>
          <t>NORRBOTTENS LÄN</t>
        </is>
      </c>
      <c r="G286" t="inlineStr">
        <is>
          <t>ÖVERKALIX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60834-2025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46253</v>
      </c>
      <c r="F287" t="inlineStr">
        <is>
          <t>NORRBOTTENS LÄN</t>
        </is>
      </c>
      <c r="G287" t="inlineStr">
        <is>
          <t>ÖVERKALIX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60890-2025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46253</v>
      </c>
      <c r="F288" t="inlineStr">
        <is>
          <t>NORRBOTTENS LÄN</t>
        </is>
      </c>
      <c r="G288" t="inlineStr">
        <is>
          <t>ÖVERKALIX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12591-2024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45379</v>
      </c>
      <c r="E289" s="1" t="n">
        <v>46253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60909-2025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46253</v>
      </c>
      <c r="F290" t="inlineStr">
        <is>
          <t>NORRBOTTENS LÄN</t>
        </is>
      </c>
      <c r="G290" t="inlineStr">
        <is>
          <t>ÖVERKALIX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46253</v>
      </c>
      <c r="F291" t="inlineStr">
        <is>
          <t>NORRBOTTENS LÄN</t>
        </is>
      </c>
      <c r="G291" t="inlineStr">
        <is>
          <t>ÖVERKALIX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46253</v>
      </c>
      <c r="F292" t="inlineStr">
        <is>
          <t>NORRBOTTENS LÄN</t>
        </is>
      </c>
      <c r="G292" t="inlineStr">
        <is>
          <t>ÖVERKALIX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46253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61706-2025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46253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46253</v>
      </c>
      <c r="F295" t="inlineStr">
        <is>
          <t>NORRBOTTENS LÄN</t>
        </is>
      </c>
      <c r="G295" t="inlineStr">
        <is>
          <t>ÖVERKALIX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45807</v>
      </c>
      <c r="E296" s="1" t="n">
        <v>46253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45404</v>
      </c>
      <c r="E297" s="1" t="n">
        <v>46253</v>
      </c>
      <c r="F297" t="inlineStr">
        <is>
          <t>NORRBOTTENS LÄN</t>
        </is>
      </c>
      <c r="G297" t="inlineStr">
        <is>
          <t>ÖVERKALIX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46253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45460</v>
      </c>
      <c r="E299" s="1" t="n">
        <v>46253</v>
      </c>
      <c r="F299" t="inlineStr">
        <is>
          <t>NORRBOTTENS LÄN</t>
        </is>
      </c>
      <c r="G299" t="inlineStr">
        <is>
          <t>ÖVERKALIX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63023-2025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46253</v>
      </c>
      <c r="F300" t="inlineStr">
        <is>
          <t>NORRBOTTENS LÄN</t>
        </is>
      </c>
      <c r="G300" t="inlineStr">
        <is>
          <t>ÖVERKALIX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46253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21423-2026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46148</v>
      </c>
      <c r="E302" s="1" t="n">
        <v>46253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21424-2026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46148</v>
      </c>
      <c r="E303" s="1" t="n">
        <v>46253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46148</v>
      </c>
      <c r="E304" s="1" t="n">
        <v>46253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46253</v>
      </c>
      <c r="F305" t="inlineStr">
        <is>
          <t>NORRBOTTENS LÄN</t>
        </is>
      </c>
      <c r="G305" t="inlineStr">
        <is>
          <t>ÖVERKALIX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63454-2025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46013</v>
      </c>
      <c r="E306" s="1" t="n">
        <v>46253</v>
      </c>
      <c r="F306" t="inlineStr">
        <is>
          <t>NORRBOTTENS LÄN</t>
        </is>
      </c>
      <c r="G306" t="inlineStr">
        <is>
          <t>ÖVERKALIX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46253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21417-2026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46148</v>
      </c>
      <c r="E308" s="1" t="n">
        <v>46253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46253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46253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11.5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46253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18.8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63545-2025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46253</v>
      </c>
      <c r="F312" t="inlineStr">
        <is>
          <t>NORRBOTTENS LÄN</t>
        </is>
      </c>
      <c r="G312" t="inlineStr">
        <is>
          <t>ÖVERKALIX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46253</v>
      </c>
      <c r="F313" t="inlineStr">
        <is>
          <t>NORRBOTTENS LÄN</t>
        </is>
      </c>
      <c r="G313" t="inlineStr">
        <is>
          <t>ÖVERKALIX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45429</v>
      </c>
      <c r="E314" s="1" t="n">
        <v>46253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14255-2023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46253</v>
      </c>
      <c r="F315" t="inlineStr">
        <is>
          <t>NORRBOTTENS LÄN</t>
        </is>
      </c>
      <c r="G315" t="inlineStr">
        <is>
          <t>ÖVERKALIX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46253</v>
      </c>
      <c r="F316" t="inlineStr">
        <is>
          <t>NORRBOTTENS LÄN</t>
        </is>
      </c>
      <c r="G316" t="inlineStr">
        <is>
          <t>ÖVERKALIX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45133</v>
      </c>
      <c r="E317" s="1" t="n">
        <v>46253</v>
      </c>
      <c r="F317" t="inlineStr">
        <is>
          <t>NORRBOTTENS LÄN</t>
        </is>
      </c>
      <c r="G317" t="inlineStr">
        <is>
          <t>ÖVERKALIX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46253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23.2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19984-2025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46253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10.5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46253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Sveaskog</t>
        </is>
      </c>
      <c r="I320" t="n">
        <v>11.8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46253</v>
      </c>
      <c r="F321" t="inlineStr">
        <is>
          <t>NORRBOTTENS LÄN</t>
        </is>
      </c>
      <c r="G321" t="inlineStr">
        <is>
          <t>ÖVERKALIX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46253</v>
      </c>
      <c r="F322" t="inlineStr">
        <is>
          <t>NORRBOTTENS LÄN</t>
        </is>
      </c>
      <c r="G322" t="inlineStr">
        <is>
          <t>ÖVERKALIX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46253</v>
      </c>
      <c r="F323" t="inlineStr">
        <is>
          <t>NORRBOTTENS LÄN</t>
        </is>
      </c>
      <c r="G323" t="inlineStr">
        <is>
          <t>ÖVERKALIX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46253</v>
      </c>
      <c r="F324" t="inlineStr">
        <is>
          <t>NORRBOTTENS LÄN</t>
        </is>
      </c>
      <c r="G324" t="inlineStr">
        <is>
          <t>ÖVERKALIX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46253</v>
      </c>
      <c r="F325" t="inlineStr">
        <is>
          <t>NORRBOTTENS LÄN</t>
        </is>
      </c>
      <c r="G325" t="inlineStr">
        <is>
          <t>ÖVERKALIX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45540</v>
      </c>
      <c r="E326" s="1" t="n">
        <v>46253</v>
      </c>
      <c r="F326" t="inlineStr">
        <is>
          <t>NORRBOTTENS LÄN</t>
        </is>
      </c>
      <c r="G326" t="inlineStr">
        <is>
          <t>ÖVERKALIX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46253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34911-2023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45141</v>
      </c>
      <c r="E328" s="1" t="n">
        <v>46253</v>
      </c>
      <c r="F328" t="inlineStr">
        <is>
          <t>NORRBOTTENS LÄN</t>
        </is>
      </c>
      <c r="G328" t="inlineStr">
        <is>
          <t>ÖVERKALIX</t>
        </is>
      </c>
      <c r="I328" t="n">
        <v>8.6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72364-2021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44543</v>
      </c>
      <c r="E329" s="1" t="n">
        <v>46253</v>
      </c>
      <c r="F329" t="inlineStr">
        <is>
          <t>NORRBOTTENS LÄN</t>
        </is>
      </c>
      <c r="G329" t="inlineStr">
        <is>
          <t>ÖVERKALIX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5653-2022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44595</v>
      </c>
      <c r="E330" s="1" t="n">
        <v>46253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22945-2026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46160</v>
      </c>
      <c r="E331" s="1" t="n">
        <v>46253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46160</v>
      </c>
      <c r="E332" s="1" t="n">
        <v>46253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22742-2026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46157</v>
      </c>
      <c r="E333" s="1" t="n">
        <v>46253</v>
      </c>
      <c r="F333" t="inlineStr">
        <is>
          <t>NORRBOTTENS LÄN</t>
        </is>
      </c>
      <c r="G333" t="inlineStr">
        <is>
          <t>ÖVERKALIX</t>
        </is>
      </c>
      <c r="I333" t="n">
        <v>10.6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32477-2024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45513</v>
      </c>
      <c r="E334" s="1" t="n">
        <v>46253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45622</v>
      </c>
      <c r="E335" s="1" t="n">
        <v>46253</v>
      </c>
      <c r="F335" t="inlineStr">
        <is>
          <t>NORRBOTTENS LÄN</t>
        </is>
      </c>
      <c r="G335" t="inlineStr">
        <is>
          <t>ÖVERKALIX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46253</v>
      </c>
      <c r="F336" t="inlineStr">
        <is>
          <t>NORRBOTTENS LÄN</t>
        </is>
      </c>
      <c r="G336" t="inlineStr">
        <is>
          <t>ÖVERKALIX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46253</v>
      </c>
      <c r="F337" t="inlineStr">
        <is>
          <t>NORRBOTTENS LÄN</t>
        </is>
      </c>
      <c r="G337" t="inlineStr">
        <is>
          <t>ÖVERKALIX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46253</v>
      </c>
      <c r="F338" t="inlineStr">
        <is>
          <t>NORRBOTTENS LÄN</t>
        </is>
      </c>
      <c r="G338" t="inlineStr">
        <is>
          <t>ÖVERKALIX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46253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7039-2022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44603</v>
      </c>
      <c r="E340" s="1" t="n">
        <v>46253</v>
      </c>
      <c r="F340" t="inlineStr">
        <is>
          <t>NORRBOTTENS LÄN</t>
        </is>
      </c>
      <c r="G340" t="inlineStr">
        <is>
          <t>ÖVERKALIX</t>
        </is>
      </c>
      <c r="H340" t="inlineStr">
        <is>
          <t>Övriga statliga verk och myndigheter</t>
        </is>
      </c>
      <c r="I340" t="n">
        <v>10.3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46253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9.9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46164</v>
      </c>
      <c r="E342" s="1" t="n">
        <v>46253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45950</v>
      </c>
      <c r="E343" s="1" t="n">
        <v>46253</v>
      </c>
      <c r="F343" t="inlineStr">
        <is>
          <t>NORRBOTTENS LÄN</t>
        </is>
      </c>
      <c r="G343" t="inlineStr">
        <is>
          <t>ÖVERKALIX</t>
        </is>
      </c>
      <c r="I343" t="n">
        <v>8.199999999999999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46253</v>
      </c>
      <c r="F344" t="inlineStr">
        <is>
          <t>NORRBOTTENS LÄN</t>
        </is>
      </c>
      <c r="G344" t="inlineStr">
        <is>
          <t>ÖVERKALIX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28372-2025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45818</v>
      </c>
      <c r="E345" s="1" t="n">
        <v>46253</v>
      </c>
      <c r="F345" t="inlineStr">
        <is>
          <t>NORRBOTTENS LÄN</t>
        </is>
      </c>
      <c r="G345" t="inlineStr">
        <is>
          <t>ÖVERKALIX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46253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46253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46253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46253</v>
      </c>
      <c r="F349" t="inlineStr">
        <is>
          <t>NORRBOTTENS LÄN</t>
        </is>
      </c>
      <c r="G349" t="inlineStr">
        <is>
          <t>ÖVERKALIX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46253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46253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46253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46253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18.6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45677</v>
      </c>
      <c r="E354" s="1" t="n">
        <v>46253</v>
      </c>
      <c r="F354" t="inlineStr">
        <is>
          <t>NORRBOTTENS LÄN</t>
        </is>
      </c>
      <c r="G354" t="inlineStr">
        <is>
          <t>ÖVERKALIX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46253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45189</v>
      </c>
      <c r="E356" s="1" t="n">
        <v>46253</v>
      </c>
      <c r="F356" t="inlineStr">
        <is>
          <t>NORRBOTTENS LÄN</t>
        </is>
      </c>
      <c r="G356" t="inlineStr">
        <is>
          <t>ÖVERKALIX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46253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27681-2023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45097</v>
      </c>
      <c r="E358" s="1" t="n">
        <v>46253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50392-2025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46253</v>
      </c>
      <c r="F359" t="inlineStr">
        <is>
          <t>NORRBOTTENS LÄN</t>
        </is>
      </c>
      <c r="G359" t="inlineStr">
        <is>
          <t>ÖVERKALIX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45748-2023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46253</v>
      </c>
      <c r="F360" t="inlineStr">
        <is>
          <t>NORRBOTTENS LÄN</t>
        </is>
      </c>
      <c r="G360" t="inlineStr">
        <is>
          <t>ÖVERKALIX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46253</v>
      </c>
      <c r="F361" t="inlineStr">
        <is>
          <t>NORRBOTTENS LÄN</t>
        </is>
      </c>
      <c r="G361" t="inlineStr">
        <is>
          <t>ÖVERKALIX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55838-2024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45622</v>
      </c>
      <c r="E362" s="1" t="n">
        <v>46253</v>
      </c>
      <c r="F362" t="inlineStr">
        <is>
          <t>NORRBOTTENS LÄN</t>
        </is>
      </c>
      <c r="G362" t="inlineStr">
        <is>
          <t>ÖVERKALIX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55857-2024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45622</v>
      </c>
      <c r="E363" s="1" t="n">
        <v>46253</v>
      </c>
      <c r="F363" t="inlineStr">
        <is>
          <t>NORRBOTTENS LÄN</t>
        </is>
      </c>
      <c r="G363" t="inlineStr">
        <is>
          <t>ÖVERKALIX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45715</v>
      </c>
      <c r="E364" s="1" t="n">
        <v>46253</v>
      </c>
      <c r="F364" t="inlineStr">
        <is>
          <t>NORRBOTTENS LÄN</t>
        </is>
      </c>
      <c r="G364" t="inlineStr">
        <is>
          <t>ÖVERKALIX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45621</v>
      </c>
      <c r="E365" s="1" t="n">
        <v>46253</v>
      </c>
      <c r="F365" t="inlineStr">
        <is>
          <t>NORRBOTTENS LÄN</t>
        </is>
      </c>
      <c r="G365" t="inlineStr">
        <is>
          <t>ÖVERKALIX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46253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41830-2024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45561</v>
      </c>
      <c r="E367" s="1" t="n">
        <v>46253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46177</v>
      </c>
      <c r="E368" s="1" t="n">
        <v>46253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8417-2025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45709</v>
      </c>
      <c r="E369" s="1" t="n">
        <v>46253</v>
      </c>
      <c r="F369" t="inlineStr">
        <is>
          <t>NORRBOTTENS LÄN</t>
        </is>
      </c>
      <c r="G369" t="inlineStr">
        <is>
          <t>ÖVERKALIX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45693</v>
      </c>
      <c r="E370" s="1" t="n">
        <v>46253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46253</v>
      </c>
      <c r="F371" t="inlineStr">
        <is>
          <t>NORRBOTTENS LÄN</t>
        </is>
      </c>
      <c r="G371" t="inlineStr">
        <is>
          <t>ÖVERKALIX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46253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46253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45702</v>
      </c>
      <c r="E374" s="1" t="n">
        <v>46253</v>
      </c>
      <c r="F374" t="inlineStr">
        <is>
          <t>NORRBOTTENS LÄN</t>
        </is>
      </c>
      <c r="G374" t="inlineStr">
        <is>
          <t>ÖVERKALIX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46253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8.5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58764-2023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45251</v>
      </c>
      <c r="E376" s="1" t="n">
        <v>46253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25506-2024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45463</v>
      </c>
      <c r="E377" s="1" t="n">
        <v>46253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26426-2026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46183</v>
      </c>
      <c r="E378" s="1" t="n">
        <v>46253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13.8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46183</v>
      </c>
      <c r="E379" s="1" t="n">
        <v>46253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45693</v>
      </c>
      <c r="E380" s="1" t="n">
        <v>46253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46225</v>
      </c>
      <c r="E381" s="1" t="n">
        <v>46253</v>
      </c>
      <c r="F381" t="inlineStr">
        <is>
          <t>NORRBOTTENS LÄN</t>
        </is>
      </c>
      <c r="G381" t="inlineStr">
        <is>
          <t>ÖVERKALIX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45181</v>
      </c>
      <c r="E382" s="1" t="n">
        <v>46253</v>
      </c>
      <c r="F382" t="inlineStr">
        <is>
          <t>NORRBOTTENS LÄN</t>
        </is>
      </c>
      <c r="G382" t="inlineStr">
        <is>
          <t>ÖVERKALIX</t>
        </is>
      </c>
      <c r="I382" t="n">
        <v>13.1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31832-2026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46230</v>
      </c>
      <c r="E383" s="1" t="n">
        <v>46253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46187</v>
      </c>
      <c r="E384" s="1" t="n">
        <v>46253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64524-2023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45281</v>
      </c>
      <c r="E385" s="1" t="n">
        <v>46253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27681-2026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46190</v>
      </c>
      <c r="E386" s="1" t="n">
        <v>46253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32382-2026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46238</v>
      </c>
      <c r="E387" s="1" t="n">
        <v>46253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46253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26554-2023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45092</v>
      </c>
      <c r="E389" s="1" t="n">
        <v>46253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28210-2026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46196</v>
      </c>
      <c r="E390" s="1" t="n">
        <v>46253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44575</v>
      </c>
      <c r="E391" s="1" t="n">
        <v>46253</v>
      </c>
      <c r="F391" t="inlineStr">
        <is>
          <t>NORRBOTTENS LÄN</t>
        </is>
      </c>
      <c r="G391" t="inlineStr">
        <is>
          <t>ÖVERKALIX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45693</v>
      </c>
      <c r="E392" s="1" t="n">
        <v>46253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58038-2024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46253</v>
      </c>
      <c r="F393" t="inlineStr">
        <is>
          <t>NORRBOTTENS LÄN</t>
        </is>
      </c>
      <c r="G393" t="inlineStr">
        <is>
          <t>ÖVERKALIX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45548</v>
      </c>
      <c r="E394" s="1" t="n">
        <v>46253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32933-2026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46244</v>
      </c>
      <c r="E395" s="1" t="n">
        <v>46253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54026-2023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45231</v>
      </c>
      <c r="E396" s="1" t="n">
        <v>46253</v>
      </c>
      <c r="F396" t="inlineStr">
        <is>
          <t>NORRBOTTENS LÄN</t>
        </is>
      </c>
      <c r="G396" t="inlineStr">
        <is>
          <t>ÖVERKALIX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46253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46253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72212-2021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44543</v>
      </c>
      <c r="E399" s="1" t="n">
        <v>46253</v>
      </c>
      <c r="F399" t="inlineStr">
        <is>
          <t>NORRBOTTENS LÄN</t>
        </is>
      </c>
      <c r="G399" t="inlineStr">
        <is>
          <t>ÖVERKALIX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46253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32962-2026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46244</v>
      </c>
      <c r="E401" s="1" t="n">
        <v>46253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45471</v>
      </c>
      <c r="E402" s="1" t="n">
        <v>46253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27057-2024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45471</v>
      </c>
      <c r="E403" s="1" t="n">
        <v>46253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32.6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33284-2026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46246</v>
      </c>
      <c r="E404" s="1" t="n">
        <v>46253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46253</v>
      </c>
      <c r="F405" t="inlineStr">
        <is>
          <t>NORRBOTTENS LÄN</t>
        </is>
      </c>
      <c r="G405" t="inlineStr">
        <is>
          <t>ÖVERKALIX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29927-2026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46205</v>
      </c>
      <c r="E406" s="1" t="n">
        <v>46253</v>
      </c>
      <c r="F406" t="inlineStr">
        <is>
          <t>NORRBOTTENS LÄN</t>
        </is>
      </c>
      <c r="G406" t="inlineStr">
        <is>
          <t>ÖVERKALIX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53732-2022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44880</v>
      </c>
      <c r="E407" s="1" t="n">
        <v>46253</v>
      </c>
      <c r="F407" t="inlineStr">
        <is>
          <t>NORRBOTTENS LÄN</t>
        </is>
      </c>
      <c r="G407" t="inlineStr">
        <is>
          <t>ÖVERKALIX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29937-2026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46205</v>
      </c>
      <c r="E408" s="1" t="n">
        <v>46253</v>
      </c>
      <c r="F408" t="inlineStr">
        <is>
          <t>NORRBOTTENS LÄN</t>
        </is>
      </c>
      <c r="G408" t="inlineStr">
        <is>
          <t>ÖVERKALIX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46247</v>
      </c>
      <c r="E409" s="1" t="n">
        <v>46253</v>
      </c>
      <c r="F409" t="inlineStr">
        <is>
          <t>NORRBOTTENS LÄN</t>
        </is>
      </c>
      <c r="G409" t="inlineStr">
        <is>
          <t>ÖVERKALIX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42407-2022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44830</v>
      </c>
      <c r="E410" s="1" t="n">
        <v>46253</v>
      </c>
      <c r="F410" t="inlineStr">
        <is>
          <t>NORRBOTTENS LÄN</t>
        </is>
      </c>
      <c r="G410" t="inlineStr">
        <is>
          <t>ÖVERKALIX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30326-2026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46207</v>
      </c>
      <c r="E411" s="1" t="n">
        <v>46253</v>
      </c>
      <c r="F411" t="inlineStr">
        <is>
          <t>NORRBOTTENS LÄN</t>
        </is>
      </c>
      <c r="G411" t="inlineStr">
        <is>
          <t>ÖVERKALIX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30327-2026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46207</v>
      </c>
      <c r="E412" s="1" t="n">
        <v>46253</v>
      </c>
      <c r="F412" t="inlineStr">
        <is>
          <t>NORRBOTTENS LÄN</t>
        </is>
      </c>
      <c r="G412" t="inlineStr">
        <is>
          <t>ÖVERKALIX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30039-2026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46253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30037-2026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46253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44960</v>
      </c>
      <c r="E415" s="1" t="n">
        <v>46253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46253</v>
      </c>
      <c r="F416" t="inlineStr">
        <is>
          <t>NORRBOTTENS LÄN</t>
        </is>
      </c>
      <c r="G416" t="inlineStr">
        <is>
          <t>ÖVERKALIX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30241-2026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46206</v>
      </c>
      <c r="E417" s="1" t="n">
        <v>46253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25698-2024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45463</v>
      </c>
      <c r="E418" s="1" t="n">
        <v>46253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46253</v>
      </c>
      <c r="F419" t="inlineStr">
        <is>
          <t>NORRBOTTENS LÄN</t>
        </is>
      </c>
      <c r="G419" t="inlineStr">
        <is>
          <t>ÖVERKALIX</t>
        </is>
      </c>
      <c r="I419" t="n">
        <v>22.3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46253</v>
      </c>
      <c r="F420" t="inlineStr">
        <is>
          <t>NORRBOTTENS LÄN</t>
        </is>
      </c>
      <c r="G420" t="inlineStr">
        <is>
          <t>ÖVERKALIX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30328-2026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46207</v>
      </c>
      <c r="E421" s="1" t="n">
        <v>46253</v>
      </c>
      <c r="F421" t="inlineStr">
        <is>
          <t>NORRBOTTENS LÄN</t>
        </is>
      </c>
      <c r="G421" t="inlineStr">
        <is>
          <t>ÖVERKALIX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45308</v>
      </c>
      <c r="E422" s="1" t="n">
        <v>46253</v>
      </c>
      <c r="F422" t="inlineStr">
        <is>
          <t>NORRBOTTENS LÄN</t>
        </is>
      </c>
      <c r="G422" t="inlineStr">
        <is>
          <t>ÖVERKALIX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33927-2026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46252</v>
      </c>
      <c r="E423" s="1" t="n">
        <v>46253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2003-2024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45308</v>
      </c>
      <c r="E424" s="1" t="n">
        <v>46253</v>
      </c>
      <c r="F424" t="inlineStr">
        <is>
          <t>NORRBOTTENS LÄN</t>
        </is>
      </c>
      <c r="G424" t="inlineStr">
        <is>
          <t>ÖVERKALIX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9849-2024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45363</v>
      </c>
      <c r="E425" s="1" t="n">
        <v>46253</v>
      </c>
      <c r="F425" t="inlineStr">
        <is>
          <t>NORRBOTTENS LÄN</t>
        </is>
      </c>
      <c r="G425" t="inlineStr">
        <is>
          <t>ÖVERKALIX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45603</v>
      </c>
      <c r="E426" s="1" t="n">
        <v>46253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43314-2022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44834</v>
      </c>
      <c r="E427" s="1" t="n">
        <v>46253</v>
      </c>
      <c r="F427" t="inlineStr">
        <is>
          <t>NORRBOTTENS LÄN</t>
        </is>
      </c>
      <c r="G427" t="inlineStr">
        <is>
          <t>ÖVERKALIX</t>
        </is>
      </c>
      <c r="I427" t="n">
        <v>13.1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30881-2024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45498</v>
      </c>
      <c r="E428" s="1" t="n">
        <v>46253</v>
      </c>
      <c r="F428" t="inlineStr">
        <is>
          <t>NORRBOTTENS LÄN</t>
        </is>
      </c>
      <c r="G428" t="inlineStr">
        <is>
          <t>ÖVERKALIX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46253</v>
      </c>
      <c r="F429" t="inlineStr">
        <is>
          <t>NORRBOTTENS LÄN</t>
        </is>
      </c>
      <c r="G429" t="inlineStr">
        <is>
          <t>ÖVERKALIX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62269-2021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44502</v>
      </c>
      <c r="E430" s="1" t="n">
        <v>46253</v>
      </c>
      <c r="F430" t="inlineStr">
        <is>
          <t>NORRBOTTENS LÄN</t>
        </is>
      </c>
      <c r="G430" t="inlineStr">
        <is>
          <t>ÖVERKALIX</t>
        </is>
      </c>
      <c r="I430" t="n">
        <v>9.199999999999999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13372-2023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45005</v>
      </c>
      <c r="E431" s="1" t="n">
        <v>46253</v>
      </c>
      <c r="F431" t="inlineStr">
        <is>
          <t>NORRBOTTENS LÄN</t>
        </is>
      </c>
      <c r="G431" t="inlineStr">
        <is>
          <t>ÖVERKALIX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36839-2023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45153</v>
      </c>
      <c r="E432" s="1" t="n">
        <v>46253</v>
      </c>
      <c r="F432" t="inlineStr">
        <is>
          <t>NORRBOTTENS LÄN</t>
        </is>
      </c>
      <c r="G432" t="inlineStr">
        <is>
          <t>ÖVERKALIX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59832-2024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45639</v>
      </c>
      <c r="E433" s="1" t="n">
        <v>46253</v>
      </c>
      <c r="F433" t="inlineStr">
        <is>
          <t>NORRBOTTENS LÄN</t>
        </is>
      </c>
      <c r="G433" t="inlineStr">
        <is>
          <t>ÖVERKALIX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6641-2022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44601</v>
      </c>
      <c r="E434" s="1" t="n">
        <v>46253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49091-2024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45594</v>
      </c>
      <c r="E435" s="1" t="n">
        <v>46253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8026-2023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44973</v>
      </c>
      <c r="E436" s="1" t="n">
        <v>46253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45154</v>
      </c>
      <c r="E437" s="1" t="n">
        <v>46253</v>
      </c>
      <c r="F437" t="inlineStr">
        <is>
          <t>NORRBOTTENS LÄN</t>
        </is>
      </c>
      <c r="G437" t="inlineStr">
        <is>
          <t>ÖVERKALIX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45692</v>
      </c>
      <c r="E438" s="1" t="n">
        <v>46253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10.1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32616-2024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45513</v>
      </c>
      <c r="E439" s="1" t="n">
        <v>46253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60400-2022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44910</v>
      </c>
      <c r="E440" s="1" t="n">
        <v>46253</v>
      </c>
      <c r="F440" t="inlineStr">
        <is>
          <t>NORRBOTTENS LÄN</t>
        </is>
      </c>
      <c r="G440" t="inlineStr">
        <is>
          <t>ÖVERKALIX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45641</v>
      </c>
      <c r="E441" s="1" t="n">
        <v>46253</v>
      </c>
      <c r="F441" t="inlineStr">
        <is>
          <t>NORRBOTTENS LÄN</t>
        </is>
      </c>
      <c r="G441" t="inlineStr">
        <is>
          <t>ÖVERKALIX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45160</v>
      </c>
      <c r="E442" s="1" t="n">
        <v>46253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55226-2024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46253</v>
      </c>
      <c r="F443" t="inlineStr">
        <is>
          <t>NORRBOTTENS LÄN</t>
        </is>
      </c>
      <c r="G443" t="inlineStr">
        <is>
          <t>ÖVERKALIX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48561-2024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45593</v>
      </c>
      <c r="E444" s="1" t="n">
        <v>46253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50862-2023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46253</v>
      </c>
      <c r="F445" t="inlineStr">
        <is>
          <t>NORRBOTTENS LÄN</t>
        </is>
      </c>
      <c r="G445" t="inlineStr">
        <is>
          <t>ÖVERKALIX</t>
        </is>
      </c>
      <c r="I445" t="n">
        <v>8.199999999999999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52075-2023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45223</v>
      </c>
      <c r="E446" s="1" t="n">
        <v>46253</v>
      </c>
      <c r="F446" t="inlineStr">
        <is>
          <t>NORRBOTTENS LÄN</t>
        </is>
      </c>
      <c r="G446" t="inlineStr">
        <is>
          <t>ÖVERKALIX</t>
        </is>
      </c>
      <c r="I446" t="n">
        <v>8.6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43173-2023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45180</v>
      </c>
      <c r="E447" s="1" t="n">
        <v>46253</v>
      </c>
      <c r="F447" t="inlineStr">
        <is>
          <t>NORRBOTTENS LÄN</t>
        </is>
      </c>
      <c r="G447" t="inlineStr">
        <is>
          <t>ÖVERKALIX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45315</v>
      </c>
      <c r="E448" s="1" t="n">
        <v>46253</v>
      </c>
      <c r="F448" t="inlineStr">
        <is>
          <t>NORRBOTTENS LÄN</t>
        </is>
      </c>
      <c r="G448" t="inlineStr">
        <is>
          <t>ÖVERKALIX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45321</v>
      </c>
      <c r="E449" s="1" t="n">
        <v>46253</v>
      </c>
      <c r="F449" t="inlineStr">
        <is>
          <t>NORRBOTTENS LÄN</t>
        </is>
      </c>
      <c r="G449" t="inlineStr">
        <is>
          <t>ÖVERKALIX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45610</v>
      </c>
      <c r="E450" s="1" t="n">
        <v>46253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46253</v>
      </c>
      <c r="F451" t="inlineStr">
        <is>
          <t>NORRBOTTENS LÄN</t>
        </is>
      </c>
      <c r="G451" t="inlineStr">
        <is>
          <t>ÖVERKALIX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25697-2024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45463</v>
      </c>
      <c r="E452" s="1" t="n">
        <v>46253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46253</v>
      </c>
      <c r="F453" t="inlineStr">
        <is>
          <t>NORRBOTTENS LÄN</t>
        </is>
      </c>
      <c r="G453" t="inlineStr">
        <is>
          <t>ÖVERKALIX</t>
        </is>
      </c>
      <c r="I453" t="n">
        <v>9.4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40155-2024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45554</v>
      </c>
      <c r="E454" s="1" t="n">
        <v>46253</v>
      </c>
      <c r="F454" t="inlineStr">
        <is>
          <t>NORRBOTTENS LÄN</t>
        </is>
      </c>
      <c r="G454" t="inlineStr">
        <is>
          <t>ÖVERKALIX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38941-2024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45548</v>
      </c>
      <c r="E455" s="1" t="n">
        <v>46253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45782</v>
      </c>
      <c r="E456" s="1" t="n">
        <v>46253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45785</v>
      </c>
      <c r="E457" s="1" t="n">
        <v>46253</v>
      </c>
      <c r="F457" t="inlineStr">
        <is>
          <t>NORRBOTTENS LÄN</t>
        </is>
      </c>
      <c r="G457" t="inlineStr">
        <is>
          <t>ÖVERKALIX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45793</v>
      </c>
      <c r="E458" s="1" t="n">
        <v>46253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8.5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45796</v>
      </c>
      <c r="E459" s="1" t="n">
        <v>46253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24141-2025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46253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45793</v>
      </c>
      <c r="E461" s="1" t="n">
        <v>46253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45793</v>
      </c>
      <c r="E462" s="1" t="n">
        <v>46253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46253</v>
      </c>
      <c r="F463" t="inlineStr">
        <is>
          <t>NORRBOTTENS LÄN</t>
        </is>
      </c>
      <c r="G463" t="inlineStr">
        <is>
          <t>ÖVERKALIX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45323</v>
      </c>
      <c r="E464" s="1" t="n">
        <v>46253</v>
      </c>
      <c r="F464" t="inlineStr">
        <is>
          <t>NORRBOTTENS LÄN</t>
        </is>
      </c>
      <c r="G464" t="inlineStr">
        <is>
          <t>ÖVERKALIX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25629-2025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45803</v>
      </c>
      <c r="E465" s="1" t="n">
        <v>46253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3721-2022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44741</v>
      </c>
      <c r="E466" s="1" t="n">
        <v>46253</v>
      </c>
      <c r="F466" t="inlineStr">
        <is>
          <t>NORRBOTTENS LÄN</t>
        </is>
      </c>
      <c r="G466" t="inlineStr">
        <is>
          <t>ÖVERKALIX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2792-2024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45485</v>
      </c>
      <c r="E467" s="1" t="n">
        <v>46253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2700-2024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45482</v>
      </c>
      <c r="E468" s="1" t="n">
        <v>46253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4734-2024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45607</v>
      </c>
      <c r="E469" s="1" t="n">
        <v>46253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1178-2025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45756</v>
      </c>
      <c r="E470" s="1" t="n">
        <v>46253</v>
      </c>
      <c r="F470" t="inlineStr">
        <is>
          <t>NORRBOTTENS LÄN</t>
        </is>
      </c>
      <c r="G470" t="inlineStr">
        <is>
          <t>ÖVERKALIX</t>
        </is>
      </c>
      <c r="I470" t="n">
        <v>39.9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1667-2025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45800</v>
      </c>
      <c r="E471" s="1" t="n">
        <v>46253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50-2026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46030</v>
      </c>
      <c r="E472" s="1" t="n">
        <v>46253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9.800000000000001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2026-08-19T01:50:36Z</dcterms:created>
  <dcterms:modified xmlns:dcterms="http://purl.org/dc/terms/" xmlns:xsi="http://www.w3.org/2001/XMLSchema-instance" xsi:type="dcterms:W3CDTF">2026-08-19T01:50:36Z</dcterms:modified>
</cp:coreProperties>
</file>