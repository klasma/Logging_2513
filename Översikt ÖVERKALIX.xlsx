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46200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46200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46200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46200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46200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46200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</v>
      </c>
      <c r="C8" s="1" t="n">
        <v>46200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Goliatmusseron
Blå taggsvamp
Dropptaggsvamp
Motaggsvamp
Orange 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</v>
      </c>
      <c r="C9" s="1" t="n">
        <v>46200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Tallgråticka
Blå taggsvamp
Dropptaggsvamp
Orange taggsvamp
Svartvit 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46200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46200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46200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46200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28577-2024</t>
        </is>
      </c>
      <c r="B14" s="1" t="n">
        <v>45478</v>
      </c>
      <c r="C14" s="1" t="n">
        <v>46200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0.8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Månlåsbräken
Plattlummer
Fläcknycklar</t>
        </is>
      </c>
      <c r="S14">
        <f>HYPERLINK("https://klasma.github.io/Logging_2513/artfynd/A 28577-2024 artfynd.xlsx", "A 28577-2024")</f>
        <v/>
      </c>
      <c r="T14">
        <f>HYPERLINK("https://klasma.github.io/Logging_2513/kartor/A 28577-2024 karta.png", "A 28577-2024")</f>
        <v/>
      </c>
      <c r="V14">
        <f>HYPERLINK("https://klasma.github.io/Logging_2513/klagomål/A 28577-2024 FSC-klagomål.docx", "A 28577-2024")</f>
        <v/>
      </c>
      <c r="W14">
        <f>HYPERLINK("https://klasma.github.io/Logging_2513/klagomålsmail/A 28577-2024 FSC-klagomål mail.docx", "A 28577-2024")</f>
        <v/>
      </c>
      <c r="X14">
        <f>HYPERLINK("https://klasma.github.io/Logging_2513/tillsyn/A 28577-2024 tillsynsbegäran.docx", "A 28577-2024")</f>
        <v/>
      </c>
      <c r="Y14">
        <f>HYPERLINK("https://klasma.github.io/Logging_2513/tillsynsmail/A 28577-2024 tillsynsbegäran mail.docx", "A 28577-2024")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46200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Fläckporing
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17802-2025</t>
        </is>
      </c>
      <c r="B16" s="1" t="n">
        <v>45758</v>
      </c>
      <c r="C16" s="1" t="n">
        <v>46200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Hökuggla
Älg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30525-2025</t>
        </is>
      </c>
      <c r="B17" s="1" t="n">
        <v>45831</v>
      </c>
      <c r="C17" s="1" t="n">
        <v>46200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Gammelgransskål
Bollvitmossa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s="1" t="n">
        <v>45908</v>
      </c>
      <c r="C18" s="1" t="n">
        <v>46200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46200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46200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25544-2026</t>
        </is>
      </c>
      <c r="B21" s="1" t="n">
        <v>46177</v>
      </c>
      <c r="C21" s="1" t="n">
        <v>46200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Tallgråticka
Blå taggsvamp
Skarp dropptaggsvamp</t>
        </is>
      </c>
      <c r="S21">
        <f>HYPERLINK("https://klasma.github.io/Logging_2513/artfynd/A 25544-2026 artfynd.xlsx", "A 25544-2026")</f>
        <v/>
      </c>
      <c r="T21">
        <f>HYPERLINK("https://klasma.github.io/Logging_2513/kartor/A 25544-2026 karta.png", "A 25544-2026")</f>
        <v/>
      </c>
      <c r="V21">
        <f>HYPERLINK("https://klasma.github.io/Logging_2513/klagomål/A 25544-2026 FSC-klagomål.docx", "A 25544-2026")</f>
        <v/>
      </c>
      <c r="W21">
        <f>HYPERLINK("https://klasma.github.io/Logging_2513/klagomålsmail/A 25544-2026 FSC-klagomål mail.docx", "A 25544-2026")</f>
        <v/>
      </c>
      <c r="X21">
        <f>HYPERLINK("https://klasma.github.io/Logging_2513/tillsyn/A 25544-2026 tillsynsbegäran.docx", "A 25544-2026")</f>
        <v/>
      </c>
      <c r="Y21">
        <f>HYPERLINK("https://klasma.github.io/Logging_2513/tillsynsmail/A 25544-2026 tillsynsbegäran mail.docx", "A 25544-2026")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46200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46200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7477-2023</t>
        </is>
      </c>
      <c r="B24" s="1" t="n">
        <v>44966</v>
      </c>
      <c r="C24" s="1" t="n">
        <v>46200</v>
      </c>
      <c r="D24" t="inlineStr">
        <is>
          <t>NORRBOTTENS LÄN</t>
        </is>
      </c>
      <c r="E24" t="inlineStr">
        <is>
          <t>ÖVERKALIX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Skarp dropptaggsvamp</t>
        </is>
      </c>
      <c r="S24">
        <f>HYPERLINK("https://klasma.github.io/Logging_2513/artfynd/A 7477-2023 artfynd.xlsx", "A 7477-2023")</f>
        <v/>
      </c>
      <c r="T24">
        <f>HYPERLINK("https://klasma.github.io/Logging_2513/kartor/A 7477-2023 karta.png", "A 7477-2023")</f>
        <v/>
      </c>
      <c r="V24">
        <f>HYPERLINK("https://klasma.github.io/Logging_2513/klagomål/A 7477-2023 FSC-klagomål.docx", "A 7477-2023")</f>
        <v/>
      </c>
      <c r="W24">
        <f>HYPERLINK("https://klasma.github.io/Logging_2513/klagomålsmail/A 7477-2023 FSC-klagomål mail.docx", "A 7477-2023")</f>
        <v/>
      </c>
      <c r="X24">
        <f>HYPERLINK("https://klasma.github.io/Logging_2513/tillsyn/A 7477-2023 tillsynsbegäran.docx", "A 7477-2023")</f>
        <v/>
      </c>
      <c r="Y24">
        <f>HYPERLINK("https://klasma.github.io/Logging_2513/tillsynsmail/A 7477-2023 tillsynsbegäran mail.docx", "A 7477-2023")</f>
        <v/>
      </c>
    </row>
    <row r="25" ht="15" customHeight="1">
      <c r="A25" t="inlineStr">
        <is>
          <t>A 50691-2024</t>
        </is>
      </c>
      <c r="B25" s="1" t="n">
        <v>45602</v>
      </c>
      <c r="C25" s="1" t="n">
        <v>46200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HYPERLINK("https://klasma.github.io/Logging_2513/artfynd/A 50691-2024 artfynd.xlsx", "A 50691-2024")</f>
        <v/>
      </c>
      <c r="T25">
        <f>HYPERLINK("https://klasma.github.io/Logging_2513/kartor/A 50691-2024 karta.png", "A 50691-2024")</f>
        <v/>
      </c>
      <c r="V25">
        <f>HYPERLINK("https://klasma.github.io/Logging_2513/klagomål/A 50691-2024 FSC-klagomål.docx", "A 50691-2024")</f>
        <v/>
      </c>
      <c r="W25">
        <f>HYPERLINK("https://klasma.github.io/Logging_2513/klagomålsmail/A 50691-2024 FSC-klagomål mail.docx", "A 50691-2024")</f>
        <v/>
      </c>
      <c r="X25">
        <f>HYPERLINK("https://klasma.github.io/Logging_2513/tillsyn/A 50691-2024 tillsynsbegäran.docx", "A 50691-2024")</f>
        <v/>
      </c>
      <c r="Y25">
        <f>HYPERLINK("https://klasma.github.io/Logging_2513/tillsynsmail/A 50691-2024 tillsynsbegäran mail.docx", "A 50691-2024")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46200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46200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36381-2024</t>
        </is>
      </c>
      <c r="B28" s="1" t="n">
        <v>45534</v>
      </c>
      <c r="C28" s="1" t="n">
        <v>46200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Orre</t>
        </is>
      </c>
      <c r="S28">
        <f>HYPERLINK("https://klasma.github.io/Logging_2513/artfynd/A 36381-2024 artfynd.xlsx", "A 36381-2024")</f>
        <v/>
      </c>
      <c r="T28">
        <f>HYPERLINK("https://klasma.github.io/Logging_2513/kartor/A 36381-2024 karta.png", "A 36381-2024")</f>
        <v/>
      </c>
      <c r="V28">
        <f>HYPERLINK("https://klasma.github.io/Logging_2513/klagomål/A 36381-2024 FSC-klagomål.docx", "A 36381-2024")</f>
        <v/>
      </c>
      <c r="W28">
        <f>HYPERLINK("https://klasma.github.io/Logging_2513/klagomålsmail/A 36381-2024 FSC-klagomål mail.docx", "A 36381-2024")</f>
        <v/>
      </c>
      <c r="X28">
        <f>HYPERLINK("https://klasma.github.io/Logging_2513/tillsyn/A 36381-2024 tillsynsbegäran.docx", "A 36381-2024")</f>
        <v/>
      </c>
      <c r="Y28">
        <f>HYPERLINK("https://klasma.github.io/Logging_2513/tillsynsmail/A 36381-2024 tillsynsbegäran mail.docx", "A 36381-2024")</f>
        <v/>
      </c>
      <c r="Z28">
        <f>HYPERLINK("https://klasma.github.io/Logging_2513/fåglar/A 36381-2024 prioriterade fågelarter.docx", "A 36381-2024")</f>
        <v/>
      </c>
    </row>
    <row r="29" ht="15" customHeight="1">
      <c r="A29" t="inlineStr">
        <is>
          <t>A 34921-2025</t>
        </is>
      </c>
      <c r="B29" s="1" t="n">
        <v>45849</v>
      </c>
      <c r="C29" s="1" t="n">
        <v>46200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40116-2025</t>
        </is>
      </c>
      <c r="B30" s="1" t="n">
        <v>45894</v>
      </c>
      <c r="C30" s="1" t="n">
        <v>46200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46200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42285-2025</t>
        </is>
      </c>
      <c r="B32" s="1" t="n">
        <v>45904</v>
      </c>
      <c r="C32" s="1" t="n">
        <v>46200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26452-2025</t>
        </is>
      </c>
      <c r="B33" s="1" t="n">
        <v>45807</v>
      </c>
      <c r="C33" s="1" t="n">
        <v>46200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Stor aspticka</t>
        </is>
      </c>
      <c r="S33">
        <f>HYPERLINK("https://klasma.github.io/Logging_2513/artfynd/A 26452-2025 artfynd.xlsx", "A 26452-2025")</f>
        <v/>
      </c>
      <c r="T33">
        <f>HYPERLINK("https://klasma.github.io/Logging_2513/kartor/A 26452-2025 karta.png", "A 26452-2025")</f>
        <v/>
      </c>
      <c r="V33">
        <f>HYPERLINK("https://klasma.github.io/Logging_2513/klagomål/A 26452-2025 FSC-klagomål.docx", "A 26452-2025")</f>
        <v/>
      </c>
      <c r="W33">
        <f>HYPERLINK("https://klasma.github.io/Logging_2513/klagomålsmail/A 26452-2025 FSC-klagomål mail.docx", "A 26452-2025")</f>
        <v/>
      </c>
      <c r="X33">
        <f>HYPERLINK("https://klasma.github.io/Logging_2513/tillsyn/A 26452-2025 tillsynsbegäran.docx", "A 26452-2025")</f>
        <v/>
      </c>
      <c r="Y33">
        <f>HYPERLINK("https://klasma.github.io/Logging_2513/tillsynsmail/A 26452-2025 tillsynsbegäran mail.docx", "A 26452-2025")</f>
        <v/>
      </c>
    </row>
    <row r="34" ht="15" customHeight="1">
      <c r="A34" t="inlineStr">
        <is>
          <t>A 62951-2025</t>
        </is>
      </c>
      <c r="B34" s="1" t="n">
        <v>46009</v>
      </c>
      <c r="C34" s="1" t="n">
        <v>46200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4.2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HYPERLINK("https://klasma.github.io/Logging_2513/artfynd/A 62951-2025 artfynd.xlsx", "A 62951-2025")</f>
        <v/>
      </c>
      <c r="T34">
        <f>HYPERLINK("https://klasma.github.io/Logging_2513/kartor/A 62951-2025 karta.png", "A 62951-2025")</f>
        <v/>
      </c>
      <c r="V34">
        <f>HYPERLINK("https://klasma.github.io/Logging_2513/klagomål/A 62951-2025 FSC-klagomål.docx", "A 62951-2025")</f>
        <v/>
      </c>
      <c r="W34">
        <f>HYPERLINK("https://klasma.github.io/Logging_2513/klagomålsmail/A 62951-2025 FSC-klagomål mail.docx", "A 62951-2025")</f>
        <v/>
      </c>
      <c r="X34">
        <f>HYPERLINK("https://klasma.github.io/Logging_2513/tillsyn/A 62951-2025 tillsynsbegäran.docx", "A 62951-2025")</f>
        <v/>
      </c>
      <c r="Y34">
        <f>HYPERLINK("https://klasma.github.io/Logging_2513/tillsynsmail/A 62951-2025 tillsynsbegäran mail.docx", "A 62951-2025")</f>
        <v/>
      </c>
    </row>
    <row r="35" ht="15" customHeight="1">
      <c r="A35" t="inlineStr">
        <is>
          <t>A 14152-2026</t>
        </is>
      </c>
      <c r="B35" s="1" t="n">
        <v>46099</v>
      </c>
      <c r="C35" s="1" t="n">
        <v>46200</v>
      </c>
      <c r="D35" t="inlineStr">
        <is>
          <t>NORRBOTTENS LÄN</t>
        </is>
      </c>
      <c r="E35" t="inlineStr">
        <is>
          <t>ÖVERKALIX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Källpraktmossa
Spädstarr</t>
        </is>
      </c>
      <c r="S35">
        <f>HYPERLINK("https://klasma.github.io/Logging_2513/artfynd/A 14152-2026 artfynd.xlsx", "A 14152-2026")</f>
        <v/>
      </c>
      <c r="T35">
        <f>HYPERLINK("https://klasma.github.io/Logging_2513/kartor/A 14152-2026 karta.png", "A 14152-2026")</f>
        <v/>
      </c>
      <c r="V35">
        <f>HYPERLINK("https://klasma.github.io/Logging_2513/klagomål/A 14152-2026 FSC-klagomål.docx", "A 14152-2026")</f>
        <v/>
      </c>
      <c r="W35">
        <f>HYPERLINK("https://klasma.github.io/Logging_2513/klagomålsmail/A 14152-2026 FSC-klagomål mail.docx", "A 14152-2026")</f>
        <v/>
      </c>
      <c r="X35">
        <f>HYPERLINK("https://klasma.github.io/Logging_2513/tillsyn/A 14152-2026 tillsynsbegäran.docx", "A 14152-2026")</f>
        <v/>
      </c>
      <c r="Y35">
        <f>HYPERLINK("https://klasma.github.io/Logging_2513/tillsynsmail/A 14152-2026 tillsynsbegäran mail.docx", "A 14152-2026")</f>
        <v/>
      </c>
    </row>
    <row r="36" ht="15" customHeight="1">
      <c r="A36" t="inlineStr">
        <is>
          <t>A 47680-2024</t>
        </is>
      </c>
      <c r="B36" s="1" t="n">
        <v>45588</v>
      </c>
      <c r="C36" s="1" t="n">
        <v>46200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Blå taggsvamp
Skarp dropptaggsvamp</t>
        </is>
      </c>
      <c r="S36">
        <f>HYPERLINK("https://klasma.github.io/Logging_2513/artfynd/A 47680-2024 artfynd.xlsx", "A 47680-2024")</f>
        <v/>
      </c>
      <c r="T36">
        <f>HYPERLINK("https://klasma.github.io/Logging_2513/kartor/A 47680-2024 karta.png", "A 47680-2024")</f>
        <v/>
      </c>
      <c r="V36">
        <f>HYPERLINK("https://klasma.github.io/Logging_2513/klagomål/A 47680-2024 FSC-klagomål.docx", "A 47680-2024")</f>
        <v/>
      </c>
      <c r="W36">
        <f>HYPERLINK("https://klasma.github.io/Logging_2513/klagomålsmail/A 47680-2024 FSC-klagomål mail.docx", "A 47680-2024")</f>
        <v/>
      </c>
      <c r="X36">
        <f>HYPERLINK("https://klasma.github.io/Logging_2513/tillsyn/A 47680-2024 tillsynsbegäran.docx", "A 47680-2024")</f>
        <v/>
      </c>
      <c r="Y36">
        <f>HYPERLINK("https://klasma.github.io/Logging_2513/tillsynsmail/A 47680-2024 tillsynsbegäran mail.docx", "A 47680-2024")</f>
        <v/>
      </c>
    </row>
    <row r="37" ht="15" customHeight="1">
      <c r="A37" t="inlineStr">
        <is>
          <t>A 28029-2026</t>
        </is>
      </c>
      <c r="B37" s="1" t="n">
        <v>46195</v>
      </c>
      <c r="C37" s="1" t="n">
        <v>46200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Blå taggsvamp
Bollvitmossa</t>
        </is>
      </c>
      <c r="S37">
        <f>HYPERLINK("https://klasma.github.io/Logging_2513/artfynd/A 28029-2026 artfynd.xlsx", "A 28029-2026")</f>
        <v/>
      </c>
      <c r="T37">
        <f>HYPERLINK("https://klasma.github.io/Logging_2513/kartor/A 28029-2026 karta.png", "A 28029-2026")</f>
        <v/>
      </c>
      <c r="V37">
        <f>HYPERLINK("https://klasma.github.io/Logging_2513/klagomål/A 28029-2026 FSC-klagomål.docx", "A 28029-2026")</f>
        <v/>
      </c>
      <c r="W37">
        <f>HYPERLINK("https://klasma.github.io/Logging_2513/klagomålsmail/A 28029-2026 FSC-klagomål mail.docx", "A 28029-2026")</f>
        <v/>
      </c>
      <c r="X37">
        <f>HYPERLINK("https://klasma.github.io/Logging_2513/tillsyn/A 28029-2026 tillsynsbegäran.docx", "A 28029-2026")</f>
        <v/>
      </c>
      <c r="Y37">
        <f>HYPERLINK("https://klasma.github.io/Logging_2513/tillsynsmail/A 28029-2026 tillsynsbegäran mail.docx", "A 28029-2026")</f>
        <v/>
      </c>
    </row>
    <row r="38" ht="15" customHeight="1">
      <c r="A38" t="inlineStr">
        <is>
          <t>A 28929-2026</t>
        </is>
      </c>
      <c r="B38" s="1" t="n">
        <v>46199</v>
      </c>
      <c r="C38" s="1" t="n">
        <v>46200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HYPERLINK("https://klasma.github.io/Logging_2513/artfynd/A 28929-2026 artfynd.xlsx", "A 28929-2026")</f>
        <v/>
      </c>
      <c r="T38">
        <f>HYPERLINK("https://klasma.github.io/Logging_2513/kartor/A 28929-2026 karta.png", "A 28929-2026")</f>
        <v/>
      </c>
      <c r="U38">
        <f>HYPERLINK("https://klasma.github.io/Logging_2513/knärot/A 28929-2026 karta knärot.png", "A 28929-2026")</f>
        <v/>
      </c>
      <c r="V38">
        <f>HYPERLINK("https://klasma.github.io/Logging_2513/klagomål/A 28929-2026 FSC-klagomål.docx", "A 28929-2026")</f>
        <v/>
      </c>
      <c r="W38">
        <f>HYPERLINK("https://klasma.github.io/Logging_2513/klagomålsmail/A 28929-2026 FSC-klagomål mail.docx", "A 28929-2026")</f>
        <v/>
      </c>
      <c r="X38">
        <f>HYPERLINK("https://klasma.github.io/Logging_2513/tillsyn/A 28929-2026 tillsynsbegäran.docx", "A 28929-2026")</f>
        <v/>
      </c>
      <c r="Y38">
        <f>HYPERLINK("https://klasma.github.io/Logging_2513/tillsynsmail/A 28929-2026 tillsynsbegäran mail.docx", "A 28929-2026")</f>
        <v/>
      </c>
    </row>
    <row r="39" ht="15" customHeight="1">
      <c r="A39" t="inlineStr">
        <is>
          <t>A 28998-2026</t>
        </is>
      </c>
      <c r="B39" s="1" t="n">
        <v>46199</v>
      </c>
      <c r="C39" s="1" t="n">
        <v>46200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46.7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Fläcknycklar</t>
        </is>
      </c>
      <c r="S39">
        <f>HYPERLINK("https://klasma.github.io/Logging_2513/artfynd/A 28998-2026 artfynd.xlsx", "A 28998-2026")</f>
        <v/>
      </c>
      <c r="T39">
        <f>HYPERLINK("https://klasma.github.io/Logging_2513/kartor/A 28998-2026 karta.png", "A 28998-2026")</f>
        <v/>
      </c>
      <c r="V39">
        <f>HYPERLINK("https://klasma.github.io/Logging_2513/klagomål/A 28998-2026 FSC-klagomål.docx", "A 28998-2026")</f>
        <v/>
      </c>
      <c r="W39">
        <f>HYPERLINK("https://klasma.github.io/Logging_2513/klagomålsmail/A 28998-2026 FSC-klagomål mail.docx", "A 28998-2026")</f>
        <v/>
      </c>
      <c r="X39">
        <f>HYPERLINK("https://klasma.github.io/Logging_2513/tillsyn/A 28998-2026 tillsynsbegäran.docx", "A 28998-2026")</f>
        <v/>
      </c>
      <c r="Y39">
        <f>HYPERLINK("https://klasma.github.io/Logging_2513/tillsynsmail/A 28998-2026 tillsynsbegäran mail.docx", "A 28998-2026")</f>
        <v/>
      </c>
    </row>
    <row r="40" ht="15" customHeight="1">
      <c r="A40" t="inlineStr">
        <is>
          <t>A 23373-2026</t>
        </is>
      </c>
      <c r="B40" s="1" t="n">
        <v>46162</v>
      </c>
      <c r="C40" s="1" t="n">
        <v>46200</v>
      </c>
      <c r="D40" t="inlineStr">
        <is>
          <t>NORRBOTTENS LÄN</t>
        </is>
      </c>
      <c r="E40" t="inlineStr">
        <is>
          <t>ÖVERKALIX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Sälg</t>
        </is>
      </c>
      <c r="S40">
        <f>HYPERLINK("https://klasma.github.io/Logging_2513/artfynd/A 23373-2026 artfynd.xlsx", "A 23373-2026")</f>
        <v/>
      </c>
      <c r="T40">
        <f>HYPERLINK("https://klasma.github.io/Logging_2513/kartor/A 23373-2026 karta.png", "A 23373-2026")</f>
        <v/>
      </c>
      <c r="V40">
        <f>HYPERLINK("https://klasma.github.io/Logging_2513/klagomål/A 23373-2026 FSC-klagomål.docx", "A 23373-2026")</f>
        <v/>
      </c>
      <c r="W40">
        <f>HYPERLINK("https://klasma.github.io/Logging_2513/klagomålsmail/A 23373-2026 FSC-klagomål mail.docx", "A 23373-2026")</f>
        <v/>
      </c>
      <c r="X40">
        <f>HYPERLINK("https://klasma.github.io/Logging_2513/tillsyn/A 23373-2026 tillsynsbegäran.docx", "A 23373-2026")</f>
        <v/>
      </c>
      <c r="Y40">
        <f>HYPERLINK("https://klasma.github.io/Logging_2513/tillsynsmail/A 23373-2026 tillsynsbegäran mail.docx", "A 23373-2026")</f>
        <v/>
      </c>
    </row>
    <row r="41" ht="15" customHeight="1">
      <c r="A41" t="inlineStr">
        <is>
          <t>A 15137-2022</t>
        </is>
      </c>
      <c r="B41" s="1" t="n">
        <v>44658</v>
      </c>
      <c r="C41" s="1" t="n">
        <v>46200</v>
      </c>
      <c r="D41" t="inlineStr">
        <is>
          <t>NORRBOTTENS LÄN</t>
        </is>
      </c>
      <c r="E41" t="inlineStr">
        <is>
          <t>ÖVERKALIX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HYPERLINK("https://klasma.github.io/Logging_2513/artfynd/A 15137-2022 artfynd.xlsx", "A 15137-2022")</f>
        <v/>
      </c>
      <c r="T41">
        <f>HYPERLINK("https://klasma.github.io/Logging_2513/kartor/A 15137-2022 karta.png", "A 15137-2022")</f>
        <v/>
      </c>
      <c r="V41">
        <f>HYPERLINK("https://klasma.github.io/Logging_2513/klagomål/A 15137-2022 FSC-klagomål.docx", "A 15137-2022")</f>
        <v/>
      </c>
      <c r="W41">
        <f>HYPERLINK("https://klasma.github.io/Logging_2513/klagomålsmail/A 15137-2022 FSC-klagomål mail.docx", "A 15137-2022")</f>
        <v/>
      </c>
      <c r="X41">
        <f>HYPERLINK("https://klasma.github.io/Logging_2513/tillsyn/A 15137-2022 tillsynsbegäran.docx", "A 15137-2022")</f>
        <v/>
      </c>
      <c r="Y41">
        <f>HYPERLINK("https://klasma.github.io/Logging_2513/tillsynsmail/A 15137-2022 tillsynsbegäran mail.docx", "A 15137-2022")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46200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46200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22977-2022</t>
        </is>
      </c>
      <c r="B44" s="1" t="n">
        <v>44717</v>
      </c>
      <c r="C44" s="1" t="n">
        <v>46200</v>
      </c>
      <c r="D44" t="inlineStr">
        <is>
          <t>NORRBOTTENS LÄN</t>
        </is>
      </c>
      <c r="E44" t="inlineStr">
        <is>
          <t>ÖVERKALIX</t>
        </is>
      </c>
      <c r="G44" t="n">
        <v>19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HYPERLINK("https://klasma.github.io/Logging_2513/artfynd/A 22977-2022 artfynd.xlsx", "A 22977-2022")</f>
        <v/>
      </c>
      <c r="T44">
        <f>HYPERLINK("https://klasma.github.io/Logging_2513/kartor/A 22977-2022 karta.png", "A 22977-2022")</f>
        <v/>
      </c>
      <c r="V44">
        <f>HYPERLINK("https://klasma.github.io/Logging_2513/klagomål/A 22977-2022 FSC-klagomål.docx", "A 22977-2022")</f>
        <v/>
      </c>
      <c r="W44">
        <f>HYPERLINK("https://klasma.github.io/Logging_2513/klagomålsmail/A 22977-2022 FSC-klagomål mail.docx", "A 22977-2022")</f>
        <v/>
      </c>
      <c r="X44">
        <f>HYPERLINK("https://klasma.github.io/Logging_2513/tillsyn/A 22977-2022 tillsynsbegäran.docx", "A 22977-2022")</f>
        <v/>
      </c>
      <c r="Y44">
        <f>HYPERLINK("https://klasma.github.io/Logging_2513/tillsynsmail/A 22977-2022 tillsynsbegäran mail.docx", "A 22977-2022")</f>
        <v/>
      </c>
      <c r="Z44">
        <f>HYPERLINK("https://klasma.github.io/Logging_2513/fåglar/A 22977-2022 prioriterade fågelarter.docx", "A 22977-2022")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46200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7234-2023</t>
        </is>
      </c>
      <c r="B46" s="1" t="n">
        <v>44970</v>
      </c>
      <c r="C46" s="1" t="n">
        <v>46200</v>
      </c>
      <c r="D46" t="inlineStr">
        <is>
          <t>NORRBOTTENS LÄN</t>
        </is>
      </c>
      <c r="E46" t="inlineStr">
        <is>
          <t>ÖVERKALIX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7234-2023 artfynd.xlsx", "A 7234-2023")</f>
        <v/>
      </c>
      <c r="T46">
        <f>HYPERLINK("https://klasma.github.io/Logging_2513/kartor/A 7234-2023 karta.png", "A 7234-2023")</f>
        <v/>
      </c>
      <c r="V46">
        <f>HYPERLINK("https://klasma.github.io/Logging_2513/klagomål/A 7234-2023 FSC-klagomål.docx", "A 7234-2023")</f>
        <v/>
      </c>
      <c r="W46">
        <f>HYPERLINK("https://klasma.github.io/Logging_2513/klagomålsmail/A 7234-2023 FSC-klagomål mail.docx", "A 7234-2023")</f>
        <v/>
      </c>
      <c r="X46">
        <f>HYPERLINK("https://klasma.github.io/Logging_2513/tillsyn/A 7234-2023 tillsynsbegäran.docx", "A 7234-2023")</f>
        <v/>
      </c>
      <c r="Y46">
        <f>HYPERLINK("https://klasma.github.io/Logging_2513/tillsynsmail/A 7234-2023 tillsynsbegäran mail.docx", "A 7234-2023")</f>
        <v/>
      </c>
      <c r="Z46">
        <f>HYPERLINK("https://klasma.github.io/Logging_2513/fåglar/A 7234-2023 prioriterade fågelarter.docx", "A 7234-2023")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46200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27452-2025</t>
        </is>
      </c>
      <c r="B48" s="1" t="n">
        <v>45813</v>
      </c>
      <c r="C48" s="1" t="n">
        <v>46200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HYPERLINK("https://klasma.github.io/Logging_2513/artfynd/A 27452-2025 artfynd.xlsx", "A 27452-2025")</f>
        <v/>
      </c>
      <c r="T48">
        <f>HYPERLINK("https://klasma.github.io/Logging_2513/kartor/A 27452-2025 karta.png", "A 27452-2025")</f>
        <v/>
      </c>
      <c r="V48">
        <f>HYPERLINK("https://klasma.github.io/Logging_2513/klagomål/A 27452-2025 FSC-klagomål.docx", "A 27452-2025")</f>
        <v/>
      </c>
      <c r="W48">
        <f>HYPERLINK("https://klasma.github.io/Logging_2513/klagomålsmail/A 27452-2025 FSC-klagomål mail.docx", "A 27452-2025")</f>
        <v/>
      </c>
      <c r="X48">
        <f>HYPERLINK("https://klasma.github.io/Logging_2513/tillsyn/A 27452-2025 tillsynsbegäran.docx", "A 27452-2025")</f>
        <v/>
      </c>
      <c r="Y48">
        <f>HYPERLINK("https://klasma.github.io/Logging_2513/tillsynsmail/A 27452-2025 tillsynsbegäran mail.docx", "A 27452-2025")</f>
        <v/>
      </c>
      <c r="Z48">
        <f>HYPERLINK("https://klasma.github.io/Logging_2513/fåglar/A 27452-2025 prioriterade fågelarter.docx", "A 27452-2025")</f>
        <v/>
      </c>
    </row>
    <row r="49" ht="15" customHeight="1">
      <c r="A49" t="inlineStr">
        <is>
          <t>A 8407-2025</t>
        </is>
      </c>
      <c r="B49" s="1" t="n">
        <v>45709</v>
      </c>
      <c r="C49" s="1" t="n">
        <v>46200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Tallbit</t>
        </is>
      </c>
      <c r="S49">
        <f>HYPERLINK("https://klasma.github.io/Logging_2513/artfynd/A 8407-2025 artfynd.xlsx", "A 8407-2025")</f>
        <v/>
      </c>
      <c r="T49">
        <f>HYPERLINK("https://klasma.github.io/Logging_2513/kartor/A 8407-2025 karta.png", "A 8407-2025")</f>
        <v/>
      </c>
      <c r="V49">
        <f>HYPERLINK("https://klasma.github.io/Logging_2513/klagomål/A 8407-2025 FSC-klagomål.docx", "A 8407-2025")</f>
        <v/>
      </c>
      <c r="W49">
        <f>HYPERLINK("https://klasma.github.io/Logging_2513/klagomålsmail/A 8407-2025 FSC-klagomål mail.docx", "A 8407-2025")</f>
        <v/>
      </c>
      <c r="X49">
        <f>HYPERLINK("https://klasma.github.io/Logging_2513/tillsyn/A 8407-2025 tillsynsbegäran.docx", "A 8407-2025")</f>
        <v/>
      </c>
      <c r="Y49">
        <f>HYPERLINK("https://klasma.github.io/Logging_2513/tillsynsmail/A 8407-2025 tillsynsbegäran mail.docx", "A 8407-2025")</f>
        <v/>
      </c>
      <c r="Z49">
        <f>HYPERLINK("https://klasma.github.io/Logging_2513/fåglar/A 8407-2025 prioriterade fågelarter.docx", "A 8407-2025")</f>
        <v/>
      </c>
    </row>
    <row r="50" ht="15" customHeight="1">
      <c r="A50" t="inlineStr">
        <is>
          <t>A 35602-2025</t>
        </is>
      </c>
      <c r="B50" s="1" t="n">
        <v>45859</v>
      </c>
      <c r="C50" s="1" t="n">
        <v>46200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21777-2024</t>
        </is>
      </c>
      <c r="B51" s="1" t="n">
        <v>45442</v>
      </c>
      <c r="C51" s="1" t="n">
        <v>46200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21777-2024 artfynd.xlsx", "A 21777-2024")</f>
        <v/>
      </c>
      <c r="T51">
        <f>HYPERLINK("https://klasma.github.io/Logging_2513/kartor/A 21777-2024 karta.png", "A 21777-2024")</f>
        <v/>
      </c>
      <c r="V51">
        <f>HYPERLINK("https://klasma.github.io/Logging_2513/klagomål/A 21777-2024 FSC-klagomål.docx", "A 21777-2024")</f>
        <v/>
      </c>
      <c r="W51">
        <f>HYPERLINK("https://klasma.github.io/Logging_2513/klagomålsmail/A 21777-2024 FSC-klagomål mail.docx", "A 21777-2024")</f>
        <v/>
      </c>
      <c r="X51">
        <f>HYPERLINK("https://klasma.github.io/Logging_2513/tillsyn/A 21777-2024 tillsynsbegäran.docx", "A 21777-2024")</f>
        <v/>
      </c>
      <c r="Y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s="1" t="n">
        <v>45805</v>
      </c>
      <c r="C52" s="1" t="n">
        <v>46200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25335-2026</t>
        </is>
      </c>
      <c r="B53" s="1" t="n">
        <v>46176</v>
      </c>
      <c r="C53" s="1" t="n">
        <v>46200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25335-2026 artfynd.xlsx", "A 25335-2026")</f>
        <v/>
      </c>
      <c r="T53">
        <f>HYPERLINK("https://klasma.github.io/Logging_2513/kartor/A 25335-2026 karta.png", "A 25335-2026")</f>
        <v/>
      </c>
      <c r="V53">
        <f>HYPERLINK("https://klasma.github.io/Logging_2513/klagomål/A 25335-2026 FSC-klagomål.docx", "A 25335-2026")</f>
        <v/>
      </c>
      <c r="W53">
        <f>HYPERLINK("https://klasma.github.io/Logging_2513/klagomålsmail/A 25335-2026 FSC-klagomål mail.docx", "A 25335-2026")</f>
        <v/>
      </c>
      <c r="X53">
        <f>HYPERLINK("https://klasma.github.io/Logging_2513/tillsyn/A 25335-2026 tillsynsbegäran.docx", "A 25335-2026")</f>
        <v/>
      </c>
      <c r="Y53">
        <f>HYPERLINK("https://klasma.github.io/Logging_2513/tillsynsmail/A 25335-2026 tillsynsbegäran mail.docx", "A 25335-2026")</f>
        <v/>
      </c>
    </row>
    <row r="54" ht="15" customHeight="1">
      <c r="A54" t="inlineStr">
        <is>
          <t>A 71902-2021</t>
        </is>
      </c>
      <c r="B54" s="1" t="n">
        <v>44539</v>
      </c>
      <c r="C54" s="1" t="n">
        <v>46200</v>
      </c>
      <c r="D54" t="inlineStr">
        <is>
          <t>NORRBOTTENS LÄN</t>
        </is>
      </c>
      <c r="E54" t="inlineStr">
        <is>
          <t>ÖVERKALIX</t>
        </is>
      </c>
      <c r="G54" t="n">
        <v>24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HYPERLINK("https://klasma.github.io/Logging_2513/artfynd/A 71902-2021 artfynd.xlsx", "A 71902-2021")</f>
        <v/>
      </c>
      <c r="T54">
        <f>HYPERLINK("https://klasma.github.io/Logging_2513/kartor/A 71902-2021 karta.png", "A 71902-2021")</f>
        <v/>
      </c>
      <c r="V54">
        <f>HYPERLINK("https://klasma.github.io/Logging_2513/klagomål/A 71902-2021 FSC-klagomål.docx", "A 71902-2021")</f>
        <v/>
      </c>
      <c r="W54">
        <f>HYPERLINK("https://klasma.github.io/Logging_2513/klagomålsmail/A 71902-2021 FSC-klagomål mail.docx", "A 71902-2021")</f>
        <v/>
      </c>
      <c r="X54">
        <f>HYPERLINK("https://klasma.github.io/Logging_2513/tillsyn/A 71902-2021 tillsynsbegäran.docx", "A 71902-2021")</f>
        <v/>
      </c>
      <c r="Y54">
        <f>HYPERLINK("https://klasma.github.io/Logging_2513/tillsynsmail/A 71902-2021 tillsynsbegäran mail.docx", "A 71902-2021")</f>
        <v/>
      </c>
      <c r="Z54">
        <f>HYPERLINK("https://klasma.github.io/Logging_2513/fåglar/A 71902-2021 prioriterade fågelarter.docx", "A 71902-2021")</f>
        <v/>
      </c>
    </row>
    <row r="55" ht="15" customHeight="1">
      <c r="A55" t="inlineStr">
        <is>
          <t>A 23383-2026</t>
        </is>
      </c>
      <c r="B55" s="1" t="n">
        <v>46162</v>
      </c>
      <c r="C55" s="1" t="n">
        <v>46200</v>
      </c>
      <c r="D55" t="inlineStr">
        <is>
          <t>NORRBOTTENS LÄN</t>
        </is>
      </c>
      <c r="E55" t="inlineStr">
        <is>
          <t>ÖVERKALIX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HYPERLINK("https://klasma.github.io/Logging_2513/artfynd/A 23383-2026 artfynd.xlsx", "A 23383-2026")</f>
        <v/>
      </c>
      <c r="T55">
        <f>HYPERLINK("https://klasma.github.io/Logging_2513/kartor/A 23383-2026 karta.png", "A 23383-2026")</f>
        <v/>
      </c>
      <c r="V55">
        <f>HYPERLINK("https://klasma.github.io/Logging_2513/klagomål/A 23383-2026 FSC-klagomål.docx", "A 23383-2026")</f>
        <v/>
      </c>
      <c r="W55">
        <f>HYPERLINK("https://klasma.github.io/Logging_2513/klagomålsmail/A 23383-2026 FSC-klagomål mail.docx", "A 23383-2026")</f>
        <v/>
      </c>
      <c r="X55">
        <f>HYPERLINK("https://klasma.github.io/Logging_2513/tillsyn/A 23383-2026 tillsynsbegäran.docx", "A 23383-2026")</f>
        <v/>
      </c>
      <c r="Y55">
        <f>HYPERLINK("https://klasma.github.io/Logging_2513/tillsynsmail/A 23383-2026 tillsynsbegäran mail.docx", "A 23383-2026")</f>
        <v/>
      </c>
    </row>
    <row r="56" ht="15" customHeight="1">
      <c r="A56" t="inlineStr">
        <is>
          <t>A 3174-2022</t>
        </is>
      </c>
      <c r="B56" s="1" t="n">
        <v>44582</v>
      </c>
      <c r="C56" s="1" t="n">
        <v>46200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46200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46200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46200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</v>
      </c>
      <c r="C60" s="1" t="n">
        <v>46200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46200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46200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46200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46200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</v>
      </c>
      <c r="C65" s="1" t="n">
        <v>46200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</v>
      </c>
      <c r="C66" s="1" t="n">
        <v>46200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46200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</v>
      </c>
      <c r="C68" s="1" t="n">
        <v>46200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46200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46200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</v>
      </c>
      <c r="C71" s="1" t="n">
        <v>46200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</v>
      </c>
      <c r="C72" s="1" t="n">
        <v>46200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46200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46200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</v>
      </c>
      <c r="C75" s="1" t="n">
        <v>46200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46200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43433-2021</t>
        </is>
      </c>
      <c r="B77" s="1" t="n">
        <v>44432</v>
      </c>
      <c r="C77" s="1" t="n">
        <v>46200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64304-2021</t>
        </is>
      </c>
      <c r="B78" s="1" t="n">
        <v>44510</v>
      </c>
      <c r="C78" s="1" t="n">
        <v>46200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54220-2021</t>
        </is>
      </c>
      <c r="B79" s="1" t="n">
        <v>44470</v>
      </c>
      <c r="C79" s="1" t="n">
        <v>46200</v>
      </c>
      <c r="D79" t="inlineStr">
        <is>
          <t>NORRBOTTENS LÄN</t>
        </is>
      </c>
      <c r="E79" t="inlineStr">
        <is>
          <t>ÖVERKALIX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46200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10553-2022</t>
        </is>
      </c>
      <c r="B81" s="1" t="n">
        <v>44623</v>
      </c>
      <c r="C81" s="1" t="n">
        <v>46200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46200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46200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69110-2021</t>
        </is>
      </c>
      <c r="B84" s="1" t="n">
        <v>44530</v>
      </c>
      <c r="C84" s="1" t="n">
        <v>46200</v>
      </c>
      <c r="D84" t="inlineStr">
        <is>
          <t>NORRBOTTENS LÄN</t>
        </is>
      </c>
      <c r="E84" t="inlineStr">
        <is>
          <t>ÖVERKALIX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</v>
      </c>
      <c r="C85" s="1" t="n">
        <v>46200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43687-2021</t>
        </is>
      </c>
      <c r="B86" s="1" t="n">
        <v>44433</v>
      </c>
      <c r="C86" s="1" t="n">
        <v>46200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52027-2022</t>
        </is>
      </c>
      <c r="B87" s="1" t="n">
        <v>44872</v>
      </c>
      <c r="C87" s="1" t="n">
        <v>46200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72364-2021</t>
        </is>
      </c>
      <c r="B88" s="1" t="n">
        <v>44543</v>
      </c>
      <c r="C88" s="1" t="n">
        <v>46200</v>
      </c>
      <c r="D88" t="inlineStr">
        <is>
          <t>NORRBOTTENS LÄN</t>
        </is>
      </c>
      <c r="E88" t="inlineStr">
        <is>
          <t>ÖVERKALIX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6916-2022</t>
        </is>
      </c>
      <c r="B89" s="1" t="n">
        <v>44602</v>
      </c>
      <c r="C89" s="1" t="n">
        <v>46200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27681-2023</t>
        </is>
      </c>
      <c r="B90" s="1" t="n">
        <v>45097</v>
      </c>
      <c r="C90" s="1" t="n">
        <v>46200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44952-2024</t>
        </is>
      </c>
      <c r="B91" s="1" t="n">
        <v>45575</v>
      </c>
      <c r="C91" s="1" t="n">
        <v>46200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55853-2024</t>
        </is>
      </c>
      <c r="B92" s="1" t="n">
        <v>45622</v>
      </c>
      <c r="C92" s="1" t="n">
        <v>46200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13372-2023</t>
        </is>
      </c>
      <c r="B93" s="1" t="n">
        <v>45005</v>
      </c>
      <c r="C93" s="1" t="n">
        <v>46200</v>
      </c>
      <c r="D93" t="inlineStr">
        <is>
          <t>NORRBOTTENS LÄN</t>
        </is>
      </c>
      <c r="E93" t="inlineStr">
        <is>
          <t>ÖVERKALIX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54025-2023</t>
        </is>
      </c>
      <c r="B94" s="1" t="n">
        <v>45231</v>
      </c>
      <c r="C94" s="1" t="n">
        <v>46200</v>
      </c>
      <c r="D94" t="inlineStr">
        <is>
          <t>NORRBOTTENS LÄN</t>
        </is>
      </c>
      <c r="E94" t="inlineStr">
        <is>
          <t>ÖVERKALIX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11535-2024</t>
        </is>
      </c>
      <c r="B95" s="1" t="n">
        <v>45372</v>
      </c>
      <c r="C95" s="1" t="n">
        <v>46200</v>
      </c>
      <c r="D95" t="inlineStr">
        <is>
          <t>NORRBOTTENS LÄN</t>
        </is>
      </c>
      <c r="E95" t="inlineStr">
        <is>
          <t>ÖVERKALIX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55085-2024</t>
        </is>
      </c>
      <c r="B96" s="1" t="n">
        <v>45621</v>
      </c>
      <c r="C96" s="1" t="n">
        <v>46200</v>
      </c>
      <c r="D96" t="inlineStr">
        <is>
          <t>NORRBOTTENS LÄN</t>
        </is>
      </c>
      <c r="E96" t="inlineStr">
        <is>
          <t>ÖVERKALIX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53732-2022</t>
        </is>
      </c>
      <c r="B97" s="1" t="n">
        <v>44880</v>
      </c>
      <c r="C97" s="1" t="n">
        <v>46200</v>
      </c>
      <c r="D97" t="inlineStr">
        <is>
          <t>NORRBOTTENS LÄN</t>
        </is>
      </c>
      <c r="E97" t="inlineStr">
        <is>
          <t>ÖVERKALIX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19984-2025</t>
        </is>
      </c>
      <c r="B98" s="1" t="n">
        <v>45771</v>
      </c>
      <c r="C98" s="1" t="n">
        <v>46200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7039-2022</t>
        </is>
      </c>
      <c r="B99" s="1" t="n">
        <v>44603</v>
      </c>
      <c r="C99" s="1" t="n">
        <v>46200</v>
      </c>
      <c r="D99" t="inlineStr">
        <is>
          <t>NORRBOTTENS LÄN</t>
        </is>
      </c>
      <c r="E99" t="inlineStr">
        <is>
          <t>ÖVERKALIX</t>
        </is>
      </c>
      <c r="F99" t="inlineStr">
        <is>
          <t>Övriga statliga verk och myndigheter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32616-2024</t>
        </is>
      </c>
      <c r="B100" s="1" t="n">
        <v>45513</v>
      </c>
      <c r="C100" s="1" t="n">
        <v>46200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23302-2023</t>
        </is>
      </c>
      <c r="B101" s="1" t="n">
        <v>45075</v>
      </c>
      <c r="C101" s="1" t="n">
        <v>46200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6917-2023</t>
        </is>
      </c>
      <c r="B102" s="1" t="n">
        <v>44964</v>
      </c>
      <c r="C102" s="1" t="n">
        <v>46200</v>
      </c>
      <c r="D102" t="inlineStr">
        <is>
          <t>NORRBOTTENS LÄN</t>
        </is>
      </c>
      <c r="E102" t="inlineStr">
        <is>
          <t>ÖVERKALIX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41830-2024</t>
        </is>
      </c>
      <c r="B103" s="1" t="n">
        <v>45561</v>
      </c>
      <c r="C103" s="1" t="n">
        <v>46200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25506-2024</t>
        </is>
      </c>
      <c r="B104" s="1" t="n">
        <v>45463</v>
      </c>
      <c r="C104" s="1" t="n">
        <v>46200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550-2023</t>
        </is>
      </c>
      <c r="B105" s="1" t="n">
        <v>44930</v>
      </c>
      <c r="C105" s="1" t="n">
        <v>46200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59911-2024</t>
        </is>
      </c>
      <c r="B106" s="1" t="n">
        <v>45641</v>
      </c>
      <c r="C106" s="1" t="n">
        <v>46200</v>
      </c>
      <c r="D106" t="inlineStr">
        <is>
          <t>NORRBOTTENS LÄN</t>
        </is>
      </c>
      <c r="E106" t="inlineStr">
        <is>
          <t>ÖVERKALIX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</v>
      </c>
      <c r="C107" s="1" t="n">
        <v>46200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52984-2024</t>
        </is>
      </c>
      <c r="B108" s="1" t="n">
        <v>45611</v>
      </c>
      <c r="C108" s="1" t="n">
        <v>46200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34911-2023</t>
        </is>
      </c>
      <c r="B109" s="1" t="n">
        <v>45141</v>
      </c>
      <c r="C109" s="1" t="n">
        <v>46200</v>
      </c>
      <c r="D109" t="inlineStr">
        <is>
          <t>NORRBOTTENS LÄN</t>
        </is>
      </c>
      <c r="E109" t="inlineStr">
        <is>
          <t>ÖVERKALIX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59832-2024</t>
        </is>
      </c>
      <c r="B110" s="1" t="n">
        <v>45639</v>
      </c>
      <c r="C110" s="1" t="n">
        <v>46200</v>
      </c>
      <c r="D110" t="inlineStr">
        <is>
          <t>NORRBOTTENS LÄN</t>
        </is>
      </c>
      <c r="E110" t="inlineStr">
        <is>
          <t>ÖVERKALIX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20335-2022</t>
        </is>
      </c>
      <c r="B111" s="1" t="n">
        <v>44698</v>
      </c>
      <c r="C111" s="1" t="n">
        <v>46200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56402-2022</t>
        </is>
      </c>
      <c r="B112" s="1" t="n">
        <v>44890</v>
      </c>
      <c r="C112" s="1" t="n">
        <v>46200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54026-2023</t>
        </is>
      </c>
      <c r="B113" s="1" t="n">
        <v>45231</v>
      </c>
      <c r="C113" s="1" t="n">
        <v>46200</v>
      </c>
      <c r="D113" t="inlineStr">
        <is>
          <t>NORRBOTTENS LÄN</t>
        </is>
      </c>
      <c r="E113" t="inlineStr">
        <is>
          <t>ÖVERKALIX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60417-2024</t>
        </is>
      </c>
      <c r="B114" s="1" t="n">
        <v>45643</v>
      </c>
      <c r="C114" s="1" t="n">
        <v>46200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55857-2024</t>
        </is>
      </c>
      <c r="B115" s="1" t="n">
        <v>45622</v>
      </c>
      <c r="C115" s="1" t="n">
        <v>46200</v>
      </c>
      <c r="D115" t="inlineStr">
        <is>
          <t>NORRBOTTENS LÄN</t>
        </is>
      </c>
      <c r="E115" t="inlineStr">
        <is>
          <t>ÖVERKALIX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19259-2024</t>
        </is>
      </c>
      <c r="B116" s="1" t="n">
        <v>45428</v>
      </c>
      <c r="C116" s="1" t="n">
        <v>46200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55642-2023</t>
        </is>
      </c>
      <c r="B117" s="1" t="n">
        <v>45238</v>
      </c>
      <c r="C117" s="1" t="n">
        <v>46200</v>
      </c>
      <c r="D117" t="inlineStr">
        <is>
          <t>NORRBOTTENS LÄN</t>
        </is>
      </c>
      <c r="E117" t="inlineStr">
        <is>
          <t>ÖVERKALIX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38088-2023</t>
        </is>
      </c>
      <c r="B118" s="1" t="n">
        <v>45160</v>
      </c>
      <c r="C118" s="1" t="n">
        <v>46200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42721-2023</t>
        </is>
      </c>
      <c r="B119" s="1" t="n">
        <v>45181</v>
      </c>
      <c r="C119" s="1" t="n">
        <v>46200</v>
      </c>
      <c r="D119" t="inlineStr">
        <is>
          <t>NORRBOTTENS LÄN</t>
        </is>
      </c>
      <c r="E119" t="inlineStr">
        <is>
          <t>ÖVERKALIX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5170-2025</t>
        </is>
      </c>
      <c r="B120" s="1" t="n">
        <v>45691</v>
      </c>
      <c r="C120" s="1" t="n">
        <v>46200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</v>
      </c>
      <c r="C121" s="1" t="n">
        <v>46200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</v>
      </c>
      <c r="C122" s="1" t="n">
        <v>46200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46200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62259-2021</t>
        </is>
      </c>
      <c r="B124" s="1" t="n">
        <v>44501</v>
      </c>
      <c r="C124" s="1" t="n">
        <v>46200</v>
      </c>
      <c r="D124" t="inlineStr">
        <is>
          <t>NORRBOTTENS LÄN</t>
        </is>
      </c>
      <c r="E124" t="inlineStr">
        <is>
          <t>ÖVERKALIX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6122-2023</t>
        </is>
      </c>
      <c r="B125" s="1" t="n">
        <v>44964</v>
      </c>
      <c r="C125" s="1" t="n">
        <v>46200</v>
      </c>
      <c r="D125" t="inlineStr">
        <is>
          <t>NORRBOTTENS LÄN</t>
        </is>
      </c>
      <c r="E125" t="inlineStr">
        <is>
          <t>ÖVERKALIX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58764-2023</t>
        </is>
      </c>
      <c r="B126" s="1" t="n">
        <v>45251</v>
      </c>
      <c r="C126" s="1" t="n">
        <v>46200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5526-2025</t>
        </is>
      </c>
      <c r="B127" s="1" t="n">
        <v>45693</v>
      </c>
      <c r="C127" s="1" t="n">
        <v>46200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24290-2024</t>
        </is>
      </c>
      <c r="B128" s="1" t="n">
        <v>45457</v>
      </c>
      <c r="C128" s="1" t="n">
        <v>46200</v>
      </c>
      <c r="D128" t="inlineStr">
        <is>
          <t>NORRBOTTENS LÄN</t>
        </is>
      </c>
      <c r="E128" t="inlineStr">
        <is>
          <t>ÖVERKALIX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2992-2024</t>
        </is>
      </c>
      <c r="B129" s="1" t="n">
        <v>45315</v>
      </c>
      <c r="C129" s="1" t="n">
        <v>46200</v>
      </c>
      <c r="D129" t="inlineStr">
        <is>
          <t>NORRBOTTENS LÄN</t>
        </is>
      </c>
      <c r="E129" t="inlineStr">
        <is>
          <t>ÖVERKALIX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20392-2025</t>
        </is>
      </c>
      <c r="B130" s="1" t="n">
        <v>45775</v>
      </c>
      <c r="C130" s="1" t="n">
        <v>46200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55226-2024</t>
        </is>
      </c>
      <c r="B131" s="1" t="n">
        <v>45621</v>
      </c>
      <c r="C131" s="1" t="n">
        <v>46200</v>
      </c>
      <c r="D131" t="inlineStr">
        <is>
          <t>NORRBOTTENS LÄN</t>
        </is>
      </c>
      <c r="E131" t="inlineStr">
        <is>
          <t>ÖVERKALIX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57870-2022</t>
        </is>
      </c>
      <c r="B132" s="1" t="n">
        <v>44899</v>
      </c>
      <c r="C132" s="1" t="n">
        <v>46200</v>
      </c>
      <c r="D132" t="inlineStr">
        <is>
          <t>NORRBOTTENS LÄN</t>
        </is>
      </c>
      <c r="E132" t="inlineStr">
        <is>
          <t>ÖVERKALIX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8417-2025</t>
        </is>
      </c>
      <c r="B133" s="1" t="n">
        <v>45709</v>
      </c>
      <c r="C133" s="1" t="n">
        <v>46200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1821-2025</t>
        </is>
      </c>
      <c r="B134" s="1" t="n">
        <v>45671</v>
      </c>
      <c r="C134" s="1" t="n">
        <v>46200</v>
      </c>
      <c r="D134" t="inlineStr">
        <is>
          <t>NORRBOTTENS LÄN</t>
        </is>
      </c>
      <c r="E134" t="inlineStr">
        <is>
          <t>ÖVERKALIX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55838-2024</t>
        </is>
      </c>
      <c r="B135" s="1" t="n">
        <v>45622</v>
      </c>
      <c r="C135" s="1" t="n">
        <v>46200</v>
      </c>
      <c r="D135" t="inlineStr">
        <is>
          <t>NORRBOTTENS LÄN</t>
        </is>
      </c>
      <c r="E135" t="inlineStr">
        <is>
          <t>ÖVERKALIX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44306-2021</t>
        </is>
      </c>
      <c r="B136" s="1" t="n">
        <v>44435</v>
      </c>
      <c r="C136" s="1" t="n">
        <v>46200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45767-2023</t>
        </is>
      </c>
      <c r="B137" s="1" t="n">
        <v>45189</v>
      </c>
      <c r="C137" s="1" t="n">
        <v>46200</v>
      </c>
      <c r="D137" t="inlineStr">
        <is>
          <t>NORRBOTTENS LÄN</t>
        </is>
      </c>
      <c r="E137" t="inlineStr">
        <is>
          <t>ÖVERKALIX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15153-2025</t>
        </is>
      </c>
      <c r="B138" s="1" t="n">
        <v>45744</v>
      </c>
      <c r="C138" s="1" t="n">
        <v>46200</v>
      </c>
      <c r="D138" t="inlineStr">
        <is>
          <t>NORRBOTTENS LÄN</t>
        </is>
      </c>
      <c r="E138" t="inlineStr">
        <is>
          <t>ÖVERKALIX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9458-2025</t>
        </is>
      </c>
      <c r="B139" s="1" t="n">
        <v>45715</v>
      </c>
      <c r="C139" s="1" t="n">
        <v>46200</v>
      </c>
      <c r="D139" t="inlineStr">
        <is>
          <t>NORRBOTTENS LÄN</t>
        </is>
      </c>
      <c r="E139" t="inlineStr">
        <is>
          <t>ÖVERKALIX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37429-2024</t>
        </is>
      </c>
      <c r="B140" s="1" t="n">
        <v>45540</v>
      </c>
      <c r="C140" s="1" t="n">
        <v>46200</v>
      </c>
      <c r="D140" t="inlineStr">
        <is>
          <t>NORRBOTTENS LÄN</t>
        </is>
      </c>
      <c r="E140" t="inlineStr">
        <is>
          <t>ÖVERKALIX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64524-2023</t>
        </is>
      </c>
      <c r="B141" s="1" t="n">
        <v>45281</v>
      </c>
      <c r="C141" s="1" t="n">
        <v>46200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36797-2023</t>
        </is>
      </c>
      <c r="B142" s="1" t="n">
        <v>45154</v>
      </c>
      <c r="C142" s="1" t="n">
        <v>46200</v>
      </c>
      <c r="D142" t="inlineStr">
        <is>
          <t>NORRBOTTENS LÄN</t>
        </is>
      </c>
      <c r="E142" t="inlineStr">
        <is>
          <t>ÖVERKALIX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25510-2024</t>
        </is>
      </c>
      <c r="B143" s="1" t="n">
        <v>45463</v>
      </c>
      <c r="C143" s="1" t="n">
        <v>46200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60463-2024</t>
        </is>
      </c>
      <c r="B144" s="1" t="n">
        <v>45643</v>
      </c>
      <c r="C144" s="1" t="n">
        <v>46200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56076-2021</t>
        </is>
      </c>
      <c r="B145" s="1" t="n">
        <v>44477</v>
      </c>
      <c r="C145" s="1" t="n">
        <v>46200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42119-2024</t>
        </is>
      </c>
      <c r="B146" s="1" t="n">
        <v>45562</v>
      </c>
      <c r="C146" s="1" t="n">
        <v>46200</v>
      </c>
      <c r="D146" t="inlineStr">
        <is>
          <t>NORRBOTTENS LÄN</t>
        </is>
      </c>
      <c r="E146" t="inlineStr">
        <is>
          <t>ÖVERKALIX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19541-2024</t>
        </is>
      </c>
      <c r="B147" s="1" t="n">
        <v>45429</v>
      </c>
      <c r="C147" s="1" t="n">
        <v>46200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25698-2024</t>
        </is>
      </c>
      <c r="B148" s="1" t="n">
        <v>45463</v>
      </c>
      <c r="C148" s="1" t="n">
        <v>46200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44554-2023</t>
        </is>
      </c>
      <c r="B149" s="1" t="n">
        <v>45189</v>
      </c>
      <c r="C149" s="1" t="n">
        <v>46200</v>
      </c>
      <c r="D149" t="inlineStr">
        <is>
          <t>NORRBOTTENS LÄN</t>
        </is>
      </c>
      <c r="E149" t="inlineStr">
        <is>
          <t>ÖVERKALIX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33865-2023</t>
        </is>
      </c>
      <c r="B150" s="1" t="n">
        <v>45133</v>
      </c>
      <c r="C150" s="1" t="n">
        <v>46200</v>
      </c>
      <c r="D150" t="inlineStr">
        <is>
          <t>NORRBOTTENS LÄN</t>
        </is>
      </c>
      <c r="E150" t="inlineStr">
        <is>
          <t>ÖVERKALIX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43314-2022</t>
        </is>
      </c>
      <c r="B151" s="1" t="n">
        <v>44834</v>
      </c>
      <c r="C151" s="1" t="n">
        <v>46200</v>
      </c>
      <c r="D151" t="inlineStr">
        <is>
          <t>NORRBOTTENS LÄN</t>
        </is>
      </c>
      <c r="E151" t="inlineStr">
        <is>
          <t>ÖVERKALIX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55857-2024</t>
        </is>
      </c>
      <c r="B152" s="1" t="n">
        <v>45622</v>
      </c>
      <c r="C152" s="1" t="n">
        <v>46200</v>
      </c>
      <c r="D152" t="inlineStr">
        <is>
          <t>NORRBOTTENS LÄN</t>
        </is>
      </c>
      <c r="E152" t="inlineStr">
        <is>
          <t>ÖVERKALIX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72809-2021</t>
        </is>
      </c>
      <c r="B153" s="1" t="n">
        <v>44546</v>
      </c>
      <c r="C153" s="1" t="n">
        <v>46200</v>
      </c>
      <c r="D153" t="inlineStr">
        <is>
          <t>NORRBOTTENS LÄN</t>
        </is>
      </c>
      <c r="E153" t="inlineStr">
        <is>
          <t>ÖVERKALIX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11329-2024</t>
        </is>
      </c>
      <c r="B154" s="1" t="n">
        <v>45371</v>
      </c>
      <c r="C154" s="1" t="n">
        <v>46200</v>
      </c>
      <c r="D154" t="inlineStr">
        <is>
          <t>NORRBOTTENS LÄN</t>
        </is>
      </c>
      <c r="E154" t="inlineStr">
        <is>
          <t>ÖVERKALIX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4961-2025</t>
        </is>
      </c>
      <c r="B155" s="1" t="n">
        <v>45689</v>
      </c>
      <c r="C155" s="1" t="n">
        <v>46200</v>
      </c>
      <c r="D155" t="inlineStr">
        <is>
          <t>NORRBOTTENS LÄN</t>
        </is>
      </c>
      <c r="E155" t="inlineStr">
        <is>
          <t>ÖVERKALIX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40155-2024</t>
        </is>
      </c>
      <c r="B156" s="1" t="n">
        <v>45554</v>
      </c>
      <c r="C156" s="1" t="n">
        <v>46200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25692-2024</t>
        </is>
      </c>
      <c r="B157" s="1" t="n">
        <v>45463</v>
      </c>
      <c r="C157" s="1" t="n">
        <v>46200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11919-2023</t>
        </is>
      </c>
      <c r="B158" s="1" t="n">
        <v>44993</v>
      </c>
      <c r="C158" s="1" t="n">
        <v>46200</v>
      </c>
      <c r="D158" t="inlineStr">
        <is>
          <t>NORRBOTTENS LÄN</t>
        </is>
      </c>
      <c r="E158" t="inlineStr">
        <is>
          <t>ÖVERKALIX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58037-2024</t>
        </is>
      </c>
      <c r="B159" s="1" t="n">
        <v>45631</v>
      </c>
      <c r="C159" s="1" t="n">
        <v>46200</v>
      </c>
      <c r="D159" t="inlineStr">
        <is>
          <t>NORRBOTTENS LÄN</t>
        </is>
      </c>
      <c r="E159" t="inlineStr">
        <is>
          <t>ÖVERKALIX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19985-2025</t>
        </is>
      </c>
      <c r="B160" s="1" t="n">
        <v>45771</v>
      </c>
      <c r="C160" s="1" t="n">
        <v>46200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57966-2023</t>
        </is>
      </c>
      <c r="B161" s="1" t="n">
        <v>45244</v>
      </c>
      <c r="C161" s="1" t="n">
        <v>46200</v>
      </c>
      <c r="D161" t="inlineStr">
        <is>
          <t>NORRBOTTENS LÄN</t>
        </is>
      </c>
      <c r="E161" t="inlineStr">
        <is>
          <t>ÖVERKALIX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62269-2021</t>
        </is>
      </c>
      <c r="B162" s="1" t="n">
        <v>44502</v>
      </c>
      <c r="C162" s="1" t="n">
        <v>46200</v>
      </c>
      <c r="D162" t="inlineStr">
        <is>
          <t>NORRBOTTENS LÄN</t>
        </is>
      </c>
      <c r="E162" t="inlineStr">
        <is>
          <t>ÖVERKALIX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62561-2023</t>
        </is>
      </c>
      <c r="B163" s="1" t="n">
        <v>45268</v>
      </c>
      <c r="C163" s="1" t="n">
        <v>46200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48577-2023</t>
        </is>
      </c>
      <c r="B164" s="1" t="n">
        <v>45208</v>
      </c>
      <c r="C164" s="1" t="n">
        <v>46200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38941-2024</t>
        </is>
      </c>
      <c r="B165" s="1" t="n">
        <v>45548</v>
      </c>
      <c r="C165" s="1" t="n">
        <v>46200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72623-2021</t>
        </is>
      </c>
      <c r="B166" s="1" t="n">
        <v>44546</v>
      </c>
      <c r="C166" s="1" t="n">
        <v>46200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38940-2024</t>
        </is>
      </c>
      <c r="B167" s="1" t="n">
        <v>45548</v>
      </c>
      <c r="C167" s="1" t="n">
        <v>46200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22470-2023</t>
        </is>
      </c>
      <c r="B168" s="1" t="n">
        <v>45070</v>
      </c>
      <c r="C168" s="1" t="n">
        <v>46200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5653-2022</t>
        </is>
      </c>
      <c r="B169" s="1" t="n">
        <v>44595</v>
      </c>
      <c r="C169" s="1" t="n">
        <v>46200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2993-2024</t>
        </is>
      </c>
      <c r="B170" s="1" t="n">
        <v>45315</v>
      </c>
      <c r="C170" s="1" t="n">
        <v>46200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22071-2024</t>
        </is>
      </c>
      <c r="B171" s="1" t="n">
        <v>45443</v>
      </c>
      <c r="C171" s="1" t="n">
        <v>46200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32615-2024</t>
        </is>
      </c>
      <c r="B172" s="1" t="n">
        <v>45513</v>
      </c>
      <c r="C172" s="1" t="n">
        <v>46200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6641-2022</t>
        </is>
      </c>
      <c r="B173" s="1" t="n">
        <v>44601</v>
      </c>
      <c r="C173" s="1" t="n">
        <v>46200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26554-2023</t>
        </is>
      </c>
      <c r="B174" s="1" t="n">
        <v>45092</v>
      </c>
      <c r="C174" s="1" t="n">
        <v>46200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24549-2024</t>
        </is>
      </c>
      <c r="B175" s="1" t="n">
        <v>45460</v>
      </c>
      <c r="C175" s="1" t="n">
        <v>46200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2003-2024</t>
        </is>
      </c>
      <c r="B176" s="1" t="n">
        <v>45308</v>
      </c>
      <c r="C176" s="1" t="n">
        <v>46200</v>
      </c>
      <c r="D176" t="inlineStr">
        <is>
          <t>NORRBOTTENS LÄN</t>
        </is>
      </c>
      <c r="E176" t="inlineStr">
        <is>
          <t>ÖVERKALIX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7231-2025</t>
        </is>
      </c>
      <c r="B177" s="1" t="n">
        <v>45702</v>
      </c>
      <c r="C177" s="1" t="n">
        <v>46200</v>
      </c>
      <c r="D177" t="inlineStr">
        <is>
          <t>NORRBOTTENS LÄN</t>
        </is>
      </c>
      <c r="E177" t="inlineStr">
        <is>
          <t>ÖVERKALIX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3701-2024</t>
        </is>
      </c>
      <c r="B178" s="1" t="n">
        <v>45321</v>
      </c>
      <c r="C178" s="1" t="n">
        <v>46200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42407-2022</t>
        </is>
      </c>
      <c r="B179" s="1" t="n">
        <v>44830</v>
      </c>
      <c r="C179" s="1" t="n">
        <v>46200</v>
      </c>
      <c r="D179" t="inlineStr">
        <is>
          <t>NORRBOTTENS LÄN</t>
        </is>
      </c>
      <c r="E179" t="inlineStr">
        <is>
          <t>ÖVERKALIX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25697-2024</t>
        </is>
      </c>
      <c r="B180" s="1" t="n">
        <v>45463</v>
      </c>
      <c r="C180" s="1" t="n">
        <v>46200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14255-2023</t>
        </is>
      </c>
      <c r="B181" s="1" t="n">
        <v>45009</v>
      </c>
      <c r="C181" s="1" t="n">
        <v>46200</v>
      </c>
      <c r="D181" t="inlineStr">
        <is>
          <t>NORRBOTTENS LÄN</t>
        </is>
      </c>
      <c r="E181" t="inlineStr">
        <is>
          <t>ÖVERKALIX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55772-2022</t>
        </is>
      </c>
      <c r="B182" s="1" t="n">
        <v>44886</v>
      </c>
      <c r="C182" s="1" t="n">
        <v>46200</v>
      </c>
      <c r="D182" t="inlineStr">
        <is>
          <t>NORRBOTTENS LÄN</t>
        </is>
      </c>
      <c r="E182" t="inlineStr">
        <is>
          <t>ÖVERKALIX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26366-2024</t>
        </is>
      </c>
      <c r="B183" s="1" t="n">
        <v>45469</v>
      </c>
      <c r="C183" s="1" t="n">
        <v>46200</v>
      </c>
      <c r="D183" t="inlineStr">
        <is>
          <t>NORRBOTTENS LÄN</t>
        </is>
      </c>
      <c r="E183" t="inlineStr">
        <is>
          <t>ÖVERKALIX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19531-2024</t>
        </is>
      </c>
      <c r="B184" s="1" t="n">
        <v>45429</v>
      </c>
      <c r="C184" s="1" t="n">
        <v>46200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38975-2024</t>
        </is>
      </c>
      <c r="B185" s="1" t="n">
        <v>45548</v>
      </c>
      <c r="C185" s="1" t="n">
        <v>46200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5157-2023</t>
        </is>
      </c>
      <c r="B186" s="1" t="n">
        <v>44958</v>
      </c>
      <c r="C186" s="1" t="n">
        <v>46200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57836-2022</t>
        </is>
      </c>
      <c r="B187" s="1" t="n">
        <v>44897</v>
      </c>
      <c r="C187" s="1" t="n">
        <v>46200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73216-2021</t>
        </is>
      </c>
      <c r="B188" s="1" t="n">
        <v>44547</v>
      </c>
      <c r="C188" s="1" t="n">
        <v>46200</v>
      </c>
      <c r="D188" t="inlineStr">
        <is>
          <t>NORRBOTTENS LÄN</t>
        </is>
      </c>
      <c r="E188" t="inlineStr">
        <is>
          <t>ÖVERKALIX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47735-2024</t>
        </is>
      </c>
      <c r="B189" s="1" t="n">
        <v>45588</v>
      </c>
      <c r="C189" s="1" t="n">
        <v>46200</v>
      </c>
      <c r="D189" t="inlineStr">
        <is>
          <t>NORRBOTTENS LÄN</t>
        </is>
      </c>
      <c r="E189" t="inlineStr">
        <is>
          <t>ÖVERKALIX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40329-2023</t>
        </is>
      </c>
      <c r="B190" s="1" t="n">
        <v>45169</v>
      </c>
      <c r="C190" s="1" t="n">
        <v>46200</v>
      </c>
      <c r="D190" t="inlineStr">
        <is>
          <t>NORRBOTTENS LÄN</t>
        </is>
      </c>
      <c r="E190" t="inlineStr">
        <is>
          <t>ÖVERKALIX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49091-2024</t>
        </is>
      </c>
      <c r="B191" s="1" t="n">
        <v>45594</v>
      </c>
      <c r="C191" s="1" t="n">
        <v>46200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51561-2024</t>
        </is>
      </c>
      <c r="B192" s="1" t="n">
        <v>45604</v>
      </c>
      <c r="C192" s="1" t="n">
        <v>46200</v>
      </c>
      <c r="D192" t="inlineStr">
        <is>
          <t>NORRBOTTENS LÄN</t>
        </is>
      </c>
      <c r="E192" t="inlineStr">
        <is>
          <t>ÖVERKALIX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1867-2023</t>
        </is>
      </c>
      <c r="B193" s="1" t="n">
        <v>44938</v>
      </c>
      <c r="C193" s="1" t="n">
        <v>46200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43173-2023</t>
        </is>
      </c>
      <c r="B194" s="1" t="n">
        <v>45180</v>
      </c>
      <c r="C194" s="1" t="n">
        <v>46200</v>
      </c>
      <c r="D194" t="inlineStr">
        <is>
          <t>NORRBOTTENS LÄN</t>
        </is>
      </c>
      <c r="E194" t="inlineStr">
        <is>
          <t>ÖVERKALIX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9849-2024</t>
        </is>
      </c>
      <c r="B195" s="1" t="n">
        <v>45363</v>
      </c>
      <c r="C195" s="1" t="n">
        <v>46200</v>
      </c>
      <c r="D195" t="inlineStr">
        <is>
          <t>NORRBOTTENS LÄN</t>
        </is>
      </c>
      <c r="E195" t="inlineStr">
        <is>
          <t>ÖVERKALIX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36839-2023</t>
        </is>
      </c>
      <c r="B196" s="1" t="n">
        <v>45153</v>
      </c>
      <c r="C196" s="1" t="n">
        <v>46200</v>
      </c>
      <c r="D196" t="inlineStr">
        <is>
          <t>NORRBOTTENS LÄN</t>
        </is>
      </c>
      <c r="E196" t="inlineStr">
        <is>
          <t>ÖVERKALIX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52976-2024</t>
        </is>
      </c>
      <c r="B197" s="1" t="n">
        <v>45611</v>
      </c>
      <c r="C197" s="1" t="n">
        <v>46200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27054-2024</t>
        </is>
      </c>
      <c r="B198" s="1" t="n">
        <v>45471</v>
      </c>
      <c r="C198" s="1" t="n">
        <v>46200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27057-2024</t>
        </is>
      </c>
      <c r="B199" s="1" t="n">
        <v>45471</v>
      </c>
      <c r="C199" s="1" t="n">
        <v>46200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</v>
      </c>
      <c r="C200" s="1" t="n">
        <v>46200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52647-2024</t>
        </is>
      </c>
      <c r="B201" s="1" t="n">
        <v>45610</v>
      </c>
      <c r="C201" s="1" t="n">
        <v>46200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46200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45748-2023</t>
        </is>
      </c>
      <c r="B203" s="1" t="n">
        <v>45189</v>
      </c>
      <c r="C203" s="1" t="n">
        <v>46200</v>
      </c>
      <c r="D203" t="inlineStr">
        <is>
          <t>NORRBOTTENS LÄN</t>
        </is>
      </c>
      <c r="E203" t="inlineStr">
        <is>
          <t>ÖVERKALIX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26945-2025</t>
        </is>
      </c>
      <c r="B204" s="1" t="n">
        <v>45811</v>
      </c>
      <c r="C204" s="1" t="n">
        <v>46200</v>
      </c>
      <c r="D204" t="inlineStr">
        <is>
          <t>NORRBOTTENS LÄN</t>
        </is>
      </c>
      <c r="E204" t="inlineStr">
        <is>
          <t>ÖVERKALIX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26666-2025</t>
        </is>
      </c>
      <c r="B205" s="1" t="n">
        <v>45810</v>
      </c>
      <c r="C205" s="1" t="n">
        <v>46200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3694-2023</t>
        </is>
      </c>
      <c r="B206" s="1" t="n">
        <v>44950</v>
      </c>
      <c r="C206" s="1" t="n">
        <v>46200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29960-2023</t>
        </is>
      </c>
      <c r="B207" s="1" t="n">
        <v>45107</v>
      </c>
      <c r="C207" s="1" t="n">
        <v>46200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60-2025</t>
        </is>
      </c>
      <c r="B208" s="1" t="n">
        <v>45659</v>
      </c>
      <c r="C208" s="1" t="n">
        <v>46200</v>
      </c>
      <c r="D208" t="inlineStr">
        <is>
          <t>NORRBOTTENS LÄN</t>
        </is>
      </c>
      <c r="E208" t="inlineStr">
        <is>
          <t>ÖVERKALIX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27461-2025</t>
        </is>
      </c>
      <c r="B209" s="1" t="n">
        <v>45813</v>
      </c>
      <c r="C209" s="1" t="n">
        <v>46200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27451-2025</t>
        </is>
      </c>
      <c r="B210" s="1" t="n">
        <v>45813</v>
      </c>
      <c r="C210" s="1" t="n">
        <v>46200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27456-2025</t>
        </is>
      </c>
      <c r="B211" s="1" t="n">
        <v>45813</v>
      </c>
      <c r="C211" s="1" t="n">
        <v>46200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27613-2025</t>
        </is>
      </c>
      <c r="B212" s="1" t="n">
        <v>45813</v>
      </c>
      <c r="C212" s="1" t="n">
        <v>46200</v>
      </c>
      <c r="D212" t="inlineStr">
        <is>
          <t>NORRBOTTENS LÄN</t>
        </is>
      </c>
      <c r="E212" t="inlineStr">
        <is>
          <t>ÖVERKALIX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27458-2025</t>
        </is>
      </c>
      <c r="B213" s="1" t="n">
        <v>45813</v>
      </c>
      <c r="C213" s="1" t="n">
        <v>46200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27454-2025</t>
        </is>
      </c>
      <c r="B214" s="1" t="n">
        <v>45813</v>
      </c>
      <c r="C214" s="1" t="n">
        <v>46200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27455-2025</t>
        </is>
      </c>
      <c r="B215" s="1" t="n">
        <v>45813</v>
      </c>
      <c r="C215" s="1" t="n">
        <v>46200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12591-2024</t>
        </is>
      </c>
      <c r="B216" s="1" t="n">
        <v>45379</v>
      </c>
      <c r="C216" s="1" t="n">
        <v>46200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23324-2023</t>
        </is>
      </c>
      <c r="B217" s="1" t="n">
        <v>45076</v>
      </c>
      <c r="C217" s="1" t="n">
        <v>46200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Övriga statliga verk och myndigheter</t>
        </is>
      </c>
      <c r="G217" t="n">
        <v>38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28400-2025</t>
        </is>
      </c>
      <c r="B218" s="1" t="n">
        <v>45819</v>
      </c>
      <c r="C218" s="1" t="n">
        <v>46200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50862-2023</t>
        </is>
      </c>
      <c r="B219" s="1" t="n">
        <v>45218</v>
      </c>
      <c r="C219" s="1" t="n">
        <v>46200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28402-2025</t>
        </is>
      </c>
      <c r="B220" s="1" t="n">
        <v>45819</v>
      </c>
      <c r="C220" s="1" t="n">
        <v>46200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29147-2025</t>
        </is>
      </c>
      <c r="B221" s="1" t="n">
        <v>45821</v>
      </c>
      <c r="C221" s="1" t="n">
        <v>46200</v>
      </c>
      <c r="D221" t="inlineStr">
        <is>
          <t>NORRBOTTENS LÄN</t>
        </is>
      </c>
      <c r="E221" t="inlineStr">
        <is>
          <t>ÖVERKALIX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29150-2025</t>
        </is>
      </c>
      <c r="B222" s="1" t="n">
        <v>45821</v>
      </c>
      <c r="C222" s="1" t="n">
        <v>46200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28912-2025</t>
        </is>
      </c>
      <c r="B223" s="1" t="n">
        <v>45820</v>
      </c>
      <c r="C223" s="1" t="n">
        <v>46200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28917-2025</t>
        </is>
      </c>
      <c r="B224" s="1" t="n">
        <v>45820</v>
      </c>
      <c r="C224" s="1" t="n">
        <v>46200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</v>
      </c>
      <c r="C225" s="1" t="n">
        <v>46200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28926-2025</t>
        </is>
      </c>
      <c r="B226" s="1" t="n">
        <v>45820</v>
      </c>
      <c r="C226" s="1" t="n">
        <v>46200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19529-2024</t>
        </is>
      </c>
      <c r="B227" s="1" t="n">
        <v>45429</v>
      </c>
      <c r="C227" s="1" t="n">
        <v>46200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29532-2025</t>
        </is>
      </c>
      <c r="B228" s="1" t="n">
        <v>45825</v>
      </c>
      <c r="C228" s="1" t="n">
        <v>46200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29464-2025</t>
        </is>
      </c>
      <c r="B229" s="1" t="n">
        <v>45824</v>
      </c>
      <c r="C229" s="1" t="n">
        <v>46200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24548-2024</t>
        </is>
      </c>
      <c r="B230" s="1" t="n">
        <v>45460</v>
      </c>
      <c r="C230" s="1" t="n">
        <v>46200</v>
      </c>
      <c r="D230" t="inlineStr">
        <is>
          <t>NORRBOTTENS LÄN</t>
        </is>
      </c>
      <c r="E230" t="inlineStr">
        <is>
          <t>ÖVERKALIX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29463-2025</t>
        </is>
      </c>
      <c r="B231" s="1" t="n">
        <v>45824</v>
      </c>
      <c r="C231" s="1" t="n">
        <v>46200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51745-2024</t>
        </is>
      </c>
      <c r="B232" s="1" t="n">
        <v>45607</v>
      </c>
      <c r="C232" s="1" t="n">
        <v>46200</v>
      </c>
      <c r="D232" t="inlineStr">
        <is>
          <t>NORRBOTTENS LÄN</t>
        </is>
      </c>
      <c r="E232" t="inlineStr">
        <is>
          <t>ÖVERKALIX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29212-2025</t>
        </is>
      </c>
      <c r="B233" s="1" t="n">
        <v>45824</v>
      </c>
      <c r="C233" s="1" t="n">
        <v>46200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29213-2025</t>
        </is>
      </c>
      <c r="B234" s="1" t="n">
        <v>45824</v>
      </c>
      <c r="C234" s="1" t="n">
        <v>46200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48561-2024</t>
        </is>
      </c>
      <c r="B235" s="1" t="n">
        <v>45593</v>
      </c>
      <c r="C235" s="1" t="n">
        <v>46200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60400-2022</t>
        </is>
      </c>
      <c r="B236" s="1" t="n">
        <v>44910</v>
      </c>
      <c r="C236" s="1" t="n">
        <v>46200</v>
      </c>
      <c r="D236" t="inlineStr">
        <is>
          <t>NORRBOTTENS LÄN</t>
        </is>
      </c>
      <c r="E236" t="inlineStr">
        <is>
          <t>ÖVERKALIX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</v>
      </c>
      <c r="C237" s="1" t="n">
        <v>46200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5382-2025</t>
        </is>
      </c>
      <c r="B238" s="1" t="n">
        <v>45692</v>
      </c>
      <c r="C238" s="1" t="n">
        <v>46200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30038-2025</t>
        </is>
      </c>
      <c r="B239" s="1" t="n">
        <v>45826</v>
      </c>
      <c r="C239" s="1" t="n">
        <v>46200</v>
      </c>
      <c r="D239" t="inlineStr">
        <is>
          <t>NORRBOTTENS LÄN</t>
        </is>
      </c>
      <c r="E239" t="inlineStr">
        <is>
          <t>ÖVERKALIX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30776-2025</t>
        </is>
      </c>
      <c r="B240" s="1" t="n">
        <v>45831</v>
      </c>
      <c r="C240" s="1" t="n">
        <v>46200</v>
      </c>
      <c r="D240" t="inlineStr">
        <is>
          <t>NORRBOTTENS LÄN</t>
        </is>
      </c>
      <c r="E240" t="inlineStr">
        <is>
          <t>ÖVERKALIX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33315-2024</t>
        </is>
      </c>
      <c r="B241" s="1" t="n">
        <v>45518</v>
      </c>
      <c r="C241" s="1" t="n">
        <v>46200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58038-2024</t>
        </is>
      </c>
      <c r="B242" s="1" t="n">
        <v>45631</v>
      </c>
      <c r="C242" s="1" t="n">
        <v>46200</v>
      </c>
      <c r="D242" t="inlineStr">
        <is>
          <t>NORRBOTTENS LÄN</t>
        </is>
      </c>
      <c r="E242" t="inlineStr">
        <is>
          <t>ÖVERKALIX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15365-2025</t>
        </is>
      </c>
      <c r="B243" s="1" t="n">
        <v>45747</v>
      </c>
      <c r="C243" s="1" t="n">
        <v>46200</v>
      </c>
      <c r="D243" t="inlineStr">
        <is>
          <t>NORRBOTTENS LÄN</t>
        </is>
      </c>
      <c r="E243" t="inlineStr">
        <is>
          <t>ÖVERKALIX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1944-2022</t>
        </is>
      </c>
      <c r="B244" s="1" t="n">
        <v>44575</v>
      </c>
      <c r="C244" s="1" t="n">
        <v>46200</v>
      </c>
      <c r="D244" t="inlineStr">
        <is>
          <t>NORRBOTTENS LÄN</t>
        </is>
      </c>
      <c r="E244" t="inlineStr">
        <is>
          <t>ÖVERKALIX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31961-2025</t>
        </is>
      </c>
      <c r="B245" s="1" t="n">
        <v>45835</v>
      </c>
      <c r="C245" s="1" t="n">
        <v>46200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6454-2025</t>
        </is>
      </c>
      <c r="B246" s="1" t="n">
        <v>45699</v>
      </c>
      <c r="C246" s="1" t="n">
        <v>46200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7448-2023</t>
        </is>
      </c>
      <c r="B247" s="1" t="n">
        <v>44966</v>
      </c>
      <c r="C247" s="1" t="n">
        <v>46200</v>
      </c>
      <c r="D247" t="inlineStr">
        <is>
          <t>NORRBOTTENS LÄN</t>
        </is>
      </c>
      <c r="E247" t="inlineStr">
        <is>
          <t>ÖVERKALIX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31640-2025</t>
        </is>
      </c>
      <c r="B248" s="1" t="n">
        <v>45834</v>
      </c>
      <c r="C248" s="1" t="n">
        <v>46200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31744-2025</t>
        </is>
      </c>
      <c r="B249" s="1" t="n">
        <v>45834</v>
      </c>
      <c r="C249" s="1" t="n">
        <v>46200</v>
      </c>
      <c r="D249" t="inlineStr">
        <is>
          <t>NORRBOTTENS LÄN</t>
        </is>
      </c>
      <c r="E249" t="inlineStr">
        <is>
          <t>ÖVERKALIX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49473-2023</t>
        </is>
      </c>
      <c r="B250" s="1" t="n">
        <v>45205</v>
      </c>
      <c r="C250" s="1" t="n">
        <v>46200</v>
      </c>
      <c r="D250" t="inlineStr">
        <is>
          <t>NORRBOTTENS LÄN</t>
        </is>
      </c>
      <c r="E250" t="inlineStr">
        <is>
          <t>ÖVERKALIX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32067-2025</t>
        </is>
      </c>
      <c r="B251" s="1" t="n">
        <v>45835</v>
      </c>
      <c r="C251" s="1" t="n">
        <v>46200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32636-2025</t>
        </is>
      </c>
      <c r="B252" s="1" t="n">
        <v>45838</v>
      </c>
      <c r="C252" s="1" t="n">
        <v>46200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</v>
      </c>
      <c r="C253" s="1" t="n">
        <v>46200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32708-2025</t>
        </is>
      </c>
      <c r="B254" s="1" t="n">
        <v>45839</v>
      </c>
      <c r="C254" s="1" t="n">
        <v>46200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32535-2025</t>
        </is>
      </c>
      <c r="B255" s="1" t="n">
        <v>45838</v>
      </c>
      <c r="C255" s="1" t="n">
        <v>46200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32370-2025</t>
        </is>
      </c>
      <c r="B256" s="1" t="n">
        <v>45837</v>
      </c>
      <c r="C256" s="1" t="n">
        <v>46200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32377-2025</t>
        </is>
      </c>
      <c r="B257" s="1" t="n">
        <v>45837</v>
      </c>
      <c r="C257" s="1" t="n">
        <v>46200</v>
      </c>
      <c r="D257" t="inlineStr">
        <is>
          <t>NORRBOTTENS LÄN</t>
        </is>
      </c>
      <c r="E257" t="inlineStr">
        <is>
          <t>ÖVERKALIX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35169-2022</t>
        </is>
      </c>
      <c r="B258" s="1" t="n">
        <v>44797</v>
      </c>
      <c r="C258" s="1" t="n">
        <v>46200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</v>
      </c>
      <c r="C259" s="1" t="n">
        <v>46200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33224-2025</t>
        </is>
      </c>
      <c r="B260" s="1" t="n">
        <v>45840</v>
      </c>
      <c r="C260" s="1" t="n">
        <v>46200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32477-2024</t>
        </is>
      </c>
      <c r="B261" s="1" t="n">
        <v>45513</v>
      </c>
      <c r="C261" s="1" t="n">
        <v>46200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34128-2025</t>
        </is>
      </c>
      <c r="B262" s="1" t="n">
        <v>45845</v>
      </c>
      <c r="C262" s="1" t="n">
        <v>46200</v>
      </c>
      <c r="D262" t="inlineStr">
        <is>
          <t>NORRBOTTENS LÄN</t>
        </is>
      </c>
      <c r="E262" t="inlineStr">
        <is>
          <t>ÖVERKALIX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30881-2024</t>
        </is>
      </c>
      <c r="B263" s="1" t="n">
        <v>45498</v>
      </c>
      <c r="C263" s="1" t="n">
        <v>46200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5723-2024</t>
        </is>
      </c>
      <c r="B264" s="1" t="n">
        <v>45334</v>
      </c>
      <c r="C264" s="1" t="n">
        <v>46200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2009-2024</t>
        </is>
      </c>
      <c r="B265" s="1" t="n">
        <v>45308</v>
      </c>
      <c r="C265" s="1" t="n">
        <v>46200</v>
      </c>
      <c r="D265" t="inlineStr">
        <is>
          <t>NORRBOTTENS LÄN</t>
        </is>
      </c>
      <c r="E265" t="inlineStr">
        <is>
          <t>ÖVERKALIX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55227-2024</t>
        </is>
      </c>
      <c r="B266" s="1" t="n">
        <v>45621</v>
      </c>
      <c r="C266" s="1" t="n">
        <v>46200</v>
      </c>
      <c r="D266" t="inlineStr">
        <is>
          <t>NORRBOTTENS LÄN</t>
        </is>
      </c>
      <c r="E266" t="inlineStr">
        <is>
          <t>ÖVERKALIX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5570-2025</t>
        </is>
      </c>
      <c r="B267" s="1" t="n">
        <v>45693</v>
      </c>
      <c r="C267" s="1" t="n">
        <v>46200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33761-2024</t>
        </is>
      </c>
      <c r="B268" s="1" t="n">
        <v>45520</v>
      </c>
      <c r="C268" s="1" t="n">
        <v>46200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8026-2023</t>
        </is>
      </c>
      <c r="B269" s="1" t="n">
        <v>44973</v>
      </c>
      <c r="C269" s="1" t="n">
        <v>46200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47734-2024</t>
        </is>
      </c>
      <c r="B270" s="1" t="n">
        <v>45588</v>
      </c>
      <c r="C270" s="1" t="n">
        <v>46200</v>
      </c>
      <c r="D270" t="inlineStr">
        <is>
          <t>NORRBOTTENS LÄN</t>
        </is>
      </c>
      <c r="E270" t="inlineStr">
        <is>
          <t>ÖVERKALIX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6453-2025</t>
        </is>
      </c>
      <c r="B271" s="1" t="n">
        <v>45699</v>
      </c>
      <c r="C271" s="1" t="n">
        <v>46200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12580-2024</t>
        </is>
      </c>
      <c r="B272" s="1" t="n">
        <v>45379</v>
      </c>
      <c r="C272" s="1" t="n">
        <v>46200</v>
      </c>
      <c r="D272" t="inlineStr">
        <is>
          <t>NORRBOTTENS LÄN</t>
        </is>
      </c>
      <c r="E272" t="inlineStr">
        <is>
          <t>ÖVERKALIX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46200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6591-2023</t>
        </is>
      </c>
      <c r="B274" s="1" t="n">
        <v>44966</v>
      </c>
      <c r="C274" s="1" t="n">
        <v>46200</v>
      </c>
      <c r="D274" t="inlineStr">
        <is>
          <t>NORRBOTTENS LÄN</t>
        </is>
      </c>
      <c r="E274" t="inlineStr">
        <is>
          <t>ÖVERKALIX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36501-2025</t>
        </is>
      </c>
      <c r="B275" s="1" t="n">
        <v>45869</v>
      </c>
      <c r="C275" s="1" t="n">
        <v>46200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3704-2024</t>
        </is>
      </c>
      <c r="B276" s="1" t="n">
        <v>45321</v>
      </c>
      <c r="C276" s="1" t="n">
        <v>46200</v>
      </c>
      <c r="D276" t="inlineStr">
        <is>
          <t>NORRBOTTENS LÄN</t>
        </is>
      </c>
      <c r="E276" t="inlineStr">
        <is>
          <t>ÖVERKALIX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</v>
      </c>
      <c r="C277" s="1" t="n">
        <v>46200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36620-2025</t>
        </is>
      </c>
      <c r="B278" s="1" t="n">
        <v>45870</v>
      </c>
      <c r="C278" s="1" t="n">
        <v>46200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36621-2025</t>
        </is>
      </c>
      <c r="B279" s="1" t="n">
        <v>45870</v>
      </c>
      <c r="C279" s="1" t="n">
        <v>46200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36715-2025</t>
        </is>
      </c>
      <c r="B280" s="1" t="n">
        <v>45873</v>
      </c>
      <c r="C280" s="1" t="n">
        <v>46200</v>
      </c>
      <c r="D280" t="inlineStr">
        <is>
          <t>NORRBOTTENS LÄN</t>
        </is>
      </c>
      <c r="E280" t="inlineStr">
        <is>
          <t>ÖVERKALIX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26140-2023</t>
        </is>
      </c>
      <c r="B281" s="1" t="n">
        <v>45086</v>
      </c>
      <c r="C281" s="1" t="n">
        <v>46200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29961-2023</t>
        </is>
      </c>
      <c r="B282" s="1" t="n">
        <v>45107</v>
      </c>
      <c r="C282" s="1" t="n">
        <v>46200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72212-2021</t>
        </is>
      </c>
      <c r="B283" s="1" t="n">
        <v>44543</v>
      </c>
      <c r="C283" s="1" t="n">
        <v>46200</v>
      </c>
      <c r="D283" t="inlineStr">
        <is>
          <t>NORRBOTTENS LÄN</t>
        </is>
      </c>
      <c r="E283" t="inlineStr">
        <is>
          <t>ÖVERKALIX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38152-2025</t>
        </is>
      </c>
      <c r="B284" s="1" t="n">
        <v>45882</v>
      </c>
      <c r="C284" s="1" t="n">
        <v>46200</v>
      </c>
      <c r="D284" t="inlineStr">
        <is>
          <t>NORRBOTTENS LÄN</t>
        </is>
      </c>
      <c r="E284" t="inlineStr">
        <is>
          <t>ÖVERKALIX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21187-2025</t>
        </is>
      </c>
      <c r="B285" s="1" t="n">
        <v>45779</v>
      </c>
      <c r="C285" s="1" t="n">
        <v>46200</v>
      </c>
      <c r="D285" t="inlineStr">
        <is>
          <t>NORRBOTTENS LÄN</t>
        </is>
      </c>
      <c r="E285" t="inlineStr">
        <is>
          <t>ÖVERKALIX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38081-2025</t>
        </is>
      </c>
      <c r="B286" s="1" t="n">
        <v>45882</v>
      </c>
      <c r="C286" s="1" t="n">
        <v>46200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21520-2025</t>
        </is>
      </c>
      <c r="B287" s="1" t="n">
        <v>45782</v>
      </c>
      <c r="C287" s="1" t="n">
        <v>46200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15854-2024</t>
        </is>
      </c>
      <c r="B288" s="1" t="n">
        <v>45404</v>
      </c>
      <c r="C288" s="1" t="n">
        <v>46200</v>
      </c>
      <c r="D288" t="inlineStr">
        <is>
          <t>NORRBOTTENS LÄN</t>
        </is>
      </c>
      <c r="E288" t="inlineStr">
        <is>
          <t>ÖVERKALIX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38191-2025</t>
        </is>
      </c>
      <c r="B289" s="1" t="n">
        <v>45882</v>
      </c>
      <c r="C289" s="1" t="n">
        <v>46200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39974-2021</t>
        </is>
      </c>
      <c r="B290" s="1" t="n">
        <v>44417</v>
      </c>
      <c r="C290" s="1" t="n">
        <v>46200</v>
      </c>
      <c r="D290" t="inlineStr">
        <is>
          <t>NORRBOTTENS LÄN</t>
        </is>
      </c>
      <c r="E290" t="inlineStr">
        <is>
          <t>ÖVERKALIX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38026-2025</t>
        </is>
      </c>
      <c r="B291" s="1" t="n">
        <v>45882</v>
      </c>
      <c r="C291" s="1" t="n">
        <v>46200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22108-2025</t>
        </is>
      </c>
      <c r="B292" s="1" t="n">
        <v>45785</v>
      </c>
      <c r="C292" s="1" t="n">
        <v>46200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20580-2024</t>
        </is>
      </c>
      <c r="B293" s="1" t="n">
        <v>45436</v>
      </c>
      <c r="C293" s="1" t="n">
        <v>46200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48667-2025</t>
        </is>
      </c>
      <c r="B294" s="1" t="n">
        <v>45936</v>
      </c>
      <c r="C294" s="1" t="n">
        <v>46200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1310-2025</t>
        </is>
      </c>
      <c r="B295" s="1" t="n">
        <v>45667</v>
      </c>
      <c r="C295" s="1" t="n">
        <v>46200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26449-2025</t>
        </is>
      </c>
      <c r="B296" s="1" t="n">
        <v>45807</v>
      </c>
      <c r="C296" s="1" t="n">
        <v>46200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49756-2025</t>
        </is>
      </c>
      <c r="B297" s="1" t="n">
        <v>45940</v>
      </c>
      <c r="C297" s="1" t="n">
        <v>46200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39658-2025</t>
        </is>
      </c>
      <c r="B298" s="1" t="n">
        <v>45890</v>
      </c>
      <c r="C298" s="1" t="n">
        <v>46200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50053-2025</t>
        </is>
      </c>
      <c r="B299" s="1" t="n">
        <v>45943</v>
      </c>
      <c r="C299" s="1" t="n">
        <v>46200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15546-2024</t>
        </is>
      </c>
      <c r="B300" s="1" t="n">
        <v>45401</v>
      </c>
      <c r="C300" s="1" t="n">
        <v>46200</v>
      </c>
      <c r="D300" t="inlineStr">
        <is>
          <t>NORRBOTTENS LÄN</t>
        </is>
      </c>
      <c r="E300" t="inlineStr">
        <is>
          <t>ÖVERKALIX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50392-2025</t>
        </is>
      </c>
      <c r="B301" s="1" t="n">
        <v>45944</v>
      </c>
      <c r="C301" s="1" t="n">
        <v>46200</v>
      </c>
      <c r="D301" t="inlineStr">
        <is>
          <t>NORRBOTTENS LÄN</t>
        </is>
      </c>
      <c r="E301" t="inlineStr">
        <is>
          <t>ÖVERKALIX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50720-2025</t>
        </is>
      </c>
      <c r="B302" s="1" t="n">
        <v>45946</v>
      </c>
      <c r="C302" s="1" t="n">
        <v>46200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50983-2025</t>
        </is>
      </c>
      <c r="B303" s="1" t="n">
        <v>45947</v>
      </c>
      <c r="C303" s="1" t="n">
        <v>46200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50992-2025</t>
        </is>
      </c>
      <c r="B304" s="1" t="n">
        <v>45947</v>
      </c>
      <c r="C304" s="1" t="n">
        <v>46200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26535-2025</t>
        </is>
      </c>
      <c r="B305" s="1" t="n">
        <v>45807</v>
      </c>
      <c r="C305" s="1" t="n">
        <v>46200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37.4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51656-2025</t>
        </is>
      </c>
      <c r="B306" s="1" t="n">
        <v>45951</v>
      </c>
      <c r="C306" s="1" t="n">
        <v>46200</v>
      </c>
      <c r="D306" t="inlineStr">
        <is>
          <t>NORRBOTTENS LÄN</t>
        </is>
      </c>
      <c r="E306" t="inlineStr">
        <is>
          <t>ÖVERKALIX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</v>
      </c>
      <c r="C307" s="1" t="n">
        <v>46200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</v>
      </c>
      <c r="C308" s="1" t="n">
        <v>46200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</v>
      </c>
      <c r="C309" s="1" t="n">
        <v>46200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51634-2025</t>
        </is>
      </c>
      <c r="B310" s="1" t="n">
        <v>45951</v>
      </c>
      <c r="C310" s="1" t="n">
        <v>46200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51257-2025</t>
        </is>
      </c>
      <c r="B311" s="1" t="n">
        <v>45949</v>
      </c>
      <c r="C311" s="1" t="n">
        <v>46200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42282-2025</t>
        </is>
      </c>
      <c r="B312" s="1" t="n">
        <v>45904</v>
      </c>
      <c r="C312" s="1" t="n">
        <v>46200</v>
      </c>
      <c r="D312" t="inlineStr">
        <is>
          <t>NORRBOTTENS LÄN</t>
        </is>
      </c>
      <c r="E312" t="inlineStr">
        <is>
          <t>ÖVERKALIX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42486-2025</t>
        </is>
      </c>
      <c r="B313" s="1" t="n">
        <v>45904</v>
      </c>
      <c r="C313" s="1" t="n">
        <v>46200</v>
      </c>
      <c r="D313" t="inlineStr">
        <is>
          <t>NORRBOTTENS LÄN</t>
        </is>
      </c>
      <c r="E313" t="inlineStr">
        <is>
          <t>ÖVERKALIX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52973-2025</t>
        </is>
      </c>
      <c r="B314" s="1" t="n">
        <v>45957</v>
      </c>
      <c r="C314" s="1" t="n">
        <v>46200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43066-2025</t>
        </is>
      </c>
      <c r="B315" s="1" t="n">
        <v>45909</v>
      </c>
      <c r="C315" s="1" t="n">
        <v>46200</v>
      </c>
      <c r="D315" t="inlineStr">
        <is>
          <t>NORRBOTTENS LÄN</t>
        </is>
      </c>
      <c r="E315" t="inlineStr">
        <is>
          <t>ÖVERKALIX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39405-2022</t>
        </is>
      </c>
      <c r="B316" s="1" t="n">
        <v>44817</v>
      </c>
      <c r="C316" s="1" t="n">
        <v>46200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46200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43065-2025</t>
        </is>
      </c>
      <c r="B318" s="1" t="n">
        <v>45909</v>
      </c>
      <c r="C318" s="1" t="n">
        <v>46200</v>
      </c>
      <c r="D318" t="inlineStr">
        <is>
          <t>NORRBOTTENS LÄN</t>
        </is>
      </c>
      <c r="E318" t="inlineStr">
        <is>
          <t>ÖVERKALIX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</v>
      </c>
      <c r="C319" s="1" t="n">
        <v>46200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30957-2025</t>
        </is>
      </c>
      <c r="B320" s="1" t="n">
        <v>45831</v>
      </c>
      <c r="C320" s="1" t="n">
        <v>46200</v>
      </c>
      <c r="D320" t="inlineStr">
        <is>
          <t>NORRBOTTENS LÄN</t>
        </is>
      </c>
      <c r="E320" t="inlineStr">
        <is>
          <t>ÖVERKALIX</t>
        </is>
      </c>
      <c r="G320" t="n">
        <v>41.8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30993-2025</t>
        </is>
      </c>
      <c r="B321" s="1" t="n">
        <v>45831</v>
      </c>
      <c r="C321" s="1" t="n">
        <v>46200</v>
      </c>
      <c r="D321" t="inlineStr">
        <is>
          <t>NORRBOTTENS LÄN</t>
        </is>
      </c>
      <c r="E321" t="inlineStr">
        <is>
          <t>ÖVERKALIX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28893-2025</t>
        </is>
      </c>
      <c r="B322" s="1" t="n">
        <v>45820</v>
      </c>
      <c r="C322" s="1" t="n">
        <v>46200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43626-2025</t>
        </is>
      </c>
      <c r="B323" s="1" t="n">
        <v>45911</v>
      </c>
      <c r="C323" s="1" t="n">
        <v>46200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37085-2024</t>
        </is>
      </c>
      <c r="B324" s="1" t="n">
        <v>45539</v>
      </c>
      <c r="C324" s="1" t="n">
        <v>46200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53093-2025</t>
        </is>
      </c>
      <c r="B325" s="1" t="n">
        <v>45958</v>
      </c>
      <c r="C325" s="1" t="n">
        <v>46200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46945-2021</t>
        </is>
      </c>
      <c r="B326" s="1" t="n">
        <v>44446</v>
      </c>
      <c r="C326" s="1" t="n">
        <v>46200</v>
      </c>
      <c r="D326" t="inlineStr">
        <is>
          <t>NORRBOTTENS LÄN</t>
        </is>
      </c>
      <c r="E326" t="inlineStr">
        <is>
          <t>ÖVERKALIX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23867-2025</t>
        </is>
      </c>
      <c r="B327" s="1" t="n">
        <v>45793</v>
      </c>
      <c r="C327" s="1" t="n">
        <v>46200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23873-2025</t>
        </is>
      </c>
      <c r="B328" s="1" t="n">
        <v>45793</v>
      </c>
      <c r="C328" s="1" t="n">
        <v>46200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23870-2025</t>
        </is>
      </c>
      <c r="B329" s="1" t="n">
        <v>45793</v>
      </c>
      <c r="C329" s="1" t="n">
        <v>46200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44754-2025</t>
        </is>
      </c>
      <c r="B330" s="1" t="n">
        <v>45917</v>
      </c>
      <c r="C330" s="1" t="n">
        <v>46200</v>
      </c>
      <c r="D330" t="inlineStr">
        <is>
          <t>NORRBOTTENS LÄN</t>
        </is>
      </c>
      <c r="E330" t="inlineStr">
        <is>
          <t>ÖVERKALIX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52075-2023</t>
        </is>
      </c>
      <c r="B331" s="1" t="n">
        <v>45223</v>
      </c>
      <c r="C331" s="1" t="n">
        <v>46200</v>
      </c>
      <c r="D331" t="inlineStr">
        <is>
          <t>NORRBOTTENS LÄN</t>
        </is>
      </c>
      <c r="E331" t="inlineStr">
        <is>
          <t>ÖVERKALIX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54118-2025</t>
        </is>
      </c>
      <c r="B332" s="1" t="n">
        <v>45964</v>
      </c>
      <c r="C332" s="1" t="n">
        <v>46200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51058-2024</t>
        </is>
      </c>
      <c r="B333" s="1" t="n">
        <v>45603</v>
      </c>
      <c r="C333" s="1" t="n">
        <v>46200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43673-2021</t>
        </is>
      </c>
      <c r="B334" s="1" t="n">
        <v>44433</v>
      </c>
      <c r="C334" s="1" t="n">
        <v>46200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5572-2025</t>
        </is>
      </c>
      <c r="B335" s="1" t="n">
        <v>45693</v>
      </c>
      <c r="C335" s="1" t="n">
        <v>46200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24141-2025</t>
        </is>
      </c>
      <c r="B336" s="1" t="n">
        <v>45796</v>
      </c>
      <c r="C336" s="1" t="n">
        <v>46200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45535-2025</t>
        </is>
      </c>
      <c r="B337" s="1" t="n">
        <v>45922</v>
      </c>
      <c r="C337" s="1" t="n">
        <v>46200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54900-2025</t>
        </is>
      </c>
      <c r="B338" s="1" t="n">
        <v>45967</v>
      </c>
      <c r="C338" s="1" t="n">
        <v>46200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54899-2025</t>
        </is>
      </c>
      <c r="B339" s="1" t="n">
        <v>45967</v>
      </c>
      <c r="C339" s="1" t="n">
        <v>46200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24144-2025</t>
        </is>
      </c>
      <c r="B340" s="1" t="n">
        <v>45796</v>
      </c>
      <c r="C340" s="1" t="n">
        <v>46200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4114-2024</t>
        </is>
      </c>
      <c r="B341" s="1" t="n">
        <v>45323</v>
      </c>
      <c r="C341" s="1" t="n">
        <v>46200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57744-2025</t>
        </is>
      </c>
      <c r="B342" s="1" t="n">
        <v>45981</v>
      </c>
      <c r="C342" s="1" t="n">
        <v>46200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57834-2025</t>
        </is>
      </c>
      <c r="B343" s="1" t="n">
        <v>45981</v>
      </c>
      <c r="C343" s="1" t="n">
        <v>46200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25629-2025</t>
        </is>
      </c>
      <c r="B344" s="1" t="n">
        <v>45803</v>
      </c>
      <c r="C344" s="1" t="n">
        <v>46200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</v>
      </c>
      <c r="C345" s="1" t="n">
        <v>46200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58641-2025</t>
        </is>
      </c>
      <c r="B346" s="1" t="n">
        <v>45986</v>
      </c>
      <c r="C346" s="1" t="n">
        <v>46200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58646-2025</t>
        </is>
      </c>
      <c r="B347" s="1" t="n">
        <v>45986</v>
      </c>
      <c r="C347" s="1" t="n">
        <v>46200</v>
      </c>
      <c r="D347" t="inlineStr">
        <is>
          <t>NORRBOTTENS LÄN</t>
        </is>
      </c>
      <c r="E347" t="inlineStr">
        <is>
          <t>ÖVERKALIX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58644-2025</t>
        </is>
      </c>
      <c r="B348" s="1" t="n">
        <v>45986</v>
      </c>
      <c r="C348" s="1" t="n">
        <v>46200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40619-2022</t>
        </is>
      </c>
      <c r="B349" s="1" t="n">
        <v>44823</v>
      </c>
      <c r="C349" s="1" t="n">
        <v>46200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40281-2022</t>
        </is>
      </c>
      <c r="B350" s="1" t="n">
        <v>44820</v>
      </c>
      <c r="C350" s="1" t="n">
        <v>46200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59202-2025</t>
        </is>
      </c>
      <c r="B351" s="1" t="n">
        <v>45988</v>
      </c>
      <c r="C351" s="1" t="n">
        <v>46200</v>
      </c>
      <c r="D351" t="inlineStr">
        <is>
          <t>NORRBOTTENS LÄN</t>
        </is>
      </c>
      <c r="E351" t="inlineStr">
        <is>
          <t>ÖVERKALIX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59829-2025</t>
        </is>
      </c>
      <c r="B352" s="1" t="n">
        <v>45992</v>
      </c>
      <c r="C352" s="1" t="n">
        <v>46200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59897-2025</t>
        </is>
      </c>
      <c r="B353" s="1" t="n">
        <v>45993</v>
      </c>
      <c r="C353" s="1" t="n">
        <v>46200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12177-2024</t>
        </is>
      </c>
      <c r="B354" s="1" t="n">
        <v>45377</v>
      </c>
      <c r="C354" s="1" t="n">
        <v>46200</v>
      </c>
      <c r="D354" t="inlineStr">
        <is>
          <t>NORRBOTTENS LÄN</t>
        </is>
      </c>
      <c r="E354" t="inlineStr">
        <is>
          <t>ÖVERKALIX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60215-2025</t>
        </is>
      </c>
      <c r="B355" s="1" t="n">
        <v>45994</v>
      </c>
      <c r="C355" s="1" t="n">
        <v>46200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60171-2025</t>
        </is>
      </c>
      <c r="B356" s="1" t="n">
        <v>45994</v>
      </c>
      <c r="C356" s="1" t="n">
        <v>46200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60172-2025</t>
        </is>
      </c>
      <c r="B357" s="1" t="n">
        <v>45994</v>
      </c>
      <c r="C357" s="1" t="n">
        <v>46200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60621-2025</t>
        </is>
      </c>
      <c r="B358" s="1" t="n">
        <v>45996</v>
      </c>
      <c r="C358" s="1" t="n">
        <v>46200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60834-2025</t>
        </is>
      </c>
      <c r="B359" s="1" t="n">
        <v>45999</v>
      </c>
      <c r="C359" s="1" t="n">
        <v>46200</v>
      </c>
      <c r="D359" t="inlineStr">
        <is>
          <t>NORRBOTTENS LÄN</t>
        </is>
      </c>
      <c r="E359" t="inlineStr">
        <is>
          <t>ÖVERKALIX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60890-2025</t>
        </is>
      </c>
      <c r="B360" s="1" t="n">
        <v>45999</v>
      </c>
      <c r="C360" s="1" t="n">
        <v>46200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60809-2025</t>
        </is>
      </c>
      <c r="B361" s="1" t="n">
        <v>45999</v>
      </c>
      <c r="C361" s="1" t="n">
        <v>46200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60909-2025</t>
        </is>
      </c>
      <c r="B362" s="1" t="n">
        <v>45999</v>
      </c>
      <c r="C362" s="1" t="n">
        <v>46200</v>
      </c>
      <c r="D362" t="inlineStr">
        <is>
          <t>NORRBOTTENS LÄN</t>
        </is>
      </c>
      <c r="E362" t="inlineStr">
        <is>
          <t>ÖVERKALIX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60815-2025</t>
        </is>
      </c>
      <c r="B363" s="1" t="n">
        <v>45999</v>
      </c>
      <c r="C363" s="1" t="n">
        <v>46200</v>
      </c>
      <c r="D363" t="inlineStr">
        <is>
          <t>NORRBOTTENS LÄN</t>
        </is>
      </c>
      <c r="E363" t="inlineStr">
        <is>
          <t>ÖVERKALIX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61406-2025</t>
        </is>
      </c>
      <c r="B364" s="1" t="n">
        <v>46001</v>
      </c>
      <c r="C364" s="1" t="n">
        <v>46200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61706-2025</t>
        </is>
      </c>
      <c r="B365" s="1" t="n">
        <v>46002</v>
      </c>
      <c r="C365" s="1" t="n">
        <v>46200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26450-2025</t>
        </is>
      </c>
      <c r="B366" s="1" t="n">
        <v>45807</v>
      </c>
      <c r="C366" s="1" t="n">
        <v>46200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63088-2025</t>
        </is>
      </c>
      <c r="B367" s="1" t="n">
        <v>46009</v>
      </c>
      <c r="C367" s="1" t="n">
        <v>46200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63087-2025</t>
        </is>
      </c>
      <c r="B368" s="1" t="n">
        <v>46009</v>
      </c>
      <c r="C368" s="1" t="n">
        <v>46200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63023-2025</t>
        </is>
      </c>
      <c r="B369" s="1" t="n">
        <v>46009</v>
      </c>
      <c r="C369" s="1" t="n">
        <v>46200</v>
      </c>
      <c r="D369" t="inlineStr">
        <is>
          <t>NORRBOTTENS LÄN</t>
        </is>
      </c>
      <c r="E369" t="inlineStr">
        <is>
          <t>ÖVERKALIX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63545-2025</t>
        </is>
      </c>
      <c r="B370" s="1" t="n">
        <v>46013</v>
      </c>
      <c r="C370" s="1" t="n">
        <v>46200</v>
      </c>
      <c r="D370" t="inlineStr">
        <is>
          <t>NORRBOTTENS LÄN</t>
        </is>
      </c>
      <c r="E370" t="inlineStr">
        <is>
          <t>ÖVERKALIX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63242-2025</t>
        </is>
      </c>
      <c r="B371" s="1" t="n">
        <v>46010</v>
      </c>
      <c r="C371" s="1" t="n">
        <v>46200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63451-2025</t>
        </is>
      </c>
      <c r="B372" s="1" t="n">
        <v>46013</v>
      </c>
      <c r="C372" s="1" t="n">
        <v>46200</v>
      </c>
      <c r="D372" t="inlineStr">
        <is>
          <t>NORRBOTTENS LÄN</t>
        </is>
      </c>
      <c r="E372" t="inlineStr">
        <is>
          <t>ÖVERKALIX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63454-2025</t>
        </is>
      </c>
      <c r="B373" s="1" t="n">
        <v>46013</v>
      </c>
      <c r="C373" s="1" t="n">
        <v>46200</v>
      </c>
      <c r="D373" t="inlineStr">
        <is>
          <t>NORRBOTTENS LÄN</t>
        </is>
      </c>
      <c r="E373" t="inlineStr">
        <is>
          <t>ÖVERKALIX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525-2026</t>
        </is>
      </c>
      <c r="B374" s="1" t="n">
        <v>46029</v>
      </c>
      <c r="C374" s="1" t="n">
        <v>46200</v>
      </c>
      <c r="D374" t="inlineStr">
        <is>
          <t>NORRBOTTENS LÄN</t>
        </is>
      </c>
      <c r="E374" t="inlineStr">
        <is>
          <t>ÖVERKALIX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648-2026</t>
        </is>
      </c>
      <c r="B375" s="1" t="n">
        <v>46029</v>
      </c>
      <c r="C375" s="1" t="n">
        <v>46200</v>
      </c>
      <c r="D375" t="inlineStr">
        <is>
          <t>NORRBOTTENS LÄN</t>
        </is>
      </c>
      <c r="E375" t="inlineStr">
        <is>
          <t>ÖVERKALIX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604-2026</t>
        </is>
      </c>
      <c r="B376" s="1" t="n">
        <v>46029</v>
      </c>
      <c r="C376" s="1" t="n">
        <v>46200</v>
      </c>
      <c r="D376" t="inlineStr">
        <is>
          <t>NORRBOTTENS LÄN</t>
        </is>
      </c>
      <c r="E376" t="inlineStr">
        <is>
          <t>ÖVERKALIX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605-2026</t>
        </is>
      </c>
      <c r="B377" s="1" t="n">
        <v>46029</v>
      </c>
      <c r="C377" s="1" t="n">
        <v>46200</v>
      </c>
      <c r="D377" t="inlineStr">
        <is>
          <t>NORRBOTTENS LÄN</t>
        </is>
      </c>
      <c r="E377" t="inlineStr">
        <is>
          <t>ÖVERKALIX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15491-2025</t>
        </is>
      </c>
      <c r="B378" s="1" t="n">
        <v>45747</v>
      </c>
      <c r="C378" s="1" t="n">
        <v>46200</v>
      </c>
      <c r="D378" t="inlineStr">
        <is>
          <t>NORRBOTTENS LÄN</t>
        </is>
      </c>
      <c r="E378" t="inlineStr">
        <is>
          <t>ÖVERKALIX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3399-2026</t>
        </is>
      </c>
      <c r="B379" s="1" t="n">
        <v>46042</v>
      </c>
      <c r="C379" s="1" t="n">
        <v>46200</v>
      </c>
      <c r="D379" t="inlineStr">
        <is>
          <t>NORRBOTTENS LÄN</t>
        </is>
      </c>
      <c r="E379" t="inlineStr">
        <is>
          <t>ÖVERKALIX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3524-2026</t>
        </is>
      </c>
      <c r="B380" s="1" t="n">
        <v>46042</v>
      </c>
      <c r="C380" s="1" t="n">
        <v>46200</v>
      </c>
      <c r="D380" t="inlineStr">
        <is>
          <t>NORRBOTTENS LÄN</t>
        </is>
      </c>
      <c r="E380" t="inlineStr">
        <is>
          <t>ÖVERKALIX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8672-2025</t>
        </is>
      </c>
      <c r="B381" s="1" t="n">
        <v>45712</v>
      </c>
      <c r="C381" s="1" t="n">
        <v>46200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4678-2026</t>
        </is>
      </c>
      <c r="B382" s="1" t="n">
        <v>46048</v>
      </c>
      <c r="C382" s="1" t="n">
        <v>46200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6355-2026</t>
        </is>
      </c>
      <c r="B383" s="1" t="n">
        <v>46055</v>
      </c>
      <c r="C383" s="1" t="n">
        <v>46200</v>
      </c>
      <c r="D383" t="inlineStr">
        <is>
          <t>NORRBOTTENS LÄN</t>
        </is>
      </c>
      <c r="E383" t="inlineStr">
        <is>
          <t>ÖVERKALIX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7488-2026</t>
        </is>
      </c>
      <c r="B384" s="1" t="n">
        <v>46059</v>
      </c>
      <c r="C384" s="1" t="n">
        <v>46200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7487-2026</t>
        </is>
      </c>
      <c r="B385" s="1" t="n">
        <v>46059</v>
      </c>
      <c r="C385" s="1" t="n">
        <v>46200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10292-2026</t>
        </is>
      </c>
      <c r="B386" s="1" t="n">
        <v>46076</v>
      </c>
      <c r="C386" s="1" t="n">
        <v>46200</v>
      </c>
      <c r="D386" t="inlineStr">
        <is>
          <t>NORRBOTTENS LÄN</t>
        </is>
      </c>
      <c r="E386" t="inlineStr">
        <is>
          <t>ÖVERKALIX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10293-2026</t>
        </is>
      </c>
      <c r="B387" s="1" t="n">
        <v>46076</v>
      </c>
      <c r="C387" s="1" t="n">
        <v>46200</v>
      </c>
      <c r="D387" t="inlineStr">
        <is>
          <t>NORRBOTTENS LÄN</t>
        </is>
      </c>
      <c r="E387" t="inlineStr">
        <is>
          <t>ÖVERKALIX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11181-2026</t>
        </is>
      </c>
      <c r="B388" s="1" t="n">
        <v>46080</v>
      </c>
      <c r="C388" s="1" t="n">
        <v>46200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11179-2026</t>
        </is>
      </c>
      <c r="B389" s="1" t="n">
        <v>46080</v>
      </c>
      <c r="C389" s="1" t="n">
        <v>46200</v>
      </c>
      <c r="D389" t="inlineStr">
        <is>
          <t>NORRBOTTENS LÄN</t>
        </is>
      </c>
      <c r="E389" t="inlineStr">
        <is>
          <t>ÖVERKALIX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28372-2025</t>
        </is>
      </c>
      <c r="B390" s="1" t="n">
        <v>45818</v>
      </c>
      <c r="C390" s="1" t="n">
        <v>46200</v>
      </c>
      <c r="D390" t="inlineStr">
        <is>
          <t>NORRBOTTENS LÄN</t>
        </is>
      </c>
      <c r="E390" t="inlineStr">
        <is>
          <t>ÖVERKALIX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28343-2025</t>
        </is>
      </c>
      <c r="B391" s="1" t="n">
        <v>45818</v>
      </c>
      <c r="C391" s="1" t="n">
        <v>46200</v>
      </c>
      <c r="D391" t="inlineStr">
        <is>
          <t>NORRBOTTENS LÄN</t>
        </is>
      </c>
      <c r="E391" t="inlineStr">
        <is>
          <t>ÖVERKALIX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11685-2026</t>
        </is>
      </c>
      <c r="B392" s="1" t="n">
        <v>46084</v>
      </c>
      <c r="C392" s="1" t="n">
        <v>46200</v>
      </c>
      <c r="D392" t="inlineStr">
        <is>
          <t>NORRBOTTENS LÄN</t>
        </is>
      </c>
      <c r="E392" t="inlineStr">
        <is>
          <t>ÖVERKALIX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11770-2026</t>
        </is>
      </c>
      <c r="B393" s="1" t="n">
        <v>46084</v>
      </c>
      <c r="C393" s="1" t="n">
        <v>46200</v>
      </c>
      <c r="D393" t="inlineStr">
        <is>
          <t>NORRBOTTENS LÄN</t>
        </is>
      </c>
      <c r="E393" t="inlineStr">
        <is>
          <t>ÖVERKALIX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11771-2026</t>
        </is>
      </c>
      <c r="B394" s="1" t="n">
        <v>46084</v>
      </c>
      <c r="C394" s="1" t="n">
        <v>46200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11769-2026</t>
        </is>
      </c>
      <c r="B395" s="1" t="n">
        <v>46084</v>
      </c>
      <c r="C395" s="1" t="n">
        <v>46200</v>
      </c>
      <c r="D395" t="inlineStr">
        <is>
          <t>NORRBOTTENS LÄN</t>
        </is>
      </c>
      <c r="E395" t="inlineStr">
        <is>
          <t>ÖVERKALIX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11768-2026</t>
        </is>
      </c>
      <c r="B396" s="1" t="n">
        <v>46084</v>
      </c>
      <c r="C396" s="1" t="n">
        <v>46200</v>
      </c>
      <c r="D396" t="inlineStr">
        <is>
          <t>NORRBOTTENS LÄN</t>
        </is>
      </c>
      <c r="E396" t="inlineStr">
        <is>
          <t>ÖVERKALIX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11772-2026</t>
        </is>
      </c>
      <c r="B397" s="1" t="n">
        <v>46084</v>
      </c>
      <c r="C397" s="1" t="n">
        <v>46200</v>
      </c>
      <c r="D397" t="inlineStr">
        <is>
          <t>NORRBOTTENS LÄN</t>
        </is>
      </c>
      <c r="E397" t="inlineStr">
        <is>
          <t>ÖVERKALIX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12277-2026</t>
        </is>
      </c>
      <c r="B398" s="1" t="n">
        <v>46087</v>
      </c>
      <c r="C398" s="1" t="n">
        <v>46200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12278-2026</t>
        </is>
      </c>
      <c r="B399" s="1" t="n">
        <v>46087</v>
      </c>
      <c r="C399" s="1" t="n">
        <v>46200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13286-2026</t>
        </is>
      </c>
      <c r="B400" s="1" t="n">
        <v>46093</v>
      </c>
      <c r="C400" s="1" t="n">
        <v>46200</v>
      </c>
      <c r="D400" t="inlineStr">
        <is>
          <t>NORRBOTTENS LÄN</t>
        </is>
      </c>
      <c r="E400" t="inlineStr">
        <is>
          <t>ÖVERKALIX</t>
        </is>
      </c>
      <c r="G400" t="n">
        <v>21.4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13058-2026</t>
        </is>
      </c>
      <c r="B401" s="1" t="n">
        <v>46093</v>
      </c>
      <c r="C401" s="1" t="n">
        <v>46200</v>
      </c>
      <c r="D401" t="inlineStr">
        <is>
          <t>NORRBOTTENS LÄN</t>
        </is>
      </c>
      <c r="E401" t="inlineStr">
        <is>
          <t>ÖVERKALIX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15011-2026</t>
        </is>
      </c>
      <c r="B402" s="1" t="n">
        <v>46104</v>
      </c>
      <c r="C402" s="1" t="n">
        <v>46200</v>
      </c>
      <c r="D402" t="inlineStr">
        <is>
          <t>NORRBOTTENS LÄN</t>
        </is>
      </c>
      <c r="E402" t="inlineStr">
        <is>
          <t>ÖVERKALIX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15358-2026</t>
        </is>
      </c>
      <c r="B403" s="1" t="n">
        <v>46105</v>
      </c>
      <c r="C403" s="1" t="n">
        <v>46200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16487-2026</t>
        </is>
      </c>
      <c r="B404" s="1" t="n">
        <v>46112</v>
      </c>
      <c r="C404" s="1" t="n">
        <v>46200</v>
      </c>
      <c r="D404" t="inlineStr">
        <is>
          <t>NORRBOTTENS LÄN</t>
        </is>
      </c>
      <c r="E404" t="inlineStr">
        <is>
          <t>ÖVERKALIX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16794-2026</t>
        </is>
      </c>
      <c r="B405" s="1" t="n">
        <v>46113</v>
      </c>
      <c r="C405" s="1" t="n">
        <v>46200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7110-2026</t>
        </is>
      </c>
      <c r="B406" s="1" t="n">
        <v>46057</v>
      </c>
      <c r="C406" s="1" t="n">
        <v>46200</v>
      </c>
      <c r="D406" t="inlineStr">
        <is>
          <t>NORRBOTTENS LÄN</t>
        </is>
      </c>
      <c r="E406" t="inlineStr">
        <is>
          <t>ÖVERKALIX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22955-2026</t>
        </is>
      </c>
      <c r="B407" s="1" t="n">
        <v>46160</v>
      </c>
      <c r="C407" s="1" t="n">
        <v>46200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22945-2026</t>
        </is>
      </c>
      <c r="B408" s="1" t="n">
        <v>46160</v>
      </c>
      <c r="C408" s="1" t="n">
        <v>46200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23360-2026</t>
        </is>
      </c>
      <c r="B409" s="1" t="n">
        <v>46162</v>
      </c>
      <c r="C409" s="1" t="n">
        <v>46200</v>
      </c>
      <c r="D409" t="inlineStr">
        <is>
          <t>NORRBOTTENS LÄN</t>
        </is>
      </c>
      <c r="E409" t="inlineStr">
        <is>
          <t>ÖVERKALIX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23362-2026</t>
        </is>
      </c>
      <c r="B410" s="1" t="n">
        <v>46162</v>
      </c>
      <c r="C410" s="1" t="n">
        <v>46200</v>
      </c>
      <c r="D410" t="inlineStr">
        <is>
          <t>NORRBOTTENS LÄN</t>
        </is>
      </c>
      <c r="E410" t="inlineStr">
        <is>
          <t>ÖVERKALIX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23364-2026</t>
        </is>
      </c>
      <c r="B411" s="1" t="n">
        <v>46162</v>
      </c>
      <c r="C411" s="1" t="n">
        <v>46200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17516-2026</t>
        </is>
      </c>
      <c r="B412" s="1" t="n">
        <v>46120</v>
      </c>
      <c r="C412" s="1" t="n">
        <v>46200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17469-2026</t>
        </is>
      </c>
      <c r="B413" s="1" t="n">
        <v>46120</v>
      </c>
      <c r="C413" s="1" t="n">
        <v>46200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23353-2026</t>
        </is>
      </c>
      <c r="B414" s="1" t="n">
        <v>46162</v>
      </c>
      <c r="C414" s="1" t="n">
        <v>46200</v>
      </c>
      <c r="D414" t="inlineStr">
        <is>
          <t>NORRBOTTENS LÄN</t>
        </is>
      </c>
      <c r="E414" t="inlineStr">
        <is>
          <t>ÖVERKALIX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23588-2026</t>
        </is>
      </c>
      <c r="B415" s="1" t="n">
        <v>46163</v>
      </c>
      <c r="C415" s="1" t="n">
        <v>46200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23507-2026</t>
        </is>
      </c>
      <c r="B416" s="1" t="n">
        <v>46163</v>
      </c>
      <c r="C416" s="1" t="n">
        <v>46200</v>
      </c>
      <c r="D416" t="inlineStr">
        <is>
          <t>NORRBOTTENS LÄN</t>
        </is>
      </c>
      <c r="E416" t="inlineStr">
        <is>
          <t>ÖVERKALIX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23771-2026</t>
        </is>
      </c>
      <c r="B417" s="1" t="n">
        <v>46164</v>
      </c>
      <c r="C417" s="1" t="n">
        <v>46200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17690-2026</t>
        </is>
      </c>
      <c r="B418" s="1" t="n">
        <v>46121</v>
      </c>
      <c r="C418" s="1" t="n">
        <v>46200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23938-2026</t>
        </is>
      </c>
      <c r="B419" s="1" t="n">
        <v>46167</v>
      </c>
      <c r="C419" s="1" t="n">
        <v>46200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24128-2026</t>
        </is>
      </c>
      <c r="B420" s="1" t="n">
        <v>46168</v>
      </c>
      <c r="C420" s="1" t="n">
        <v>46200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23942-2026</t>
        </is>
      </c>
      <c r="B421" s="1" t="n">
        <v>46167</v>
      </c>
      <c r="C421" s="1" t="n">
        <v>46200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23949-2026</t>
        </is>
      </c>
      <c r="B422" s="1" t="n">
        <v>46167</v>
      </c>
      <c r="C422" s="1" t="n">
        <v>46200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23953-2026</t>
        </is>
      </c>
      <c r="B423" s="1" t="n">
        <v>46167</v>
      </c>
      <c r="C423" s="1" t="n">
        <v>46200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23935-2026</t>
        </is>
      </c>
      <c r="B424" s="1" t="n">
        <v>46167</v>
      </c>
      <c r="C424" s="1" t="n">
        <v>46200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24170-2026</t>
        </is>
      </c>
      <c r="B425" s="1" t="n">
        <v>46168</v>
      </c>
      <c r="C425" s="1" t="n">
        <v>46200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24129-2026</t>
        </is>
      </c>
      <c r="B426" s="1" t="n">
        <v>46168</v>
      </c>
      <c r="C426" s="1" t="n">
        <v>46200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24587-2026</t>
        </is>
      </c>
      <c r="B427" s="1" t="n">
        <v>46170</v>
      </c>
      <c r="C427" s="1" t="n">
        <v>46200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18522-2026</t>
        </is>
      </c>
      <c r="B428" s="1" t="n">
        <v>46127</v>
      </c>
      <c r="C428" s="1" t="n">
        <v>46200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18523-2026</t>
        </is>
      </c>
      <c r="B429" s="1" t="n">
        <v>46127</v>
      </c>
      <c r="C429" s="1" t="n">
        <v>46200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19375-2026</t>
        </is>
      </c>
      <c r="B430" s="1" t="n">
        <v>46133</v>
      </c>
      <c r="C430" s="1" t="n">
        <v>46200</v>
      </c>
      <c r="D430" t="inlineStr">
        <is>
          <t>NORRBOTTENS LÄN</t>
        </is>
      </c>
      <c r="E430" t="inlineStr">
        <is>
          <t>ÖVERKALIX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25180-2026</t>
        </is>
      </c>
      <c r="B431" s="1" t="n">
        <v>46175</v>
      </c>
      <c r="C431" s="1" t="n">
        <v>46200</v>
      </c>
      <c r="D431" t="inlineStr">
        <is>
          <t>NORRBOTTENS LÄN</t>
        </is>
      </c>
      <c r="E431" t="inlineStr">
        <is>
          <t>ÖVERKALIX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19107-2026</t>
        </is>
      </c>
      <c r="B432" s="1" t="n">
        <v>46132</v>
      </c>
      <c r="C432" s="1" t="n">
        <v>46200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19410-2026</t>
        </is>
      </c>
      <c r="B433" s="1" t="n">
        <v>46133</v>
      </c>
      <c r="C433" s="1" t="n">
        <v>46200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19805-2026</t>
        </is>
      </c>
      <c r="B434" s="1" t="n">
        <v>46135</v>
      </c>
      <c r="C434" s="1" t="n">
        <v>46200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19858-2026</t>
        </is>
      </c>
      <c r="B435" s="1" t="n">
        <v>46135</v>
      </c>
      <c r="C435" s="1" t="n">
        <v>46200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19616-2026</t>
        </is>
      </c>
      <c r="B436" s="1" t="n">
        <v>46134</v>
      </c>
      <c r="C436" s="1" t="n">
        <v>46200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25545-2026</t>
        </is>
      </c>
      <c r="B437" s="1" t="n">
        <v>46177</v>
      </c>
      <c r="C437" s="1" t="n">
        <v>46200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25546-2026</t>
        </is>
      </c>
      <c r="B438" s="1" t="n">
        <v>46177</v>
      </c>
      <c r="C438" s="1" t="n">
        <v>46200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15301-2022</t>
        </is>
      </c>
      <c r="B439" s="1" t="n">
        <v>44659</v>
      </c>
      <c r="C439" s="1" t="n">
        <v>46200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25822-2026</t>
        </is>
      </c>
      <c r="B440" s="1" t="n">
        <v>46178</v>
      </c>
      <c r="C440" s="1" t="n">
        <v>46200</v>
      </c>
      <c r="D440" t="inlineStr">
        <is>
          <t>NORRBOTTENS LÄN</t>
        </is>
      </c>
      <c r="E440" t="inlineStr">
        <is>
          <t>ÖVERKALIX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25965-2026</t>
        </is>
      </c>
      <c r="B441" s="1" t="n">
        <v>46181</v>
      </c>
      <c r="C441" s="1" t="n">
        <v>46200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25970-2026</t>
        </is>
      </c>
      <c r="B442" s="1" t="n">
        <v>46181</v>
      </c>
      <c r="C442" s="1" t="n">
        <v>46200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20171-2026</t>
        </is>
      </c>
      <c r="B443" s="1" t="n">
        <v>46139</v>
      </c>
      <c r="C443" s="1" t="n">
        <v>46200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26426-2026</t>
        </is>
      </c>
      <c r="B444" s="1" t="n">
        <v>46183</v>
      </c>
      <c r="C444" s="1" t="n">
        <v>46200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26427-2026</t>
        </is>
      </c>
      <c r="B445" s="1" t="n">
        <v>46183</v>
      </c>
      <c r="C445" s="1" t="n">
        <v>46200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26429-2026</t>
        </is>
      </c>
      <c r="B446" s="1" t="n">
        <v>46183</v>
      </c>
      <c r="C446" s="1" t="n">
        <v>46200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20505-2026</t>
        </is>
      </c>
      <c r="B447" s="1" t="n">
        <v>46140</v>
      </c>
      <c r="C447" s="1" t="n">
        <v>46200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13717-2022</t>
        </is>
      </c>
      <c r="B448" s="1" t="n">
        <v>44648</v>
      </c>
      <c r="C448" s="1" t="n">
        <v>46200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43042-2025</t>
        </is>
      </c>
      <c r="B449" s="1" t="n">
        <v>45909</v>
      </c>
      <c r="C449" s="1" t="n">
        <v>46200</v>
      </c>
      <c r="D449" t="inlineStr">
        <is>
          <t>NORRBOTTENS LÄN</t>
        </is>
      </c>
      <c r="E449" t="inlineStr">
        <is>
          <t>ÖVERKALIX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28208-2025</t>
        </is>
      </c>
      <c r="B450" s="1" t="n">
        <v>45818</v>
      </c>
      <c r="C450" s="1" t="n">
        <v>46200</v>
      </c>
      <c r="D450" t="inlineStr">
        <is>
          <t>NORRBOTTENS LÄN</t>
        </is>
      </c>
      <c r="E450" t="inlineStr">
        <is>
          <t>ÖVERKALIX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21299-2024</t>
        </is>
      </c>
      <c r="B451" s="1" t="n">
        <v>45440</v>
      </c>
      <c r="C451" s="1" t="n">
        <v>46200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20949-2026</t>
        </is>
      </c>
      <c r="B452" s="1" t="n">
        <v>46142</v>
      </c>
      <c r="C452" s="1" t="n">
        <v>46200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27087-2026</t>
        </is>
      </c>
      <c r="B453" s="1" t="n">
        <v>46187</v>
      </c>
      <c r="C453" s="1" t="n">
        <v>46200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21417-2026</t>
        </is>
      </c>
      <c r="B454" s="1" t="n">
        <v>46148</v>
      </c>
      <c r="C454" s="1" t="n">
        <v>46200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21427-2026</t>
        </is>
      </c>
      <c r="B455" s="1" t="n">
        <v>46148</v>
      </c>
      <c r="C455" s="1" t="n">
        <v>46200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4830-2026</t>
        </is>
      </c>
      <c r="B456" s="1" t="n">
        <v>46048</v>
      </c>
      <c r="C456" s="1" t="n">
        <v>46200</v>
      </c>
      <c r="D456" t="inlineStr">
        <is>
          <t>NORRBOTTENS LÄN</t>
        </is>
      </c>
      <c r="E456" t="inlineStr">
        <is>
          <t>ÖVERKALIX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21411-2026</t>
        </is>
      </c>
      <c r="B457" s="1" t="n">
        <v>46148</v>
      </c>
      <c r="C457" s="1" t="n">
        <v>46200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21419-2026</t>
        </is>
      </c>
      <c r="B458" s="1" t="n">
        <v>46148</v>
      </c>
      <c r="C458" s="1" t="n">
        <v>46200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21423-2026</t>
        </is>
      </c>
      <c r="B459" s="1" t="n">
        <v>46148</v>
      </c>
      <c r="C459" s="1" t="n">
        <v>46200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21424-2026</t>
        </is>
      </c>
      <c r="B460" s="1" t="n">
        <v>46148</v>
      </c>
      <c r="C460" s="1" t="n">
        <v>46200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21425-2026</t>
        </is>
      </c>
      <c r="B461" s="1" t="n">
        <v>46148</v>
      </c>
      <c r="C461" s="1" t="n">
        <v>46200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21429-2026</t>
        </is>
      </c>
      <c r="B462" s="1" t="n">
        <v>46148</v>
      </c>
      <c r="C462" s="1" t="n">
        <v>46200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18.8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4829-2026</t>
        </is>
      </c>
      <c r="B463" s="1" t="n">
        <v>46048</v>
      </c>
      <c r="C463" s="1" t="n">
        <v>46200</v>
      </c>
      <c r="D463" t="inlineStr">
        <is>
          <t>NORRBOTTENS LÄN</t>
        </is>
      </c>
      <c r="E463" t="inlineStr">
        <is>
          <t>ÖVERKALIX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27681-2026</t>
        </is>
      </c>
      <c r="B464" s="1" t="n">
        <v>46190</v>
      </c>
      <c r="C464" s="1" t="n">
        <v>46200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21422-2026</t>
        </is>
      </c>
      <c r="B465" s="1" t="n">
        <v>46148</v>
      </c>
      <c r="C465" s="1" t="n">
        <v>46200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22163-2026</t>
        </is>
      </c>
      <c r="B466" s="1" t="n">
        <v>46153</v>
      </c>
      <c r="C466" s="1" t="n">
        <v>46200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28038-2026</t>
        </is>
      </c>
      <c r="B467" s="1" t="n">
        <v>46195</v>
      </c>
      <c r="C467" s="1" t="n">
        <v>46200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28210-2026</t>
        </is>
      </c>
      <c r="B468" s="1" t="n">
        <v>46196</v>
      </c>
      <c r="C468" s="1" t="n">
        <v>46200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48221-2025</t>
        </is>
      </c>
      <c r="B469" s="1" t="n">
        <v>45933</v>
      </c>
      <c r="C469" s="1" t="n">
        <v>46200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28925-2026</t>
        </is>
      </c>
      <c r="B470" s="1" t="n">
        <v>46199</v>
      </c>
      <c r="C470" s="1" t="n">
        <v>46200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28644-2026</t>
        </is>
      </c>
      <c r="B471" s="1" t="n">
        <v>46198</v>
      </c>
      <c r="C471" s="1" t="n">
        <v>46200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22742-2026</t>
        </is>
      </c>
      <c r="B472" s="1" t="n">
        <v>46157</v>
      </c>
      <c r="C472" s="1" t="n">
        <v>46200</v>
      </c>
      <c r="D472" t="inlineStr">
        <is>
          <t>NORRBOTTENS LÄN</t>
        </is>
      </c>
      <c r="E472" t="inlineStr">
        <is>
          <t>ÖVERKALIX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28641-2026</t>
        </is>
      </c>
      <c r="B473" s="1" t="n">
        <v>46198</v>
      </c>
      <c r="C473" s="1" t="n">
        <v>46200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2026-06-27T00:51:31Z</dcterms:created>
  <dcterms:modified xmlns:dcterms="http://purl.org/dc/terms/" xmlns:xsi="http://www.w3.org/2001/XMLSchema-instance" xsi:type="dcterms:W3CDTF">2026-06-27T00:51:31Z</dcterms:modified>
</cp:coreProperties>
</file>