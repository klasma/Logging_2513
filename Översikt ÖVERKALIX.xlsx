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45894.67990740741</v>
      </c>
      <c r="C4" s="1" t="n">
        <v>45899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45899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45899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45899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45899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45899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45899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45899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45899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45899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45899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45899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45899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45899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45899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45899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45899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45899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45899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45899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45899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47680-2024</t>
        </is>
      </c>
      <c r="B25" s="1" t="n">
        <v>45588.4158912037</v>
      </c>
      <c r="C25" s="1" t="n">
        <v>45899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HYPERLINK("https://klasma.github.io/Logging_2513/artfynd/A 47680-2024 artfynd.xlsx", "A 47680-2024")</f>
        <v/>
      </c>
      <c r="T25">
        <f>HYPERLINK("https://klasma.github.io/Logging_2513/kartor/A 47680-2024 karta.png", "A 47680-2024")</f>
        <v/>
      </c>
      <c r="V25">
        <f>HYPERLINK("https://klasma.github.io/Logging_2513/klagomål/A 47680-2024 FSC-klagomål.docx", "A 47680-2024")</f>
        <v/>
      </c>
      <c r="W25">
        <f>HYPERLINK("https://klasma.github.io/Logging_2513/klagomålsmail/A 47680-2024 FSC-klagomål mail.docx", "A 47680-2024")</f>
        <v/>
      </c>
      <c r="X25">
        <f>HYPERLINK("https://klasma.github.io/Logging_2513/tillsyn/A 47680-2024 tillsynsbegäran.docx", "A 47680-2024")</f>
        <v/>
      </c>
      <c r="Y25">
        <f>HYPERLINK("https://klasma.github.io/Logging_2513/tillsynsmail/A 47680-2024 tillsynsbegäran mail.docx", "A 47680-2024")</f>
        <v/>
      </c>
    </row>
    <row r="26" ht="15" customHeight="1">
      <c r="A26" t="inlineStr">
        <is>
          <t>A 33834-2024</t>
        </is>
      </c>
      <c r="B26" s="1" t="n">
        <v>45520</v>
      </c>
      <c r="C26" s="1" t="n">
        <v>45899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HYPERLINK("https://klasma.github.io/Logging_2513/artfynd/A 33834-2024 artfynd.xlsx", "A 33834-2024")</f>
        <v/>
      </c>
      <c r="T26">
        <f>HYPERLINK("https://klasma.github.io/Logging_2513/kartor/A 33834-2024 karta.png", "A 33834-2024")</f>
        <v/>
      </c>
      <c r="V26">
        <f>HYPERLINK("https://klasma.github.io/Logging_2513/klagomål/A 33834-2024 FSC-klagomål.docx", "A 33834-2024")</f>
        <v/>
      </c>
      <c r="W26">
        <f>HYPERLINK("https://klasma.github.io/Logging_2513/klagomålsmail/A 33834-2024 FSC-klagomål mail.docx", "A 33834-2024")</f>
        <v/>
      </c>
      <c r="X26">
        <f>HYPERLINK("https://klasma.github.io/Logging_2513/tillsyn/A 33834-2024 tillsynsbegäran.docx", "A 33834-2024")</f>
        <v/>
      </c>
      <c r="Y26">
        <f>HYPERLINK("https://klasma.github.io/Logging_2513/tillsynsmail/A 33834-2024 tillsynsbegäran mail.docx", "A 33834-2024")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45899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45899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45899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45899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45899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32407-2025</t>
        </is>
      </c>
      <c r="B33" s="1" t="n">
        <v>45838</v>
      </c>
      <c r="C33" s="1" t="n">
        <v>45899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HYPERLINK("https://klasma.github.io/Logging_2513/artfynd/A 32407-2025 artfynd.xlsx", "A 32407-2025")</f>
        <v/>
      </c>
      <c r="T33">
        <f>HYPERLINK("https://klasma.github.io/Logging_2513/kartor/A 32407-2025 karta.png", "A 32407-2025")</f>
        <v/>
      </c>
      <c r="U33">
        <f>HYPERLINK("https://klasma.github.io/Logging_2513/knärot/A 32407-2025 karta knärot.png", "A 32407-2025")</f>
        <v/>
      </c>
      <c r="V33">
        <f>HYPERLINK("https://klasma.github.io/Logging_2513/klagomål/A 32407-2025 FSC-klagomål.docx", "A 32407-2025")</f>
        <v/>
      </c>
      <c r="W33">
        <f>HYPERLINK("https://klasma.github.io/Logging_2513/klagomålsmail/A 32407-2025 FSC-klagomål mail.docx", "A 32407-2025")</f>
        <v/>
      </c>
      <c r="X33">
        <f>HYPERLINK("https://klasma.github.io/Logging_2513/tillsyn/A 32407-2025 tillsynsbegäran.docx", "A 32407-2025")</f>
        <v/>
      </c>
      <c r="Y33">
        <f>HYPERLINK("https://klasma.github.io/Logging_2513/tillsynsmail/A 32407-2025 tillsynsbegäran mail.docx", "A 32407-2025")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45899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45899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45899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41171-2023</t>
        </is>
      </c>
      <c r="B37" s="1" t="n">
        <v>45174</v>
      </c>
      <c r="C37" s="1" t="n">
        <v>45899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41171-2023 artfynd.xlsx", "A 41171-2023")</f>
        <v/>
      </c>
      <c r="T37">
        <f>HYPERLINK("https://klasma.github.io/Logging_2513/kartor/A 41171-2023 karta.png", "A 41171-2023")</f>
        <v/>
      </c>
      <c r="V37">
        <f>HYPERLINK("https://klasma.github.io/Logging_2513/klagomål/A 41171-2023 FSC-klagomål.docx", "A 41171-2023")</f>
        <v/>
      </c>
      <c r="W37">
        <f>HYPERLINK("https://klasma.github.io/Logging_2513/klagomålsmail/A 41171-2023 FSC-klagomål mail.docx", "A 41171-2023")</f>
        <v/>
      </c>
      <c r="X37">
        <f>HYPERLINK("https://klasma.github.io/Logging_2513/tillsyn/A 41171-2023 tillsynsbegäran.docx", "A 41171-2023")</f>
        <v/>
      </c>
      <c r="Y37">
        <f>HYPERLINK("https://klasma.github.io/Logging_2513/tillsynsmail/A 41171-2023 tillsynsbegäran mail.docx", "A 41171-2023")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45899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45899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45899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45899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45899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45899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28364-2021</t>
        </is>
      </c>
      <c r="B44" s="1" t="n">
        <v>44356</v>
      </c>
      <c r="C44" s="1" t="n">
        <v>45899</v>
      </c>
      <c r="D44" t="inlineStr">
        <is>
          <t>NORRBOTTENS LÄN</t>
        </is>
      </c>
      <c r="E44" t="inlineStr">
        <is>
          <t>ÖVERKALIX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3174-2022</t>
        </is>
      </c>
      <c r="B45" s="1" t="n">
        <v>44582</v>
      </c>
      <c r="C45" s="1" t="n">
        <v>45899</v>
      </c>
      <c r="D45" t="inlineStr">
        <is>
          <t>NORRBOTTENS LÄN</t>
        </is>
      </c>
      <c r="E45" t="inlineStr">
        <is>
          <t>ÖVERKALIX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73348-2021</t>
        </is>
      </c>
      <c r="B46" s="1" t="n">
        <v>44550</v>
      </c>
      <c r="C46" s="1" t="n">
        <v>45899</v>
      </c>
      <c r="D46" t="inlineStr">
        <is>
          <t>NORRBOTTENS LÄN</t>
        </is>
      </c>
      <c r="E46" t="inlineStr">
        <is>
          <t>ÖVERKALIX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44830-2021</t>
        </is>
      </c>
      <c r="B47" s="1" t="n">
        <v>44438</v>
      </c>
      <c r="C47" s="1" t="n">
        <v>45899</v>
      </c>
      <c r="D47" t="inlineStr">
        <is>
          <t>NORRBOTTENS LÄN</t>
        </is>
      </c>
      <c r="E47" t="inlineStr">
        <is>
          <t>ÖVERKALIX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22988-2022</t>
        </is>
      </c>
      <c r="B48" s="1" t="n">
        <v>44718</v>
      </c>
      <c r="C48" s="1" t="n">
        <v>45899</v>
      </c>
      <c r="D48" t="inlineStr">
        <is>
          <t>NORRBOTTENS LÄN</t>
        </is>
      </c>
      <c r="E48" t="inlineStr">
        <is>
          <t>ÖVERKALIX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35845-2021</t>
        </is>
      </c>
      <c r="B49" s="1" t="n">
        <v>44386.91877314815</v>
      </c>
      <c r="C49" s="1" t="n">
        <v>45899</v>
      </c>
      <c r="D49" t="inlineStr">
        <is>
          <t>NORRBOTTENS LÄN</t>
        </is>
      </c>
      <c r="E49" t="inlineStr">
        <is>
          <t>ÖVERKALIX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8224-2021</t>
        </is>
      </c>
      <c r="B50" s="1" t="n">
        <v>44244</v>
      </c>
      <c r="C50" s="1" t="n">
        <v>45899</v>
      </c>
      <c r="D50" t="inlineStr">
        <is>
          <t>NORRBOTTENS LÄN</t>
        </is>
      </c>
      <c r="E50" t="inlineStr">
        <is>
          <t>ÖVERKALIX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73757-2021</t>
        </is>
      </c>
      <c r="B51" s="1" t="n">
        <v>44551</v>
      </c>
      <c r="C51" s="1" t="n">
        <v>45899</v>
      </c>
      <c r="D51" t="inlineStr">
        <is>
          <t>NORRBOTTENS LÄN</t>
        </is>
      </c>
      <c r="E51" t="inlineStr">
        <is>
          <t>ÖVERKALIX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32521-2021</t>
        </is>
      </c>
      <c r="B52" s="1" t="n">
        <v>44374</v>
      </c>
      <c r="C52" s="1" t="n">
        <v>45899</v>
      </c>
      <c r="D52" t="inlineStr">
        <is>
          <t>NORRBOTTENS LÄN</t>
        </is>
      </c>
      <c r="E52" t="inlineStr">
        <is>
          <t>ÖVERKALIX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23073-2021</t>
        </is>
      </c>
      <c r="B53" s="1" t="n">
        <v>44330.35358796296</v>
      </c>
      <c r="C53" s="1" t="n">
        <v>45899</v>
      </c>
      <c r="D53" t="inlineStr">
        <is>
          <t>NORRBOTTENS LÄN</t>
        </is>
      </c>
      <c r="E53" t="inlineStr">
        <is>
          <t>ÖVERKALIX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67584-2020</t>
        </is>
      </c>
      <c r="B54" s="1" t="n">
        <v>44181</v>
      </c>
      <c r="C54" s="1" t="n">
        <v>45899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45899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45899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45899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45899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1481-2021</t>
        </is>
      </c>
      <c r="B59" s="1" t="n">
        <v>44208</v>
      </c>
      <c r="C59" s="1" t="n">
        <v>45899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47629-2021</t>
        </is>
      </c>
      <c r="B60" s="1" t="n">
        <v>44448</v>
      </c>
      <c r="C60" s="1" t="n">
        <v>45899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41691-2021</t>
        </is>
      </c>
      <c r="B61" s="1" t="n">
        <v>44424</v>
      </c>
      <c r="C61" s="1" t="n">
        <v>45899</v>
      </c>
      <c r="D61" t="inlineStr">
        <is>
          <t>NORRBOTTENS LÄN</t>
        </is>
      </c>
      <c r="E61" t="inlineStr">
        <is>
          <t>ÖVERKALIX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52713-2021</t>
        </is>
      </c>
      <c r="B62" s="1" t="n">
        <v>44466.93474537037</v>
      </c>
      <c r="C62" s="1" t="n">
        <v>45899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49843-2022</t>
        </is>
      </c>
      <c r="B63" s="1" t="n">
        <v>44862</v>
      </c>
      <c r="C63" s="1" t="n">
        <v>45899</v>
      </c>
      <c r="D63" t="inlineStr">
        <is>
          <t>NORRBOTTENS LÄN</t>
        </is>
      </c>
      <c r="E63" t="inlineStr">
        <is>
          <t>ÖVERKALIX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15133-2022</t>
        </is>
      </c>
      <c r="B64" s="1" t="n">
        <v>44658</v>
      </c>
      <c r="C64" s="1" t="n">
        <v>45899</v>
      </c>
      <c r="D64" t="inlineStr">
        <is>
          <t>NORRBOTTENS LÄN</t>
        </is>
      </c>
      <c r="E64" t="inlineStr">
        <is>
          <t>ÖVERKALIX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44370-2021</t>
        </is>
      </c>
      <c r="B65" s="1" t="n">
        <v>44435.45611111111</v>
      </c>
      <c r="C65" s="1" t="n">
        <v>45899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33497-2022</t>
        </is>
      </c>
      <c r="B66" s="1" t="n">
        <v>44788.92688657407</v>
      </c>
      <c r="C66" s="1" t="n">
        <v>45899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48501-2022</t>
        </is>
      </c>
      <c r="B67" s="1" t="n">
        <v>44858.92932870371</v>
      </c>
      <c r="C67" s="1" t="n">
        <v>45899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13463-2022</t>
        </is>
      </c>
      <c r="B68" s="1" t="n">
        <v>44645</v>
      </c>
      <c r="C68" s="1" t="n">
        <v>45899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68189-2020</t>
        </is>
      </c>
      <c r="B69" s="1" t="n">
        <v>44182</v>
      </c>
      <c r="C69" s="1" t="n">
        <v>45899</v>
      </c>
      <c r="D69" t="inlineStr">
        <is>
          <t>NORRBOTTENS LÄN</t>
        </is>
      </c>
      <c r="E69" t="inlineStr">
        <is>
          <t>ÖVERKALIX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45899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43661-2020</t>
        </is>
      </c>
      <c r="B71" s="1" t="n">
        <v>44082</v>
      </c>
      <c r="C71" s="1" t="n">
        <v>45899</v>
      </c>
      <c r="D71" t="inlineStr">
        <is>
          <t>NORRBOTTENS LÄN</t>
        </is>
      </c>
      <c r="E71" t="inlineStr">
        <is>
          <t>ÖVERKALIX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7692-2022</t>
        </is>
      </c>
      <c r="B72" s="1" t="n">
        <v>44607</v>
      </c>
      <c r="C72" s="1" t="n">
        <v>45899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45899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15075-2021</t>
        </is>
      </c>
      <c r="B74" s="1" t="n">
        <v>44281</v>
      </c>
      <c r="C74" s="1" t="n">
        <v>45899</v>
      </c>
      <c r="D74" t="inlineStr">
        <is>
          <t>NORRBOTTENS LÄN</t>
        </is>
      </c>
      <c r="E74" t="inlineStr">
        <is>
          <t>ÖVERKALIX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45899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53747-2020</t>
        </is>
      </c>
      <c r="B76" s="1" t="n">
        <v>44124</v>
      </c>
      <c r="C76" s="1" t="n">
        <v>45899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45899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45899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45899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45899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69529-2020</t>
        </is>
      </c>
      <c r="B81" s="1" t="n">
        <v>44194</v>
      </c>
      <c r="C81" s="1" t="n">
        <v>45899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45899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45899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23067-2021</t>
        </is>
      </c>
      <c r="B84" s="1" t="n">
        <v>44329.94148148148</v>
      </c>
      <c r="C84" s="1" t="n">
        <v>45899</v>
      </c>
      <c r="D84" t="inlineStr">
        <is>
          <t>NORRBOTTENS LÄN</t>
        </is>
      </c>
      <c r="E84" t="inlineStr">
        <is>
          <t>ÖVERKALIX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45899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45899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45899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6916-2022</t>
        </is>
      </c>
      <c r="B88" s="1" t="n">
        <v>44602</v>
      </c>
      <c r="C88" s="1" t="n">
        <v>45899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45899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45899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20242-2022</t>
        </is>
      </c>
      <c r="B91" s="1" t="n">
        <v>44698</v>
      </c>
      <c r="C91" s="1" t="n">
        <v>45899</v>
      </c>
      <c r="D91" t="inlineStr">
        <is>
          <t>NORRBOTTENS LÄN</t>
        </is>
      </c>
      <c r="E91" t="inlineStr">
        <is>
          <t>ÖVERKALIX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45899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45899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45899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45899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45899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41706-2021</t>
        </is>
      </c>
      <c r="B97" s="1" t="n">
        <v>44424</v>
      </c>
      <c r="C97" s="1" t="n">
        <v>45899</v>
      </c>
      <c r="D97" t="inlineStr">
        <is>
          <t>NORRBOTTENS LÄN</t>
        </is>
      </c>
      <c r="E97" t="inlineStr">
        <is>
          <t>ÖVERKALIX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45899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45899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45899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45899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45899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45899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45899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45899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45899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45899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8422-2025</t>
        </is>
      </c>
      <c r="B108" s="1" t="n">
        <v>45709.4059837963</v>
      </c>
      <c r="C108" s="1" t="n">
        <v>45899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45899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6591-2023</t>
        </is>
      </c>
      <c r="B110" s="1" t="n">
        <v>44966.50604166667</v>
      </c>
      <c r="C110" s="1" t="n">
        <v>45899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60776-2024</t>
        </is>
      </c>
      <c r="B111" s="1" t="n">
        <v>45644</v>
      </c>
      <c r="C111" s="1" t="n">
        <v>45899</v>
      </c>
      <c r="D111" t="inlineStr">
        <is>
          <t>NORRBOTTENS LÄN</t>
        </is>
      </c>
      <c r="E111" t="inlineStr">
        <is>
          <t>ÖVERKALIX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45899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45899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19985-2025</t>
        </is>
      </c>
      <c r="B114" s="1" t="n">
        <v>45771</v>
      </c>
      <c r="C114" s="1" t="n">
        <v>45899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45899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38941-2024</t>
        </is>
      </c>
      <c r="B116" s="1" t="n">
        <v>45548</v>
      </c>
      <c r="C116" s="1" t="n">
        <v>45899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45899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21302-2024</t>
        </is>
      </c>
      <c r="B118" s="1" t="n">
        <v>45440</v>
      </c>
      <c r="C118" s="1" t="n">
        <v>45899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45899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73216-2021</t>
        </is>
      </c>
      <c r="B120" s="1" t="n">
        <v>44547</v>
      </c>
      <c r="C120" s="1" t="n">
        <v>45899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21053-2025</t>
        </is>
      </c>
      <c r="B121" s="1" t="n">
        <v>45777.5672337963</v>
      </c>
      <c r="C121" s="1" t="n">
        <v>45899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45767-2023</t>
        </is>
      </c>
      <c r="B122" s="1" t="n">
        <v>45189</v>
      </c>
      <c r="C122" s="1" t="n">
        <v>45899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21187-2025</t>
        </is>
      </c>
      <c r="B123" s="1" t="n">
        <v>45779</v>
      </c>
      <c r="C123" s="1" t="n">
        <v>45899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26362-2021</t>
        </is>
      </c>
      <c r="B124" s="1" t="n">
        <v>44347</v>
      </c>
      <c r="C124" s="1" t="n">
        <v>45899</v>
      </c>
      <c r="D124" t="inlineStr">
        <is>
          <t>NORRBOTTENS LÄN</t>
        </is>
      </c>
      <c r="E124" t="inlineStr">
        <is>
          <t>ÖVERKALIX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45899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33761-2024</t>
        </is>
      </c>
      <c r="B126" s="1" t="n">
        <v>45520.56951388889</v>
      </c>
      <c r="C126" s="1" t="n">
        <v>45899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12580-2024</t>
        </is>
      </c>
      <c r="B127" s="1" t="n">
        <v>45379.92288194445</v>
      </c>
      <c r="C127" s="1" t="n">
        <v>45899</v>
      </c>
      <c r="D127" t="inlineStr">
        <is>
          <t>NORRBOTTENS LÄN</t>
        </is>
      </c>
      <c r="E127" t="inlineStr">
        <is>
          <t>ÖVERKALIX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45899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45899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21423-2025</t>
        </is>
      </c>
      <c r="B130" s="1" t="n">
        <v>45782</v>
      </c>
      <c r="C130" s="1" t="n">
        <v>45899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22071-2024</t>
        </is>
      </c>
      <c r="B131" s="1" t="n">
        <v>45443.63476851852</v>
      </c>
      <c r="C131" s="1" t="n">
        <v>45899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45899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46945-2021</t>
        </is>
      </c>
      <c r="B133" s="1" t="n">
        <v>44446</v>
      </c>
      <c r="C133" s="1" t="n">
        <v>45899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21824-2025</t>
        </is>
      </c>
      <c r="B134" s="1" t="n">
        <v>45783</v>
      </c>
      <c r="C134" s="1" t="n">
        <v>45899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21826-2025</t>
        </is>
      </c>
      <c r="B135" s="1" t="n">
        <v>45783</v>
      </c>
      <c r="C135" s="1" t="n">
        <v>45899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45899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21777-2024</t>
        </is>
      </c>
      <c r="B137" s="1" t="n">
        <v>45442</v>
      </c>
      <c r="C137" s="1" t="n">
        <v>45899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35169-2022</t>
        </is>
      </c>
      <c r="B138" s="1" t="n">
        <v>44797.6012962963</v>
      </c>
      <c r="C138" s="1" t="n">
        <v>45899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12591-2024</t>
        </is>
      </c>
      <c r="B139" s="1" t="n">
        <v>45379.93701388889</v>
      </c>
      <c r="C139" s="1" t="n">
        <v>45899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45899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45107.93931712963</v>
      </c>
      <c r="C141" s="1" t="n">
        <v>45899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45899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22108-2025</t>
        </is>
      </c>
      <c r="B143" s="1" t="n">
        <v>45785</v>
      </c>
      <c r="C143" s="1" t="n">
        <v>45899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72809-2021</t>
        </is>
      </c>
      <c r="B144" s="1" t="n">
        <v>44546</v>
      </c>
      <c r="C144" s="1" t="n">
        <v>45899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45899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22318-2025</t>
        </is>
      </c>
      <c r="B146" s="1" t="n">
        <v>45786</v>
      </c>
      <c r="C146" s="1" t="n">
        <v>45899</v>
      </c>
      <c r="D146" t="inlineStr">
        <is>
          <t>NORRBOTTENS LÄN</t>
        </is>
      </c>
      <c r="E146" t="inlineStr">
        <is>
          <t>ÖVERKALIX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26366-2024</t>
        </is>
      </c>
      <c r="B147" s="1" t="n">
        <v>45469.38991898148</v>
      </c>
      <c r="C147" s="1" t="n">
        <v>45899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24290-2024</t>
        </is>
      </c>
      <c r="B148" s="1" t="n">
        <v>45457</v>
      </c>
      <c r="C148" s="1" t="n">
        <v>45899</v>
      </c>
      <c r="D148" t="inlineStr">
        <is>
          <t>NORRBOTTENS LÄN</t>
        </is>
      </c>
      <c r="E148" t="inlineStr">
        <is>
          <t>ÖVERKALIX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72623-2021</t>
        </is>
      </c>
      <c r="B149" s="1" t="n">
        <v>44546</v>
      </c>
      <c r="C149" s="1" t="n">
        <v>45899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25692-2024</t>
        </is>
      </c>
      <c r="B150" s="1" t="n">
        <v>45463.94173611111</v>
      </c>
      <c r="C150" s="1" t="n">
        <v>45899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15854-2024</t>
        </is>
      </c>
      <c r="B151" s="1" t="n">
        <v>45404.96539351852</v>
      </c>
      <c r="C151" s="1" t="n">
        <v>45899</v>
      </c>
      <c r="D151" t="inlineStr">
        <is>
          <t>NORRBOTTENS LÄN</t>
        </is>
      </c>
      <c r="E151" t="inlineStr">
        <is>
          <t>ÖVERKALIX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22710-2025</t>
        </is>
      </c>
      <c r="B152" s="1" t="n">
        <v>45789.55678240741</v>
      </c>
      <c r="C152" s="1" t="n">
        <v>45899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22702-2025</t>
        </is>
      </c>
      <c r="B153" s="1" t="n">
        <v>45789</v>
      </c>
      <c r="C153" s="1" t="n">
        <v>45899</v>
      </c>
      <c r="D153" t="inlineStr">
        <is>
          <t>NORRBOTTENS LÄN</t>
        </is>
      </c>
      <c r="E153" t="inlineStr">
        <is>
          <t>ÖVERKALIX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21299-2024</t>
        </is>
      </c>
      <c r="B154" s="1" t="n">
        <v>45440</v>
      </c>
      <c r="C154" s="1" t="n">
        <v>45899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57966-2023</t>
        </is>
      </c>
      <c r="B155" s="1" t="n">
        <v>45244</v>
      </c>
      <c r="C155" s="1" t="n">
        <v>45899</v>
      </c>
      <c r="D155" t="inlineStr">
        <is>
          <t>NORRBOTTENS LÄN</t>
        </is>
      </c>
      <c r="E155" t="inlineStr">
        <is>
          <t>ÖVERKALIX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24548-2024</t>
        </is>
      </c>
      <c r="B156" s="1" t="n">
        <v>45460</v>
      </c>
      <c r="C156" s="1" t="n">
        <v>45899</v>
      </c>
      <c r="D156" t="inlineStr">
        <is>
          <t>NORRBOTTENS LÄN</t>
        </is>
      </c>
      <c r="E156" t="inlineStr">
        <is>
          <t>ÖVERKALIX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36804-2024</t>
        </is>
      </c>
      <c r="B157" s="1" t="n">
        <v>45538.46046296296</v>
      </c>
      <c r="C157" s="1" t="n">
        <v>45899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36805-2024</t>
        </is>
      </c>
      <c r="B158" s="1" t="n">
        <v>45538.4608912037</v>
      </c>
      <c r="C158" s="1" t="n">
        <v>45899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49923-2024</t>
        </is>
      </c>
      <c r="B159" s="1" t="n">
        <v>45597</v>
      </c>
      <c r="C159" s="1" t="n">
        <v>45899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56076-2021</t>
        </is>
      </c>
      <c r="B160" s="1" t="n">
        <v>44477.53277777778</v>
      </c>
      <c r="C160" s="1" t="n">
        <v>45899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19531-2024</t>
        </is>
      </c>
      <c r="B161" s="1" t="n">
        <v>45429.64373842593</v>
      </c>
      <c r="C161" s="1" t="n">
        <v>45899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14255-2023</t>
        </is>
      </c>
      <c r="B162" s="1" t="n">
        <v>45009</v>
      </c>
      <c r="C162" s="1" t="n">
        <v>45899</v>
      </c>
      <c r="D162" t="inlineStr">
        <is>
          <t>NORRBOTTENS LÄN</t>
        </is>
      </c>
      <c r="E162" t="inlineStr">
        <is>
          <t>ÖVERKALIX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71902-2021</t>
        </is>
      </c>
      <c r="B163" s="1" t="n">
        <v>44539</v>
      </c>
      <c r="C163" s="1" t="n">
        <v>45899</v>
      </c>
      <c r="D163" t="inlineStr">
        <is>
          <t>NORRBOTTENS LÄN</t>
        </is>
      </c>
      <c r="E163" t="inlineStr">
        <is>
          <t>ÖVERKALIX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45899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45899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23861-2025</t>
        </is>
      </c>
      <c r="B166" s="1" t="n">
        <v>45793</v>
      </c>
      <c r="C166" s="1" t="n">
        <v>45899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23870-2025</t>
        </is>
      </c>
      <c r="B167" s="1" t="n">
        <v>45793.67730324074</v>
      </c>
      <c r="C167" s="1" t="n">
        <v>45899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47734-2024</t>
        </is>
      </c>
      <c r="B168" s="1" t="n">
        <v>45588.51136574074</v>
      </c>
      <c r="C168" s="1" t="n">
        <v>45899</v>
      </c>
      <c r="D168" t="inlineStr">
        <is>
          <t>NORRBOTTENS LÄN</t>
        </is>
      </c>
      <c r="E168" t="inlineStr">
        <is>
          <t>ÖVERKALIX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45899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25991-2024</t>
        </is>
      </c>
      <c r="B170" s="1" t="n">
        <v>45467.76189814815</v>
      </c>
      <c r="C170" s="1" t="n">
        <v>45899</v>
      </c>
      <c r="D170" t="inlineStr">
        <is>
          <t>NORRBOTTENS LÄN</t>
        </is>
      </c>
      <c r="E170" t="inlineStr">
        <is>
          <t>ÖVERKALIX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45899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37429-2024</t>
        </is>
      </c>
      <c r="B172" s="1" t="n">
        <v>45540</v>
      </c>
      <c r="C172" s="1" t="n">
        <v>45899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22470-2023</t>
        </is>
      </c>
      <c r="B173" s="1" t="n">
        <v>45070</v>
      </c>
      <c r="C173" s="1" t="n">
        <v>45899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34911-2023</t>
        </is>
      </c>
      <c r="B174" s="1" t="n">
        <v>45141</v>
      </c>
      <c r="C174" s="1" t="n">
        <v>45899</v>
      </c>
      <c r="D174" t="inlineStr">
        <is>
          <t>NORRBOTTENS LÄN</t>
        </is>
      </c>
      <c r="E174" t="inlineStr">
        <is>
          <t>ÖVERKALIX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23863-2025</t>
        </is>
      </c>
      <c r="B175" s="1" t="n">
        <v>45793.66555555556</v>
      </c>
      <c r="C175" s="1" t="n">
        <v>45899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5723-2024</t>
        </is>
      </c>
      <c r="B176" s="1" t="n">
        <v>45334</v>
      </c>
      <c r="C176" s="1" t="n">
        <v>45899</v>
      </c>
      <c r="D176" t="inlineStr">
        <is>
          <t>NORRBOTTENS LÄN</t>
        </is>
      </c>
      <c r="E176" t="inlineStr">
        <is>
          <t>ÖVERKALIX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1867-2023</t>
        </is>
      </c>
      <c r="B177" s="1" t="n">
        <v>44938.93743055555</v>
      </c>
      <c r="C177" s="1" t="n">
        <v>45899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15491-2025</t>
        </is>
      </c>
      <c r="B178" s="1" t="n">
        <v>45747</v>
      </c>
      <c r="C178" s="1" t="n">
        <v>45899</v>
      </c>
      <c r="D178" t="inlineStr">
        <is>
          <t>NORRBOTTENS LÄN</t>
        </is>
      </c>
      <c r="E178" t="inlineStr">
        <is>
          <t>ÖVERKALIX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24141-2025</t>
        </is>
      </c>
      <c r="B179" s="1" t="n">
        <v>45796.64229166666</v>
      </c>
      <c r="C179" s="1" t="n">
        <v>45899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23866-2025</t>
        </is>
      </c>
      <c r="B180" s="1" t="n">
        <v>45793</v>
      </c>
      <c r="C180" s="1" t="n">
        <v>45899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19259-2024</t>
        </is>
      </c>
      <c r="B181" s="1" t="n">
        <v>45428</v>
      </c>
      <c r="C181" s="1" t="n">
        <v>45899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24136-2025</t>
        </is>
      </c>
      <c r="B182" s="1" t="n">
        <v>45796</v>
      </c>
      <c r="C182" s="1" t="n">
        <v>45899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33.5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23858-2025</t>
        </is>
      </c>
      <c r="B183" s="1" t="n">
        <v>45793.65986111111</v>
      </c>
      <c r="C183" s="1" t="n">
        <v>45899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23867-2025</t>
        </is>
      </c>
      <c r="B184" s="1" t="n">
        <v>45793</v>
      </c>
      <c r="C184" s="1" t="n">
        <v>45899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23873-2025</t>
        </is>
      </c>
      <c r="B185" s="1" t="n">
        <v>45793.67989583333</v>
      </c>
      <c r="C185" s="1" t="n">
        <v>45899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72364-2021</t>
        </is>
      </c>
      <c r="B186" s="1" t="n">
        <v>44543</v>
      </c>
      <c r="C186" s="1" t="n">
        <v>45899</v>
      </c>
      <c r="D186" t="inlineStr">
        <is>
          <t>NORRBOTTENS LÄN</t>
        </is>
      </c>
      <c r="E186" t="inlineStr">
        <is>
          <t>ÖVERKALIX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5653-2022</t>
        </is>
      </c>
      <c r="B187" s="1" t="n">
        <v>44595</v>
      </c>
      <c r="C187" s="1" t="n">
        <v>45899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60774-2024</t>
        </is>
      </c>
      <c r="B188" s="1" t="n">
        <v>45644</v>
      </c>
      <c r="C188" s="1" t="n">
        <v>45899</v>
      </c>
      <c r="D188" t="inlineStr">
        <is>
          <t>NORRBOTTENS LÄN</t>
        </is>
      </c>
      <c r="E188" t="inlineStr">
        <is>
          <t>ÖVERKALIX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60418-2024</t>
        </is>
      </c>
      <c r="B189" s="1" t="n">
        <v>45643</v>
      </c>
      <c r="C189" s="1" t="n">
        <v>45899</v>
      </c>
      <c r="D189" t="inlineStr">
        <is>
          <t>NORRBOTTENS LÄN</t>
        </is>
      </c>
      <c r="E189" t="inlineStr">
        <is>
          <t>ÖVERKALIX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32061-2024</t>
        </is>
      </c>
      <c r="B190" s="1" t="n">
        <v>45510</v>
      </c>
      <c r="C190" s="1" t="n">
        <v>45899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21559-2023</t>
        </is>
      </c>
      <c r="B191" s="1" t="n">
        <v>45063.57871527778</v>
      </c>
      <c r="C191" s="1" t="n">
        <v>45899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60772-2024</t>
        </is>
      </c>
      <c r="B192" s="1" t="n">
        <v>45644</v>
      </c>
      <c r="C192" s="1" t="n">
        <v>45899</v>
      </c>
      <c r="D192" t="inlineStr">
        <is>
          <t>NORRBOTTENS LÄN</t>
        </is>
      </c>
      <c r="E192" t="inlineStr">
        <is>
          <t>ÖVERKALIX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12177-2024</t>
        </is>
      </c>
      <c r="B193" s="1" t="n">
        <v>45377</v>
      </c>
      <c r="C193" s="1" t="n">
        <v>45899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45899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45899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38154-2024</t>
        </is>
      </c>
      <c r="B196" s="1" t="n">
        <v>45545</v>
      </c>
      <c r="C196" s="1" t="n">
        <v>45899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57870-2022</t>
        </is>
      </c>
      <c r="B197" s="1" t="n">
        <v>44899</v>
      </c>
      <c r="C197" s="1" t="n">
        <v>45899</v>
      </c>
      <c r="D197" t="inlineStr">
        <is>
          <t>NORRBOTTENS LÄN</t>
        </is>
      </c>
      <c r="E197" t="inlineStr">
        <is>
          <t>ÖVERKALIX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4114-2024</t>
        </is>
      </c>
      <c r="B198" s="1" t="n">
        <v>45323</v>
      </c>
      <c r="C198" s="1" t="n">
        <v>45899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25629-2025</t>
        </is>
      </c>
      <c r="B199" s="1" t="n">
        <v>45803</v>
      </c>
      <c r="C199" s="1" t="n">
        <v>45899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25670-2025</t>
        </is>
      </c>
      <c r="B200" s="1" t="n">
        <v>45803.62844907407</v>
      </c>
      <c r="C200" s="1" t="n">
        <v>45899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20580-2024</t>
        </is>
      </c>
      <c r="B201" s="1" t="n">
        <v>45436.40979166667</v>
      </c>
      <c r="C201" s="1" t="n">
        <v>45899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24549-2024</t>
        </is>
      </c>
      <c r="B202" s="1" t="n">
        <v>45460.40491898148</v>
      </c>
      <c r="C202" s="1" t="n">
        <v>45899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7039-2022</t>
        </is>
      </c>
      <c r="B203" s="1" t="n">
        <v>44603</v>
      </c>
      <c r="C203" s="1" t="n">
        <v>45899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Övriga statliga verk och myndigheter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37085-2024</t>
        </is>
      </c>
      <c r="B204" s="1" t="n">
        <v>45539</v>
      </c>
      <c r="C204" s="1" t="n">
        <v>45899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26450-2025</t>
        </is>
      </c>
      <c r="B205" s="1" t="n">
        <v>45807</v>
      </c>
      <c r="C205" s="1" t="n">
        <v>45899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26666-2025</t>
        </is>
      </c>
      <c r="B206" s="1" t="n">
        <v>45810</v>
      </c>
      <c r="C206" s="1" t="n">
        <v>45899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3701-2024</t>
        </is>
      </c>
      <c r="B207" s="1" t="n">
        <v>45321</v>
      </c>
      <c r="C207" s="1" t="n">
        <v>45899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26442-2025</t>
        </is>
      </c>
      <c r="B208" s="1" t="n">
        <v>45807.41231481481</v>
      </c>
      <c r="C208" s="1" t="n">
        <v>45899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26444-2025</t>
        </is>
      </c>
      <c r="B209" s="1" t="n">
        <v>45807.41303240741</v>
      </c>
      <c r="C209" s="1" t="n">
        <v>45899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26445-2025</t>
        </is>
      </c>
      <c r="B210" s="1" t="n">
        <v>45807.41424768518</v>
      </c>
      <c r="C210" s="1" t="n">
        <v>45899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26449-2025</t>
        </is>
      </c>
      <c r="B211" s="1" t="n">
        <v>45807.41793981481</v>
      </c>
      <c r="C211" s="1" t="n">
        <v>45899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26452-2025</t>
        </is>
      </c>
      <c r="B212" s="1" t="n">
        <v>45807</v>
      </c>
      <c r="C212" s="1" t="n">
        <v>45899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26441-2025</t>
        </is>
      </c>
      <c r="B213" s="1" t="n">
        <v>45807.41030092593</v>
      </c>
      <c r="C213" s="1" t="n">
        <v>45899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26535-2025</t>
        </is>
      </c>
      <c r="B214" s="1" t="n">
        <v>45807.57351851852</v>
      </c>
      <c r="C214" s="1" t="n">
        <v>45899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37.4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2723-2025</t>
        </is>
      </c>
      <c r="B215" s="1" t="n">
        <v>45677</v>
      </c>
      <c r="C215" s="1" t="n">
        <v>45899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2725-2025</t>
        </is>
      </c>
      <c r="B216" s="1" t="n">
        <v>45677.43979166666</v>
      </c>
      <c r="C216" s="1" t="n">
        <v>45899</v>
      </c>
      <c r="D216" t="inlineStr">
        <is>
          <t>NORRBOTTENS LÄN</t>
        </is>
      </c>
      <c r="E216" t="inlineStr">
        <is>
          <t>ÖVERKALIX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44306-2021</t>
        </is>
      </c>
      <c r="B217" s="1" t="n">
        <v>44435</v>
      </c>
      <c r="C217" s="1" t="n">
        <v>45899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45899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33301-2024</t>
        </is>
      </c>
      <c r="B219" s="1" t="n">
        <v>45518.96950231482</v>
      </c>
      <c r="C219" s="1" t="n">
        <v>45899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33315-2024</t>
        </is>
      </c>
      <c r="B220" s="1" t="n">
        <v>45518.97159722223</v>
      </c>
      <c r="C220" s="1" t="n">
        <v>45899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41291-2024</t>
        </is>
      </c>
      <c r="B221" s="1" t="n">
        <v>45559</v>
      </c>
      <c r="C221" s="1" t="n">
        <v>45899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27336-2025</t>
        </is>
      </c>
      <c r="B222" s="1" t="n">
        <v>45812.61493055556</v>
      </c>
      <c r="C222" s="1" t="n">
        <v>45899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45899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45899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42843-2024</t>
        </is>
      </c>
      <c r="B225" s="1" t="n">
        <v>45566</v>
      </c>
      <c r="C225" s="1" t="n">
        <v>45899</v>
      </c>
      <c r="D225" t="inlineStr">
        <is>
          <t>NORRBOTTENS LÄN</t>
        </is>
      </c>
      <c r="E225" t="inlineStr">
        <is>
          <t>ÖVERKALIX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26944-2025</t>
        </is>
      </c>
      <c r="B226" s="1" t="n">
        <v>45811.42734953704</v>
      </c>
      <c r="C226" s="1" t="n">
        <v>45899</v>
      </c>
      <c r="D226" t="inlineStr">
        <is>
          <t>NORRBOTTENS LÄN</t>
        </is>
      </c>
      <c r="E226" t="inlineStr">
        <is>
          <t>ÖVERKALIX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27454-2025</t>
        </is>
      </c>
      <c r="B227" s="1" t="n">
        <v>45813.34469907408</v>
      </c>
      <c r="C227" s="1" t="n">
        <v>45899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44554-2023</t>
        </is>
      </c>
      <c r="B228" s="1" t="n">
        <v>45189.5340162037</v>
      </c>
      <c r="C228" s="1" t="n">
        <v>45899</v>
      </c>
      <c r="D228" t="inlineStr">
        <is>
          <t>NORRBOTTENS LÄN</t>
        </is>
      </c>
      <c r="E228" t="inlineStr">
        <is>
          <t>ÖVERKALIX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40619-2022</t>
        </is>
      </c>
      <c r="B229" s="1" t="n">
        <v>44823</v>
      </c>
      <c r="C229" s="1" t="n">
        <v>45899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27613-2025</t>
        </is>
      </c>
      <c r="B230" s="1" t="n">
        <v>45813.54103009259</v>
      </c>
      <c r="C230" s="1" t="n">
        <v>45899</v>
      </c>
      <c r="D230" t="inlineStr">
        <is>
          <t>NORRBOTTENS LÄN</t>
        </is>
      </c>
      <c r="E230" t="inlineStr">
        <is>
          <t>ÖVERKALIX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27452-2025</t>
        </is>
      </c>
      <c r="B231" s="1" t="n">
        <v>45813.34443287037</v>
      </c>
      <c r="C231" s="1" t="n">
        <v>45899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27451-2025</t>
        </is>
      </c>
      <c r="B232" s="1" t="n">
        <v>45813.34421296296</v>
      </c>
      <c r="C232" s="1" t="n">
        <v>45899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27456-2025</t>
        </is>
      </c>
      <c r="B233" s="1" t="n">
        <v>45813.3452662037</v>
      </c>
      <c r="C233" s="1" t="n">
        <v>45899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27457-2025</t>
        </is>
      </c>
      <c r="B234" s="1" t="n">
        <v>45813.34533564815</v>
      </c>
      <c r="C234" s="1" t="n">
        <v>45899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27455-2025</t>
        </is>
      </c>
      <c r="B235" s="1" t="n">
        <v>45813.34486111111</v>
      </c>
      <c r="C235" s="1" t="n">
        <v>45899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32615-2024</t>
        </is>
      </c>
      <c r="B236" s="1" t="n">
        <v>45513</v>
      </c>
      <c r="C236" s="1" t="n">
        <v>45899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27681-2023</t>
        </is>
      </c>
      <c r="B237" s="1" t="n">
        <v>45097</v>
      </c>
      <c r="C237" s="1" t="n">
        <v>45899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27458-2025</t>
        </is>
      </c>
      <c r="B238" s="1" t="n">
        <v>45813.34540509259</v>
      </c>
      <c r="C238" s="1" t="n">
        <v>45899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27461-2025</t>
        </is>
      </c>
      <c r="B239" s="1" t="n">
        <v>45813</v>
      </c>
      <c r="C239" s="1" t="n">
        <v>45899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28208-2025</t>
        </is>
      </c>
      <c r="B240" s="1" t="n">
        <v>45818.4499074074</v>
      </c>
      <c r="C240" s="1" t="n">
        <v>45899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35620-2025</t>
        </is>
      </c>
      <c r="B241" s="1" t="n">
        <v>45859.41423611111</v>
      </c>
      <c r="C241" s="1" t="n">
        <v>45899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28343-2025</t>
        </is>
      </c>
      <c r="B242" s="1" t="n">
        <v>45818</v>
      </c>
      <c r="C242" s="1" t="n">
        <v>45899</v>
      </c>
      <c r="D242" t="inlineStr">
        <is>
          <t>NORRBOTTENS LÄN</t>
        </is>
      </c>
      <c r="E242" t="inlineStr">
        <is>
          <t>ÖVERKALIX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27949-2025</t>
        </is>
      </c>
      <c r="B243" s="1" t="n">
        <v>45817.52672453703</v>
      </c>
      <c r="C243" s="1" t="n">
        <v>45899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28372-2025</t>
        </is>
      </c>
      <c r="B244" s="1" t="n">
        <v>45818</v>
      </c>
      <c r="C244" s="1" t="n">
        <v>45899</v>
      </c>
      <c r="D244" t="inlineStr">
        <is>
          <t>NORRBOTTENS LÄN</t>
        </is>
      </c>
      <c r="E244" t="inlineStr">
        <is>
          <t>ÖVERKALIX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28202-2025</t>
        </is>
      </c>
      <c r="B245" s="1" t="n">
        <v>45818.44586805555</v>
      </c>
      <c r="C245" s="1" t="n">
        <v>45899</v>
      </c>
      <c r="D245" t="inlineStr">
        <is>
          <t>NORRBOTTENS LÄN</t>
        </is>
      </c>
      <c r="E245" t="inlineStr">
        <is>
          <t>ÖVERKALIX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28926-2025</t>
        </is>
      </c>
      <c r="B246" s="1" t="n">
        <v>45820.67159722222</v>
      </c>
      <c r="C246" s="1" t="n">
        <v>45899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28402-2025</t>
        </is>
      </c>
      <c r="B247" s="1" t="n">
        <v>45819.34493055556</v>
      </c>
      <c r="C247" s="1" t="n">
        <v>45899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45748-2023</t>
        </is>
      </c>
      <c r="B248" s="1" t="n">
        <v>45189</v>
      </c>
      <c r="C248" s="1" t="n">
        <v>45899</v>
      </c>
      <c r="D248" t="inlineStr">
        <is>
          <t>NORRBOTTENS LÄN</t>
        </is>
      </c>
      <c r="E248" t="inlineStr">
        <is>
          <t>ÖVERKALIX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28893-2025</t>
        </is>
      </c>
      <c r="B249" s="1" t="n">
        <v>45820.63310185185</v>
      </c>
      <c r="C249" s="1" t="n">
        <v>45899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28912-2025</t>
        </is>
      </c>
      <c r="B250" s="1" t="n">
        <v>45820.65793981482</v>
      </c>
      <c r="C250" s="1" t="n">
        <v>45899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28917-2025</t>
        </is>
      </c>
      <c r="B251" s="1" t="n">
        <v>45820.66358796296</v>
      </c>
      <c r="C251" s="1" t="n">
        <v>45899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7448-2023</t>
        </is>
      </c>
      <c r="B252" s="1" t="n">
        <v>44966</v>
      </c>
      <c r="C252" s="1" t="n">
        <v>45899</v>
      </c>
      <c r="D252" t="inlineStr">
        <is>
          <t>NORRBOTTENS LÄN</t>
        </is>
      </c>
      <c r="E252" t="inlineStr">
        <is>
          <t>ÖVERKALIX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28400-2025</t>
        </is>
      </c>
      <c r="B253" s="1" t="n">
        <v>45819.34449074074</v>
      </c>
      <c r="C253" s="1" t="n">
        <v>45899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28935-2025</t>
        </is>
      </c>
      <c r="B254" s="1" t="n">
        <v>45820.69231481481</v>
      </c>
      <c r="C254" s="1" t="n">
        <v>45899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29150-2025</t>
        </is>
      </c>
      <c r="B255" s="1" t="n">
        <v>45821</v>
      </c>
      <c r="C255" s="1" t="n">
        <v>45899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29464-2025</t>
        </is>
      </c>
      <c r="B256" s="1" t="n">
        <v>45824.69837962963</v>
      </c>
      <c r="C256" s="1" t="n">
        <v>45899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29147-2025</t>
        </is>
      </c>
      <c r="B257" s="1" t="n">
        <v>45821.62474537037</v>
      </c>
      <c r="C257" s="1" t="n">
        <v>45899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45899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29212-2025</t>
        </is>
      </c>
      <c r="B259" s="1" t="n">
        <v>45824.28274305556</v>
      </c>
      <c r="C259" s="1" t="n">
        <v>45899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29463-2025</t>
        </is>
      </c>
      <c r="B260" s="1" t="n">
        <v>45824.69834490741</v>
      </c>
      <c r="C260" s="1" t="n">
        <v>45899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45899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30099-2025</t>
        </is>
      </c>
      <c r="B262" s="1" t="n">
        <v>45826.67755787037</v>
      </c>
      <c r="C262" s="1" t="n">
        <v>45899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45899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30038-2025</t>
        </is>
      </c>
      <c r="B264" s="1" t="n">
        <v>45826.57212962963</v>
      </c>
      <c r="C264" s="1" t="n">
        <v>45899</v>
      </c>
      <c r="D264" t="inlineStr">
        <is>
          <t>NORRBOTTENS LÄN</t>
        </is>
      </c>
      <c r="E264" t="inlineStr">
        <is>
          <t>ÖVERKALIX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30086-2025</t>
        </is>
      </c>
      <c r="B265" s="1" t="n">
        <v>45826.65725694445</v>
      </c>
      <c r="C265" s="1" t="n">
        <v>45899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55838-2024</t>
        </is>
      </c>
      <c r="B266" s="1" t="n">
        <v>45622</v>
      </c>
      <c r="C266" s="1" t="n">
        <v>45899</v>
      </c>
      <c r="D266" t="inlineStr">
        <is>
          <t>NORRBOTTENS LÄN</t>
        </is>
      </c>
      <c r="E266" t="inlineStr">
        <is>
          <t>ÖVERKALIX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29532-2025</t>
        </is>
      </c>
      <c r="B267" s="1" t="n">
        <v>45825.34456018519</v>
      </c>
      <c r="C267" s="1" t="n">
        <v>45899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55857-2024</t>
        </is>
      </c>
      <c r="B268" s="1" t="n">
        <v>45622</v>
      </c>
      <c r="C268" s="1" t="n">
        <v>45899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11329-2024</t>
        </is>
      </c>
      <c r="B269" s="1" t="n">
        <v>45371.97140046296</v>
      </c>
      <c r="C269" s="1" t="n">
        <v>45899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9458-2025</t>
        </is>
      </c>
      <c r="B270" s="1" t="n">
        <v>45715</v>
      </c>
      <c r="C270" s="1" t="n">
        <v>45899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47735-2024</t>
        </is>
      </c>
      <c r="B271" s="1" t="n">
        <v>45588.51137731481</v>
      </c>
      <c r="C271" s="1" t="n">
        <v>45899</v>
      </c>
      <c r="D271" t="inlineStr">
        <is>
          <t>NORRBOTTENS LÄN</t>
        </is>
      </c>
      <c r="E271" t="inlineStr">
        <is>
          <t>ÖVERKALIX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55227-2024</t>
        </is>
      </c>
      <c r="B272" s="1" t="n">
        <v>45621</v>
      </c>
      <c r="C272" s="1" t="n">
        <v>45899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5209-2025</t>
        </is>
      </c>
      <c r="B273" s="1" t="n">
        <v>45691.67776620371</v>
      </c>
      <c r="C273" s="1" t="n">
        <v>45899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41830-2024</t>
        </is>
      </c>
      <c r="B274" s="1" t="n">
        <v>45561</v>
      </c>
      <c r="C274" s="1" t="n">
        <v>45899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8417-2025</t>
        </is>
      </c>
      <c r="B275" s="1" t="n">
        <v>45709.39804398148</v>
      </c>
      <c r="C275" s="1" t="n">
        <v>45899</v>
      </c>
      <c r="D275" t="inlineStr">
        <is>
          <t>NORRBOTTENS LÄN</t>
        </is>
      </c>
      <c r="E275" t="inlineStr">
        <is>
          <t>ÖVERKALIX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30257-2025</t>
        </is>
      </c>
      <c r="B276" s="1" t="n">
        <v>45827.42748842593</v>
      </c>
      <c r="C276" s="1" t="n">
        <v>45899</v>
      </c>
      <c r="D276" t="inlineStr">
        <is>
          <t>NORRBOTTENS LÄN</t>
        </is>
      </c>
      <c r="E276" t="inlineStr">
        <is>
          <t>ÖVERKALIX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38940-2024</t>
        </is>
      </c>
      <c r="B277" s="1" t="n">
        <v>45548</v>
      </c>
      <c r="C277" s="1" t="n">
        <v>45899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45899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45899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30776-2025</t>
        </is>
      </c>
      <c r="B280" s="1" t="n">
        <v>45831.61511574074</v>
      </c>
      <c r="C280" s="1" t="n">
        <v>45899</v>
      </c>
      <c r="D280" t="inlineStr">
        <is>
          <t>NORRBOTTENS LÄN</t>
        </is>
      </c>
      <c r="E280" t="inlineStr">
        <is>
          <t>ÖVERKALIX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30985-2025</t>
        </is>
      </c>
      <c r="B281" s="1" t="n">
        <v>45831</v>
      </c>
      <c r="C281" s="1" t="n">
        <v>45899</v>
      </c>
      <c r="D281" t="inlineStr">
        <is>
          <t>NORRBOTTENS LÄN</t>
        </is>
      </c>
      <c r="E281" t="inlineStr">
        <is>
          <t>ÖVERKALIX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22977-2022</t>
        </is>
      </c>
      <c r="B282" s="1" t="n">
        <v>44717</v>
      </c>
      <c r="C282" s="1" t="n">
        <v>45899</v>
      </c>
      <c r="D282" t="inlineStr">
        <is>
          <t>NORRBOTTENS LÄN</t>
        </is>
      </c>
      <c r="E282" t="inlineStr">
        <is>
          <t>ÖVERKALIX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5570-2025</t>
        </is>
      </c>
      <c r="B283" s="1" t="n">
        <v>45693.51109953703</v>
      </c>
      <c r="C283" s="1" t="n">
        <v>45899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31009-2025</t>
        </is>
      </c>
      <c r="B284" s="1" t="n">
        <v>45831</v>
      </c>
      <c r="C284" s="1" t="n">
        <v>45899</v>
      </c>
      <c r="D284" t="inlineStr">
        <is>
          <t>NORRBOTTENS LÄN</t>
        </is>
      </c>
      <c r="E284" t="inlineStr">
        <is>
          <t>ÖVERKALIX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62384-2023</t>
        </is>
      </c>
      <c r="B285" s="1" t="n">
        <v>45266</v>
      </c>
      <c r="C285" s="1" t="n">
        <v>45899</v>
      </c>
      <c r="D285" t="inlineStr">
        <is>
          <t>NORRBOTTENS LÄN</t>
        </is>
      </c>
      <c r="E285" t="inlineStr">
        <is>
          <t>ÖVERKALIX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30980-2025</t>
        </is>
      </c>
      <c r="B286" s="1" t="n">
        <v>45831</v>
      </c>
      <c r="C286" s="1" t="n">
        <v>45899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30987-2025</t>
        </is>
      </c>
      <c r="B287" s="1" t="n">
        <v>45831</v>
      </c>
      <c r="C287" s="1" t="n">
        <v>45899</v>
      </c>
      <c r="D287" t="inlineStr">
        <is>
          <t>NORRBOTTENS LÄN</t>
        </is>
      </c>
      <c r="E287" t="inlineStr">
        <is>
          <t>ÖVERKALIX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19529-2024</t>
        </is>
      </c>
      <c r="B288" s="1" t="n">
        <v>45429.64071759259</v>
      </c>
      <c r="C288" s="1" t="n">
        <v>45899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36486-2025</t>
        </is>
      </c>
      <c r="B289" s="1" t="n">
        <v>45869.5119212963</v>
      </c>
      <c r="C289" s="1" t="n">
        <v>45899</v>
      </c>
      <c r="D289" t="inlineStr">
        <is>
          <t>NORRBOTTENS LÄN</t>
        </is>
      </c>
      <c r="E289" t="inlineStr">
        <is>
          <t>ÖVERKALIX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15546-2024</t>
        </is>
      </c>
      <c r="B290" s="1" t="n">
        <v>45401.62734953704</v>
      </c>
      <c r="C290" s="1" t="n">
        <v>45899</v>
      </c>
      <c r="D290" t="inlineStr">
        <is>
          <t>NORRBOTTENS LÄN</t>
        </is>
      </c>
      <c r="E290" t="inlineStr">
        <is>
          <t>ÖVERKALIX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45899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31645-2025</t>
        </is>
      </c>
      <c r="B292" s="1" t="n">
        <v>45834.34546296296</v>
      </c>
      <c r="C292" s="1" t="n">
        <v>45899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31751-2025</t>
        </is>
      </c>
      <c r="B293" s="1" t="n">
        <v>45834</v>
      </c>
      <c r="C293" s="1" t="n">
        <v>45899</v>
      </c>
      <c r="D293" t="inlineStr">
        <is>
          <t>NORRBOTTENS LÄN</t>
        </is>
      </c>
      <c r="E293" t="inlineStr">
        <is>
          <t>ÖVERKALIX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31640-2025</t>
        </is>
      </c>
      <c r="B294" s="1" t="n">
        <v>45834.34450231482</v>
      </c>
      <c r="C294" s="1" t="n">
        <v>45899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7231-2025</t>
        </is>
      </c>
      <c r="B295" s="1" t="n">
        <v>45702</v>
      </c>
      <c r="C295" s="1" t="n">
        <v>45899</v>
      </c>
      <c r="D295" t="inlineStr">
        <is>
          <t>NORRBOTTENS LÄN</t>
        </is>
      </c>
      <c r="E295" t="inlineStr">
        <is>
          <t>ÖVERKALIX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50691-2024</t>
        </is>
      </c>
      <c r="B296" s="1" t="n">
        <v>45602</v>
      </c>
      <c r="C296" s="1" t="n">
        <v>45899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29960-2023</t>
        </is>
      </c>
      <c r="B297" s="1" t="n">
        <v>45107.93924768519</v>
      </c>
      <c r="C297" s="1" t="n">
        <v>45899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58764-2023</t>
        </is>
      </c>
      <c r="B298" s="1" t="n">
        <v>45251</v>
      </c>
      <c r="C298" s="1" t="n">
        <v>45899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25506-2024</t>
        </is>
      </c>
      <c r="B299" s="1" t="n">
        <v>45463</v>
      </c>
      <c r="C299" s="1" t="n">
        <v>45899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5526-2025</t>
        </is>
      </c>
      <c r="B300" s="1" t="n">
        <v>45693.42834490741</v>
      </c>
      <c r="C300" s="1" t="n">
        <v>45899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42721-2023</t>
        </is>
      </c>
      <c r="B301" s="1" t="n">
        <v>45181</v>
      </c>
      <c r="C301" s="1" t="n">
        <v>45899</v>
      </c>
      <c r="D301" t="inlineStr">
        <is>
          <t>NORRBOTTENS LÄN</t>
        </is>
      </c>
      <c r="E301" t="inlineStr">
        <is>
          <t>ÖVERKALIX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31744-2025</t>
        </is>
      </c>
      <c r="B302" s="1" t="n">
        <v>45834</v>
      </c>
      <c r="C302" s="1" t="n">
        <v>45899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32634-2025</t>
        </is>
      </c>
      <c r="B303" s="1" t="n">
        <v>45838.65694444445</v>
      </c>
      <c r="C303" s="1" t="n">
        <v>45899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32636-2025</t>
        </is>
      </c>
      <c r="B304" s="1" t="n">
        <v>45838.65704861111</v>
      </c>
      <c r="C304" s="1" t="n">
        <v>45899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32067-2025</t>
        </is>
      </c>
      <c r="B305" s="1" t="n">
        <v>45835.44841435185</v>
      </c>
      <c r="C305" s="1" t="n">
        <v>45899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32173-2025</t>
        </is>
      </c>
      <c r="B306" s="1" t="n">
        <v>45835.55337962963</v>
      </c>
      <c r="C306" s="1" t="n">
        <v>45899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62561-2023</t>
        </is>
      </c>
      <c r="B307" s="1" t="n">
        <v>45268</v>
      </c>
      <c r="C307" s="1" t="n">
        <v>45899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45899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36715-2025</t>
        </is>
      </c>
      <c r="B309" s="1" t="n">
        <v>45873</v>
      </c>
      <c r="C309" s="1" t="n">
        <v>45899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36621-2025</t>
        </is>
      </c>
      <c r="B310" s="1" t="n">
        <v>45870.65696759259</v>
      </c>
      <c r="C310" s="1" t="n">
        <v>45899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23324-2023</t>
        </is>
      </c>
      <c r="B311" s="1" t="n">
        <v>45076</v>
      </c>
      <c r="C311" s="1" t="n">
        <v>45899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Övriga statliga verk och myndigheter</t>
        </is>
      </c>
      <c r="G311" t="n">
        <v>38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32175-2025</t>
        </is>
      </c>
      <c r="B312" s="1" t="n">
        <v>45835.55673611111</v>
      </c>
      <c r="C312" s="1" t="n">
        <v>45899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15153-2025</t>
        </is>
      </c>
      <c r="B313" s="1" t="n">
        <v>45744.4612037037</v>
      </c>
      <c r="C313" s="1" t="n">
        <v>45899</v>
      </c>
      <c r="D313" t="inlineStr">
        <is>
          <t>NORRBOTTENS LÄN</t>
        </is>
      </c>
      <c r="E313" t="inlineStr">
        <is>
          <t>ÖVERKALIX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32371-2025</t>
        </is>
      </c>
      <c r="B314" s="1" t="n">
        <v>45837.68739583333</v>
      </c>
      <c r="C314" s="1" t="n">
        <v>45899</v>
      </c>
      <c r="D314" t="inlineStr">
        <is>
          <t>NORRBOTTENS LÄN</t>
        </is>
      </c>
      <c r="E314" t="inlineStr">
        <is>
          <t>ÖVERKALIX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32535-2025</t>
        </is>
      </c>
      <c r="B315" s="1" t="n">
        <v>45838.49375</v>
      </c>
      <c r="C315" s="1" t="n">
        <v>45899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55329-2024</t>
        </is>
      </c>
      <c r="B316" s="1" t="n">
        <v>45621.67932870371</v>
      </c>
      <c r="C316" s="1" t="n">
        <v>45899</v>
      </c>
      <c r="D316" t="inlineStr">
        <is>
          <t>NORRBOTTENS LÄN</t>
        </is>
      </c>
      <c r="E316" t="inlineStr">
        <is>
          <t>ÖVERKALIX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31961-2025</t>
        </is>
      </c>
      <c r="B317" s="1" t="n">
        <v>45835.34453703704</v>
      </c>
      <c r="C317" s="1" t="n">
        <v>45899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45899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45899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32377-2025</t>
        </is>
      </c>
      <c r="B320" s="1" t="n">
        <v>45837.7256712963</v>
      </c>
      <c r="C320" s="1" t="n">
        <v>45899</v>
      </c>
      <c r="D320" t="inlineStr">
        <is>
          <t>NORRBOTTENS LÄN</t>
        </is>
      </c>
      <c r="E320" t="inlineStr">
        <is>
          <t>ÖVERKALIX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24738-2024</t>
        </is>
      </c>
      <c r="B321" s="1" t="n">
        <v>45460</v>
      </c>
      <c r="C321" s="1" t="n">
        <v>45899</v>
      </c>
      <c r="D321" t="inlineStr">
        <is>
          <t>NORRBOTTENS LÄN</t>
        </is>
      </c>
      <c r="E321" t="inlineStr">
        <is>
          <t>ÖVERKALIX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26140-2023</t>
        </is>
      </c>
      <c r="B322" s="1" t="n">
        <v>45086</v>
      </c>
      <c r="C322" s="1" t="n">
        <v>45899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32715-2025</t>
        </is>
      </c>
      <c r="B323" s="1" t="n">
        <v>45839.37099537037</v>
      </c>
      <c r="C323" s="1" t="n">
        <v>45899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32708-2025</t>
        </is>
      </c>
      <c r="B324" s="1" t="n">
        <v>45839.36539351852</v>
      </c>
      <c r="C324" s="1" t="n">
        <v>45899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52984-2024</t>
        </is>
      </c>
      <c r="B325" s="1" t="n">
        <v>45611</v>
      </c>
      <c r="C325" s="1" t="n">
        <v>45899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32892-2025</t>
        </is>
      </c>
      <c r="B326" s="1" t="n">
        <v>45839.60887731481</v>
      </c>
      <c r="C326" s="1" t="n">
        <v>45899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55853-2024</t>
        </is>
      </c>
      <c r="B327" s="1" t="n">
        <v>45622</v>
      </c>
      <c r="C327" s="1" t="n">
        <v>45899</v>
      </c>
      <c r="D327" t="inlineStr">
        <is>
          <t>NORRBOTTENS LÄN</t>
        </is>
      </c>
      <c r="E327" t="inlineStr">
        <is>
          <t>ÖVERKALIX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51525-2024</t>
        </is>
      </c>
      <c r="B328" s="1" t="n">
        <v>45604</v>
      </c>
      <c r="C328" s="1" t="n">
        <v>45899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45899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64524-2023</t>
        </is>
      </c>
      <c r="B330" s="1" t="n">
        <v>45281</v>
      </c>
      <c r="C330" s="1" t="n">
        <v>45899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38145-2025</t>
        </is>
      </c>
      <c r="B331" s="1" t="n">
        <v>45882.58475694444</v>
      </c>
      <c r="C331" s="1" t="n">
        <v>45899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38058-2025</t>
        </is>
      </c>
      <c r="B332" s="1" t="n">
        <v>45882.42769675926</v>
      </c>
      <c r="C332" s="1" t="n">
        <v>45899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33266-2025</t>
        </is>
      </c>
      <c r="B333" s="1" t="n">
        <v>45840.67837962963</v>
      </c>
      <c r="C333" s="1" t="n">
        <v>45899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38059-2025</t>
        </is>
      </c>
      <c r="B334" s="1" t="n">
        <v>45882.42778935185</v>
      </c>
      <c r="C334" s="1" t="n">
        <v>45899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33224-2025</t>
        </is>
      </c>
      <c r="B335" s="1" t="n">
        <v>45840.63581018519</v>
      </c>
      <c r="C335" s="1" t="n">
        <v>45899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45899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3242-2025</t>
        </is>
      </c>
      <c r="B337" s="1" t="n">
        <v>45679.50635416667</v>
      </c>
      <c r="C337" s="1" t="n">
        <v>45899</v>
      </c>
      <c r="D337" t="inlineStr">
        <is>
          <t>NORRBOTTENS LÄN</t>
        </is>
      </c>
      <c r="E337" t="inlineStr">
        <is>
          <t>ÖVERKALIX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38081-2025</t>
        </is>
      </c>
      <c r="B338" s="1" t="n">
        <v>45882.4696412037</v>
      </c>
      <c r="C338" s="1" t="n">
        <v>45899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45899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45899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60463-2024</t>
        </is>
      </c>
      <c r="B341" s="1" t="n">
        <v>45643.61626157408</v>
      </c>
      <c r="C341" s="1" t="n">
        <v>45899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58037-2024</t>
        </is>
      </c>
      <c r="B342" s="1" t="n">
        <v>45631</v>
      </c>
      <c r="C342" s="1" t="n">
        <v>45899</v>
      </c>
      <c r="D342" t="inlineStr">
        <is>
          <t>NORRBOTTENS LÄN</t>
        </is>
      </c>
      <c r="E342" t="inlineStr">
        <is>
          <t>ÖVERKALIX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34128-2025</t>
        </is>
      </c>
      <c r="B343" s="1" t="n">
        <v>45845.53149305555</v>
      </c>
      <c r="C343" s="1" t="n">
        <v>45899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22854-2024</t>
        </is>
      </c>
      <c r="B344" s="1" t="n">
        <v>45448</v>
      </c>
      <c r="C344" s="1" t="n">
        <v>45899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45899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44952-2024</t>
        </is>
      </c>
      <c r="B346" s="1" t="n">
        <v>45575.4482175926</v>
      </c>
      <c r="C346" s="1" t="n">
        <v>45899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51561-2024</t>
        </is>
      </c>
      <c r="B347" s="1" t="n">
        <v>45604</v>
      </c>
      <c r="C347" s="1" t="n">
        <v>45899</v>
      </c>
      <c r="D347" t="inlineStr">
        <is>
          <t>NORRBOTTENS LÄN</t>
        </is>
      </c>
      <c r="E347" t="inlineStr">
        <is>
          <t>ÖVERKALIX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45899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52976-2024</t>
        </is>
      </c>
      <c r="B349" s="1" t="n">
        <v>45611.34413194445</v>
      </c>
      <c r="C349" s="1" t="n">
        <v>45899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60-2025</t>
        </is>
      </c>
      <c r="B350" s="1" t="n">
        <v>45659</v>
      </c>
      <c r="C350" s="1" t="n">
        <v>45899</v>
      </c>
      <c r="D350" t="inlineStr">
        <is>
          <t>NORRBOTTENS LÄN</t>
        </is>
      </c>
      <c r="E350" t="inlineStr">
        <is>
          <t>ÖVERKALIX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45899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39658-2025</t>
        </is>
      </c>
      <c r="B352" s="1" t="n">
        <v>45890.62925925926</v>
      </c>
      <c r="C352" s="1" t="n">
        <v>45899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55085-2024</t>
        </is>
      </c>
      <c r="B353" s="1" t="n">
        <v>45621.43038194445</v>
      </c>
      <c r="C353" s="1" t="n">
        <v>45899</v>
      </c>
      <c r="D353" t="inlineStr">
        <is>
          <t>NORRBOTTENS LÄN</t>
        </is>
      </c>
      <c r="E353" t="inlineStr">
        <is>
          <t>ÖVERKALIX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11915-2023</t>
        </is>
      </c>
      <c r="B354" s="1" t="n">
        <v>44993</v>
      </c>
      <c r="C354" s="1" t="n">
        <v>45899</v>
      </c>
      <c r="D354" t="inlineStr">
        <is>
          <t>NORRBOTTENS LÄN</t>
        </is>
      </c>
      <c r="E354" t="inlineStr">
        <is>
          <t>ÖVERKALIX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1944-2022</t>
        </is>
      </c>
      <c r="B355" s="1" t="n">
        <v>44575</v>
      </c>
      <c r="C355" s="1" t="n">
        <v>45899</v>
      </c>
      <c r="D355" t="inlineStr">
        <is>
          <t>NORRBOTTENS LÄN</t>
        </is>
      </c>
      <c r="E355" t="inlineStr">
        <is>
          <t>ÖVERKALIX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5572-2025</t>
        </is>
      </c>
      <c r="B356" s="1" t="n">
        <v>45693.51137731481</v>
      </c>
      <c r="C356" s="1" t="n">
        <v>45899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58038-2024</t>
        </is>
      </c>
      <c r="B357" s="1" t="n">
        <v>45631.71950231482</v>
      </c>
      <c r="C357" s="1" t="n">
        <v>45899</v>
      </c>
      <c r="D357" t="inlineStr">
        <is>
          <t>NORRBOTTENS LÄN</t>
        </is>
      </c>
      <c r="E357" t="inlineStr">
        <is>
          <t>ÖVERKALIX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38975-2024</t>
        </is>
      </c>
      <c r="B358" s="1" t="n">
        <v>45548</v>
      </c>
      <c r="C358" s="1" t="n">
        <v>45899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54026-2023</t>
        </is>
      </c>
      <c r="B359" s="1" t="n">
        <v>45231</v>
      </c>
      <c r="C359" s="1" t="n">
        <v>45899</v>
      </c>
      <c r="D359" t="inlineStr">
        <is>
          <t>NORRBOTTENS LÄN</t>
        </is>
      </c>
      <c r="E359" t="inlineStr">
        <is>
          <t>ÖVERKALIX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6454-2025</t>
        </is>
      </c>
      <c r="B360" s="1" t="n">
        <v>45699.55261574074</v>
      </c>
      <c r="C360" s="1" t="n">
        <v>45899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72212-2021</t>
        </is>
      </c>
      <c r="B361" s="1" t="n">
        <v>44543</v>
      </c>
      <c r="C361" s="1" t="n">
        <v>45899</v>
      </c>
      <c r="D361" t="inlineStr">
        <is>
          <t>NORRBOTTENS LÄN</t>
        </is>
      </c>
      <c r="E361" t="inlineStr">
        <is>
          <t>ÖVERKALIX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27054-2024</t>
        </is>
      </c>
      <c r="B362" s="1" t="n">
        <v>45471.45269675926</v>
      </c>
      <c r="C362" s="1" t="n">
        <v>45899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27057-2024</t>
        </is>
      </c>
      <c r="B363" s="1" t="n">
        <v>45471.4519212963</v>
      </c>
      <c r="C363" s="1" t="n">
        <v>45899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8407-2025</t>
        </is>
      </c>
      <c r="B364" s="1" t="n">
        <v>45709.3868287037</v>
      </c>
      <c r="C364" s="1" t="n">
        <v>45899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7234-2023</t>
        </is>
      </c>
      <c r="B365" s="1" t="n">
        <v>44970.60267361111</v>
      </c>
      <c r="C365" s="1" t="n">
        <v>45899</v>
      </c>
      <c r="D365" t="inlineStr">
        <is>
          <t>NORRBOTTENS LÄN</t>
        </is>
      </c>
      <c r="E365" t="inlineStr">
        <is>
          <t>ÖVERKALIX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60417-2024</t>
        </is>
      </c>
      <c r="B366" s="1" t="n">
        <v>45643.53211805555</v>
      </c>
      <c r="C366" s="1" t="n">
        <v>45899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59183-2024</t>
        </is>
      </c>
      <c r="B367" s="1" t="n">
        <v>45637.52493055556</v>
      </c>
      <c r="C367" s="1" t="n">
        <v>45899</v>
      </c>
      <c r="D367" t="inlineStr">
        <is>
          <t>NORRBOTTENS LÄN</t>
        </is>
      </c>
      <c r="E367" t="inlineStr">
        <is>
          <t>ÖVERKALIX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4961-2025</t>
        </is>
      </c>
      <c r="B368" s="1" t="n">
        <v>45689.81684027778</v>
      </c>
      <c r="C368" s="1" t="n">
        <v>45899</v>
      </c>
      <c r="D368" t="inlineStr">
        <is>
          <t>NORRBOTTENS LÄN</t>
        </is>
      </c>
      <c r="E368" t="inlineStr">
        <is>
          <t>ÖVERKALIX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48577-2023</t>
        </is>
      </c>
      <c r="B369" s="1" t="n">
        <v>45208</v>
      </c>
      <c r="C369" s="1" t="n">
        <v>45899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53732-2022</t>
        </is>
      </c>
      <c r="B370" s="1" t="n">
        <v>44880</v>
      </c>
      <c r="C370" s="1" t="n">
        <v>45899</v>
      </c>
      <c r="D370" t="inlineStr">
        <is>
          <t>NORRBOTTENS LÄN</t>
        </is>
      </c>
      <c r="E370" t="inlineStr">
        <is>
          <t>ÖVERKALIX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5170-2025</t>
        </is>
      </c>
      <c r="B371" s="1" t="n">
        <v>45691.61585648148</v>
      </c>
      <c r="C371" s="1" t="n">
        <v>45899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1821-2025</t>
        </is>
      </c>
      <c r="B372" s="1" t="n">
        <v>45671.52428240741</v>
      </c>
      <c r="C372" s="1" t="n">
        <v>45899</v>
      </c>
      <c r="D372" t="inlineStr">
        <is>
          <t>NORRBOTTENS LÄN</t>
        </is>
      </c>
      <c r="E372" t="inlineStr">
        <is>
          <t>ÖVERKALIX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17531-2025</t>
        </is>
      </c>
      <c r="B373" s="1" t="n">
        <v>45757</v>
      </c>
      <c r="C373" s="1" t="n">
        <v>45899</v>
      </c>
      <c r="D373" t="inlineStr">
        <is>
          <t>NORRBOTTENS LÄN</t>
        </is>
      </c>
      <c r="E373" t="inlineStr">
        <is>
          <t>ÖVERKALIX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42407-2022</t>
        </is>
      </c>
      <c r="B374" s="1" t="n">
        <v>44830</v>
      </c>
      <c r="C374" s="1" t="n">
        <v>45899</v>
      </c>
      <c r="D374" t="inlineStr">
        <is>
          <t>NORRBOTTENS LÄN</t>
        </is>
      </c>
      <c r="E374" t="inlineStr">
        <is>
          <t>ÖVERKALIX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45899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45899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5703-2023</t>
        </is>
      </c>
      <c r="B377" s="1" t="n">
        <v>44960.94230324074</v>
      </c>
      <c r="C377" s="1" t="n">
        <v>45899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25698-2024</t>
        </is>
      </c>
      <c r="B378" s="1" t="n">
        <v>45463.94219907407</v>
      </c>
      <c r="C378" s="1" t="n">
        <v>45899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13739-2025</t>
        </is>
      </c>
      <c r="B379" s="1" t="n">
        <v>45737</v>
      </c>
      <c r="C379" s="1" t="n">
        <v>45899</v>
      </c>
      <c r="D379" t="inlineStr">
        <is>
          <t>NORRBOTTENS LÄN</t>
        </is>
      </c>
      <c r="E379" t="inlineStr">
        <is>
          <t>ÖVERKALIX</t>
        </is>
      </c>
      <c r="G379" t="n">
        <v>20.1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45899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45899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45899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43836-2020</t>
        </is>
      </c>
      <c r="B383" s="1" t="n">
        <v>44082</v>
      </c>
      <c r="C383" s="1" t="n">
        <v>45899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2003-2024</t>
        </is>
      </c>
      <c r="B384" s="1" t="n">
        <v>45308.65068287037</v>
      </c>
      <c r="C384" s="1" t="n">
        <v>45899</v>
      </c>
      <c r="D384" t="inlineStr">
        <is>
          <t>NORRBOTTENS LÄN</t>
        </is>
      </c>
      <c r="E384" t="inlineStr">
        <is>
          <t>ÖVERKALIX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23249-2024</t>
        </is>
      </c>
      <c r="B385" s="1" t="n">
        <v>45453.35445601852</v>
      </c>
      <c r="C385" s="1" t="n">
        <v>45899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45899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56402-2022</t>
        </is>
      </c>
      <c r="B387" s="1" t="n">
        <v>44890.94890046296</v>
      </c>
      <c r="C387" s="1" t="n">
        <v>45899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9849-2024</t>
        </is>
      </c>
      <c r="B388" s="1" t="n">
        <v>45363</v>
      </c>
      <c r="C388" s="1" t="n">
        <v>45899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45899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45899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45899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43314-2022</t>
        </is>
      </c>
      <c r="B392" s="1" t="n">
        <v>44834</v>
      </c>
      <c r="C392" s="1" t="n">
        <v>45899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30881-2024</t>
        </is>
      </c>
      <c r="B393" s="1" t="n">
        <v>45498</v>
      </c>
      <c r="C393" s="1" t="n">
        <v>45899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45899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550-2023</t>
        </is>
      </c>
      <c r="B395" s="1" t="n">
        <v>44930</v>
      </c>
      <c r="C395" s="1" t="n">
        <v>45899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2992-2024</t>
        </is>
      </c>
      <c r="B396" s="1" t="n">
        <v>45315.72113425926</v>
      </c>
      <c r="C396" s="1" t="n">
        <v>45899</v>
      </c>
      <c r="D396" t="inlineStr">
        <is>
          <t>NORRBOTTENS LÄN</t>
        </is>
      </c>
      <c r="E396" t="inlineStr">
        <is>
          <t>ÖVERKALIX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42119-2024</t>
        </is>
      </c>
      <c r="B397" s="1" t="n">
        <v>45562.3905787037</v>
      </c>
      <c r="C397" s="1" t="n">
        <v>45899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62269-2021</t>
        </is>
      </c>
      <c r="B398" s="1" t="n">
        <v>44502</v>
      </c>
      <c r="C398" s="1" t="n">
        <v>45899</v>
      </c>
      <c r="D398" t="inlineStr">
        <is>
          <t>NORRBOTTENS LÄN</t>
        </is>
      </c>
      <c r="E398" t="inlineStr">
        <is>
          <t>ÖVERKALIX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13372-2023</t>
        </is>
      </c>
      <c r="B399" s="1" t="n">
        <v>45005.48414351852</v>
      </c>
      <c r="C399" s="1" t="n">
        <v>45899</v>
      </c>
      <c r="D399" t="inlineStr">
        <is>
          <t>NORRBOTTENS LÄN</t>
        </is>
      </c>
      <c r="E399" t="inlineStr">
        <is>
          <t>ÖVERKALIX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45899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59832-2024</t>
        </is>
      </c>
      <c r="B401" s="1" t="n">
        <v>45639</v>
      </c>
      <c r="C401" s="1" t="n">
        <v>45899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6641-2022</t>
        </is>
      </c>
      <c r="B402" s="1" t="n">
        <v>44601.93563657408</v>
      </c>
      <c r="C402" s="1" t="n">
        <v>45899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49091-2024</t>
        </is>
      </c>
      <c r="B403" s="1" t="n">
        <v>45594</v>
      </c>
      <c r="C403" s="1" t="n">
        <v>45899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8026-2023</t>
        </is>
      </c>
      <c r="B404" s="1" t="n">
        <v>44973.94396990741</v>
      </c>
      <c r="C404" s="1" t="n">
        <v>45899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36797-2023</t>
        </is>
      </c>
      <c r="B405" s="1" t="n">
        <v>45154.39217592592</v>
      </c>
      <c r="C405" s="1" t="n">
        <v>45899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48747-2024</t>
        </is>
      </c>
      <c r="B406" s="1" t="n">
        <v>45593</v>
      </c>
      <c r="C406" s="1" t="n">
        <v>45899</v>
      </c>
      <c r="D406" t="inlineStr">
        <is>
          <t>NORRBOTTENS LÄN</t>
        </is>
      </c>
      <c r="E406" t="inlineStr">
        <is>
          <t>ÖVERKALIX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5382-2025</t>
        </is>
      </c>
      <c r="B407" s="1" t="n">
        <v>45692.61486111111</v>
      </c>
      <c r="C407" s="1" t="n">
        <v>45899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45899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45899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45899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45899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45899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45899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45899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45899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49865-2023</t>
        </is>
      </c>
      <c r="B416" s="1" t="n">
        <v>45212.95538194444</v>
      </c>
      <c r="C416" s="1" t="n">
        <v>45899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45899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48561-2024</t>
        </is>
      </c>
      <c r="B418" s="1" t="n">
        <v>45593.38583333333</v>
      </c>
      <c r="C418" s="1" t="n">
        <v>45899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45899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60786-2024</t>
        </is>
      </c>
      <c r="B420" s="1" t="n">
        <v>45644</v>
      </c>
      <c r="C420" s="1" t="n">
        <v>45899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40660-2024</t>
        </is>
      </c>
      <c r="B421" s="1" t="n">
        <v>45558</v>
      </c>
      <c r="C421" s="1" t="n">
        <v>45899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45899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43173-2023</t>
        </is>
      </c>
      <c r="B423" s="1" t="n">
        <v>45180</v>
      </c>
      <c r="C423" s="1" t="n">
        <v>45899</v>
      </c>
      <c r="D423" t="inlineStr">
        <is>
          <t>NORRBOTTENS LÄN</t>
        </is>
      </c>
      <c r="E423" t="inlineStr">
        <is>
          <t>ÖVERKALIX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45899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39327-2024</t>
        </is>
      </c>
      <c r="B425" s="1" t="n">
        <v>45551</v>
      </c>
      <c r="C425" s="1" t="n">
        <v>45899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3704-2024</t>
        </is>
      </c>
      <c r="B426" s="1" t="n">
        <v>45321</v>
      </c>
      <c r="C426" s="1" t="n">
        <v>45899</v>
      </c>
      <c r="D426" t="inlineStr">
        <is>
          <t>NORRBOTTENS LÄN</t>
        </is>
      </c>
      <c r="E426" t="inlineStr">
        <is>
          <t>ÖVERKALIX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30598-2024</t>
        </is>
      </c>
      <c r="B427" s="1" t="n">
        <v>45493.43340277778</v>
      </c>
      <c r="C427" s="1" t="n">
        <v>45899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5705-2023</t>
        </is>
      </c>
      <c r="B428" s="1" t="n">
        <v>44960</v>
      </c>
      <c r="C428" s="1" t="n">
        <v>45899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57836-2022</t>
        </is>
      </c>
      <c r="B429" s="1" t="n">
        <v>44897</v>
      </c>
      <c r="C429" s="1" t="n">
        <v>45899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52647-2024</t>
        </is>
      </c>
      <c r="B430" s="1" t="n">
        <v>45610.34540509259</v>
      </c>
      <c r="C430" s="1" t="n">
        <v>45899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15493-2025</t>
        </is>
      </c>
      <c r="B431" s="1" t="n">
        <v>45747</v>
      </c>
      <c r="C431" s="1" t="n">
        <v>45899</v>
      </c>
      <c r="D431" t="inlineStr">
        <is>
          <t>NORRBOTTENS LÄN</t>
        </is>
      </c>
      <c r="E431" t="inlineStr">
        <is>
          <t>ÖVERKALIX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1310-2025</t>
        </is>
      </c>
      <c r="B432" s="1" t="n">
        <v>45667.55340277778</v>
      </c>
      <c r="C432" s="1" t="n">
        <v>45899</v>
      </c>
      <c r="D432" t="inlineStr">
        <is>
          <t>NORRBOTTENS LÄN</t>
        </is>
      </c>
      <c r="E432" t="inlineStr">
        <is>
          <t>ÖVERKALIX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8672-2025</t>
        </is>
      </c>
      <c r="B433" s="1" t="n">
        <v>45712</v>
      </c>
      <c r="C433" s="1" t="n">
        <v>45899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25697-2024</t>
        </is>
      </c>
      <c r="B434" s="1" t="n">
        <v>45463</v>
      </c>
      <c r="C434" s="1" t="n">
        <v>45899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6917-2023</t>
        </is>
      </c>
      <c r="B435" s="1" t="n">
        <v>44964</v>
      </c>
      <c r="C435" s="1" t="n">
        <v>45899</v>
      </c>
      <c r="D435" t="inlineStr">
        <is>
          <t>NORRBOTTENS LÄN</t>
        </is>
      </c>
      <c r="E435" t="inlineStr">
        <is>
          <t>ÖVERKALIX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40155-2024</t>
        </is>
      </c>
      <c r="B436" s="1" t="n">
        <v>45554</v>
      </c>
      <c r="C436" s="1" t="n">
        <v>45899</v>
      </c>
      <c r="D436" t="inlineStr">
        <is>
          <t>NORRBOTTENS LÄN</t>
        </is>
      </c>
      <c r="E436" t="inlineStr">
        <is>
          <t>ÖVERKALIX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20392-2025</t>
        </is>
      </c>
      <c r="B437" s="1" t="n">
        <v>45775.44878472222</v>
      </c>
      <c r="C437" s="1" t="n">
        <v>45899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2025-08-30T08:34:04Z</dcterms:created>
  <dcterms:modified xmlns:dcterms="http://purl.org/dc/terms/" xmlns:xsi="http://www.w3.org/2001/XMLSchema-instance" xsi:type="dcterms:W3CDTF">2025-08-30T08:34:04Z</dcterms:modified>
</cp:coreProperties>
</file>