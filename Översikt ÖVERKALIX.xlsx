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46293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36383-2024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45534</v>
      </c>
      <c r="E3" s="1" t="n">
        <v>46293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42.1</v>
      </c>
      <c r="J3" t="n">
        <v>5</v>
      </c>
      <c r="K3" t="n">
        <v>2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13</v>
      </c>
      <c r="T3" t="n">
        <v>39</v>
      </c>
      <c r="U3" t="n">
        <v>2</v>
      </c>
      <c r="V3" s="2" t="inlineStr">
        <is>
          <t>Garnlav
Gammelgransskål
Knottrig blåslav
Kolflarnlav
Mörk kolflarnlav
Orange taggsvamp
Tretåig hackspett
Vedflamlav
Spindelblomster
Vedticka
Spillkråka
Orre
Fläcknycklar</t>
        </is>
      </c>
      <c r="W3">
        <f>HYPERLINK("https://klasma.github.io/Logging_2513/artfynd/A 36383-2024 artfynd.xlsx", "A 36383-2024")</f>
        <v/>
      </c>
      <c r="X3">
        <f>HYPERLINK("https://klasma.github.io/Logging_2513/kartor/A 36383-2024 karta.png", "A 36383-2024")</f>
        <v/>
      </c>
      <c r="Y3">
        <f>HYPERLINK("https://klasma.github.io/Logging_2513/kartor_geotiff/A 36383-2024 georefererad karta.tif", "A 36383-2024")</f>
        <v/>
      </c>
      <c r="AA3">
        <f>HYPERLINK("https://klasma.github.io/Logging_2513/klagomål/A 36383-2024 FSC-klagomål.docx", "A 36383-2024")</f>
        <v/>
      </c>
      <c r="AB3">
        <f>HYPERLINK("https://klasma.github.io/Logging_2513/klagomålsmail/A 36383-2024 FSC-klagomål mail.docx", "A 36383-2024")</f>
        <v/>
      </c>
      <c r="AC3">
        <f>HYPERLINK("https://klasma.github.io/Logging_2513/tillsyn/A 36383-2024 tillsynsbegäran.docx", "A 36383-2024")</f>
        <v/>
      </c>
      <c r="AD3">
        <f>HYPERLINK("https://klasma.github.io/Logging_2513/tillsynsmail/A 36383-2024 tillsynsbegäran mail.docx", "A 36383-2024")</f>
        <v/>
      </c>
      <c r="AE3">
        <f>HYPERLINK("https://klasma.github.io/Logging_2513/fåglar/A 36383-2024 prioriterade fågelarter.docx", "A 36383-2024")</f>
        <v/>
      </c>
    </row>
    <row r="4" ht="15" customHeight="1">
      <c r="A4" t="inlineStr">
        <is>
          <t>A 63242-2025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46010</v>
      </c>
      <c r="E4" s="1" t="n">
        <v>46293</v>
      </c>
      <c r="F4" t="inlineStr">
        <is>
          <t>NORRBOTTENS LÄN</t>
        </is>
      </c>
      <c r="G4" t="inlineStr">
        <is>
          <t>ÖVERKALIX</t>
        </is>
      </c>
      <c r="I4" t="n">
        <v>9.5</v>
      </c>
      <c r="J4" t="n">
        <v>3</v>
      </c>
      <c r="K4" t="n">
        <v>2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13</v>
      </c>
      <c r="T4" t="n">
        <v>45</v>
      </c>
      <c r="U4" t="n">
        <v>45</v>
      </c>
      <c r="V4" s="2" t="inlineStr">
        <is>
          <t>Garnlav
Dropptaggsvamp
Kolflarnlav
Nordtagging
Orange taggsvamp
Skarp dropptaggsvamp
Tallriska
Talltagel
Talltita
Vaddporing
Nästlav
Plattlummer
Tjäder</t>
        </is>
      </c>
      <c r="W4">
        <f>HYPERLINK("https://klasma.github.io/Logging_2513/artfynd/A 63242-2025 artfynd.xlsx", "A 63242-2025")</f>
        <v/>
      </c>
      <c r="X4">
        <f>HYPERLINK("https://klasma.github.io/Logging_2513/kartor/A 63242-2025 karta.png", "A 63242-2025")</f>
        <v/>
      </c>
      <c r="Y4">
        <f>HYPERLINK("https://klasma.github.io/Logging_2513/kartor_geotiff/A 63242-2025 georefererad karta.tif", "A 63242-2025")</f>
        <v/>
      </c>
      <c r="AA4">
        <f>HYPERLINK("https://klasma.github.io/Logging_2513/klagomål/A 63242-2025 FSC-klagomål.docx", "A 63242-2025")</f>
        <v/>
      </c>
      <c r="AB4">
        <f>HYPERLINK("https://klasma.github.io/Logging_2513/klagomålsmail/A 63242-2025 FSC-klagomål mail.docx", "A 63242-2025")</f>
        <v/>
      </c>
      <c r="AC4">
        <f>HYPERLINK("https://klasma.github.io/Logging_2513/tillsyn/A 63242-2025 tillsynsbegäran.docx", "A 63242-2025")</f>
        <v/>
      </c>
      <c r="AD4">
        <f>HYPERLINK("https://klasma.github.io/Logging_2513/tillsynsmail/A 63242-2025 tillsynsbegäran mail.docx", "A 63242-2025")</f>
        <v/>
      </c>
      <c r="AE4">
        <f>HYPERLINK("https://klasma.github.io/Logging_2513/fåglar/A 63242-2025 prioriterade fågelarter.docx", "A 63242-2025")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46293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39</v>
      </c>
      <c r="U5" t="n">
        <v>39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46293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46293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46293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3227-2025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45981</v>
      </c>
      <c r="E9" s="1" t="n">
        <v>46293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3.3</v>
      </c>
      <c r="J9" t="n">
        <v>3</v>
      </c>
      <c r="K9" t="n">
        <v>5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17</v>
      </c>
      <c r="U9" t="n">
        <v>0</v>
      </c>
      <c r="V9" s="2" t="inlineStr">
        <is>
          <t>Garnlav
Gammelgransskål
Lunglav
Bollvitmossa
Korallrot
Lappranunkel
Spindelblomster
Ögonpyrola</t>
        </is>
      </c>
      <c r="W9">
        <f>HYPERLINK("https://klasma.github.io/Logging_2513/artfynd/S 3227-2025 artfynd.xlsx", "S 3227-2025")</f>
        <v/>
      </c>
      <c r="X9">
        <f>HYPERLINK("https://klasma.github.io/Logging_2513/kartor/S 3227-2025 karta.png", "S 3227-2025")</f>
        <v/>
      </c>
      <c r="Y9">
        <f>HYPERLINK("https://klasma.github.io/Logging_2513/kartor_geotiff/S 3227-2025 georefererad karta.tif", "S 3227-2025")</f>
        <v/>
      </c>
      <c r="AA9">
        <f>HYPERLINK("https://klasma.github.io/Logging_2513/klagomål/S 3227-2025 FSC-klagomål.docx", "S 3227-2025")</f>
        <v/>
      </c>
      <c r="AB9">
        <f>HYPERLINK("https://klasma.github.io/Logging_2513/klagomålsmail/S 3227-2025 FSC-klagomål mail.docx", "S 3227-2025")</f>
        <v/>
      </c>
      <c r="AC9">
        <f>HYPERLINK("https://klasma.github.io/Logging_2513/tillsyn/S 3227-2025 tillsynsbegäran.docx", "S 3227-2025")</f>
        <v/>
      </c>
      <c r="AD9">
        <f>HYPERLINK("https://klasma.github.io/Logging_2513/tillsynsmail/S 3227-2025 tillsynsbegäran mail.docx", "S 3227-2025")</f>
        <v/>
      </c>
    </row>
    <row r="10" ht="15" customHeight="1">
      <c r="A10" t="inlineStr">
        <is>
          <t>A 37997-2024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46293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1.9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11</v>
      </c>
      <c r="U10" t="n">
        <v>11</v>
      </c>
      <c r="V10" s="2" t="inlineStr">
        <is>
          <t>Knärot
Gammelgransskål
Kolflarnlav
Lunglav
Motaggsvamp
Spindelblomster
Fläcknycklar</t>
        </is>
      </c>
      <c r="W10">
        <f>HYPERLINK("https://klasma.github.io/Logging_2513/artfynd/A 37997-2024 artfynd.xlsx", "A 37997-2024")</f>
        <v/>
      </c>
      <c r="X10">
        <f>HYPERLINK("https://klasma.github.io/Logging_2513/kartor/A 37997-2024 karta.png", "A 37997-2024")</f>
        <v/>
      </c>
      <c r="Y10">
        <f>HYPERLINK("https://klasma.github.io/Logging_2513/kartor_geotiff/A 37997-2024 georefererad karta.tif", "A 37997-2024")</f>
        <v/>
      </c>
      <c r="Z10">
        <f>HYPERLINK("https://klasma.github.io/Logging_2513/knärot/A 37997-2024 karta knärot.png", "A 37997-2024")</f>
        <v/>
      </c>
      <c r="AA10">
        <f>HYPERLINK("https://klasma.github.io/Logging_2513/klagomål/A 37997-2024 FSC-klagomål.docx", "A 37997-2024")</f>
        <v/>
      </c>
      <c r="AB10">
        <f>HYPERLINK("https://klasma.github.io/Logging_2513/klagomålsmail/A 37997-2024 FSC-klagomål mail.docx", "A 37997-2024")</f>
        <v/>
      </c>
      <c r="AC10">
        <f>HYPERLINK("https://klasma.github.io/Logging_2513/tillsyn/A 37997-2024 tillsynsbegäran.docx", "A 37997-2024")</f>
        <v/>
      </c>
      <c r="AD10">
        <f>HYPERLINK("https://klasma.github.io/Logging_2513/tillsynsmail/A 37997-2024 tillsynsbegäran mail.docx", "A 37997-2024")</f>
        <v/>
      </c>
    </row>
    <row r="11" ht="15" customHeight="1">
      <c r="A11" t="inlineStr">
        <is>
          <t>S 177-2023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44943</v>
      </c>
      <c r="E11" s="1" t="n">
        <v>46293</v>
      </c>
      <c r="F11" t="inlineStr">
        <is>
          <t>NORRBOTTENS LÄN</t>
        </is>
      </c>
      <c r="G11" t="inlineStr">
        <is>
          <t>ÖVERKALIX</t>
        </is>
      </c>
      <c r="H11" t="inlineStr">
        <is>
          <t>SCA</t>
        </is>
      </c>
      <c r="I11" t="n">
        <v>1117.7</v>
      </c>
      <c r="J11" t="n">
        <v>4</v>
      </c>
      <c r="K11" t="n">
        <v>0</v>
      </c>
      <c r="L11" t="n">
        <v>2</v>
      </c>
      <c r="M11" t="n">
        <v>4</v>
      </c>
      <c r="N11" t="n">
        <v>0</v>
      </c>
      <c r="O11" t="n">
        <v>0</v>
      </c>
      <c r="P11" t="n">
        <v>0</v>
      </c>
      <c r="Q11" t="n">
        <v>6</v>
      </c>
      <c r="R11" t="n">
        <v>4</v>
      </c>
      <c r="S11" t="n">
        <v>7</v>
      </c>
      <c r="T11" t="n">
        <v>9</v>
      </c>
      <c r="U11" t="n">
        <v>5</v>
      </c>
      <c r="V11" s="2" t="inlineStr">
        <is>
          <t>Hökuggla
Knärot
Skrovlig taggsvamp
Tallmusseron
Brunklöver
Lavskrika
Smålom</t>
        </is>
      </c>
      <c r="W11">
        <f>HYPERLINK("https://klasma.github.io/Logging_2513/artfynd/S 177-2023 artfynd.xlsx", "S 177-2023")</f>
        <v/>
      </c>
      <c r="X11">
        <f>HYPERLINK("https://klasma.github.io/Logging_2513/kartor/S 177-2023 karta.png", "S 177-2023")</f>
        <v/>
      </c>
      <c r="Y11">
        <f>HYPERLINK("https://klasma.github.io/Logging_2513/kartor_geotiff/S 177-2023 georefererad karta.tif", "S 177-2023")</f>
        <v/>
      </c>
      <c r="Z11">
        <f>HYPERLINK("https://klasma.github.io/Logging_2513/knärot/S 177-2023 karta knärot.png", "S 177-2023")</f>
        <v/>
      </c>
      <c r="AA11">
        <f>HYPERLINK("https://klasma.github.io/Logging_2513/klagomål/S 177-2023 FSC-klagomål.docx", "S 177-2023")</f>
        <v/>
      </c>
      <c r="AB11">
        <f>HYPERLINK("https://klasma.github.io/Logging_2513/klagomålsmail/S 177-2023 FSC-klagomål mail.docx", "S 177-2023")</f>
        <v/>
      </c>
      <c r="AC11">
        <f>HYPERLINK("https://klasma.github.io/Logging_2513/tillsyn/S 177-2023 tillsynsbegäran.docx", "S 177-2023")</f>
        <v/>
      </c>
      <c r="AD11">
        <f>HYPERLINK("https://klasma.github.io/Logging_2513/tillsynsmail/S 177-2023 tillsynsbegäran mail.docx", "S 177-2023")</f>
        <v/>
      </c>
      <c r="AE11">
        <f>HYPERLINK("https://klasma.github.io/Logging_2513/fåglar/S 177-2023 prioriterade fågelarter.docx", "S 177-2023")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46293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46293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46293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38989-2023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46293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9</v>
      </c>
      <c r="U15" t="n">
        <v>9</v>
      </c>
      <c r="V15" s="2" t="inlineStr">
        <is>
          <t>Goliatmusseron
Blå taggsvamp
Dropptaggsvamp
Motaggsvamp
Orange taggsvamp</t>
        </is>
      </c>
      <c r="W15">
        <f>HYPERLINK("https://klasma.github.io/Logging_2513/artfynd/A 38989-2023 artfynd.xlsx", "A 38989-2023")</f>
        <v/>
      </c>
      <c r="X15">
        <f>HYPERLINK("https://klasma.github.io/Logging_2513/kartor/A 38989-2023 karta.png", "A 38989-2023")</f>
        <v/>
      </c>
      <c r="Y15">
        <f>HYPERLINK("https://klasma.github.io/Logging_2513/kartor_geotiff/A 38989-2023 georefererad karta.tif", "A 38989-2023")</f>
        <v/>
      </c>
      <c r="AA15">
        <f>HYPERLINK("https://klasma.github.io/Logging_2513/klagomål/A 38989-2023 FSC-klagomål.docx", "A 38989-2023")</f>
        <v/>
      </c>
      <c r="AB15">
        <f>HYPERLINK("https://klasma.github.io/Logging_2513/klagomålsmail/A 38989-2023 FSC-klagomål mail.docx", "A 38989-2023")</f>
        <v/>
      </c>
      <c r="AC15">
        <f>HYPERLINK("https://klasma.github.io/Logging_2513/tillsyn/A 38989-2023 tillsynsbegäran.docx", "A 38989-2023")</f>
        <v/>
      </c>
      <c r="AD15">
        <f>HYPERLINK("https://klasma.github.io/Logging_2513/tillsynsmail/A 38989-2023 tillsynsbegäran mail.docx", "A 38989-2023")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46293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46293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46293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46293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46293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46293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46293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45831</v>
      </c>
      <c r="E23" s="1" t="n">
        <v>46293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5.3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Gammelgransskål
Bollvitmossa
Järpe</t>
        </is>
      </c>
      <c r="W23">
        <f>HYPERLINK("https://klasma.github.io/Logging_2513/artfynd/A 30525-2025 artfynd.xlsx", "A 30525-2025")</f>
        <v/>
      </c>
      <c r="X23">
        <f>HYPERLINK("https://klasma.github.io/Logging_2513/kartor/A 30525-2025 karta.png", "A 30525-2025")</f>
        <v/>
      </c>
      <c r="Y23">
        <f>HYPERLINK("https://klasma.github.io/Logging_2513/kartor_geotiff/A 30525-2025 georefererad karta.tif", "A 30525-2025")</f>
        <v/>
      </c>
      <c r="AA23">
        <f>HYPERLINK("https://klasma.github.io/Logging_2513/klagomål/A 30525-2025 FSC-klagomål.docx", "A 30525-2025")</f>
        <v/>
      </c>
      <c r="AB23">
        <f>HYPERLINK("https://klasma.github.io/Logging_2513/klagomålsmail/A 30525-2025 FSC-klagomål mail.docx", "A 30525-2025")</f>
        <v/>
      </c>
      <c r="AC23">
        <f>HYPERLINK("https://klasma.github.io/Logging_2513/tillsyn/A 30525-2025 tillsynsbegäran.docx", "A 30525-2025")</f>
        <v/>
      </c>
      <c r="AD23">
        <f>HYPERLINK("https://klasma.github.io/Logging_2513/tillsynsmail/A 30525-2025 tillsynsbegäran mail.docx", "A 30525-2025")</f>
        <v/>
      </c>
      <c r="AE23">
        <f>HYPERLINK("https://klasma.github.io/Logging_2513/fåglar/A 30525-2025 prioriterade fågelarter.docx", "A 30525-2025")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46293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46293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46293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46293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46293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17802-2025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46293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1.6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Hökuggla
Älg
Tjäder</t>
        </is>
      </c>
      <c r="W29">
        <f>HYPERLINK("https://klasma.github.io/Logging_2513/artfynd/A 17802-2025 artfynd.xlsx", "A 17802-2025")</f>
        <v/>
      </c>
      <c r="X29">
        <f>HYPERLINK("https://klasma.github.io/Logging_2513/kartor/A 17802-2025 karta.png", "A 17802-2025")</f>
        <v/>
      </c>
      <c r="Y29">
        <f>HYPERLINK("https://klasma.github.io/Logging_2513/kartor_geotiff/A 17802-2025 georefererad karta.tif", "A 17802-2025")</f>
        <v/>
      </c>
      <c r="AA29">
        <f>HYPERLINK("https://klasma.github.io/Logging_2513/klagomål/A 17802-2025 FSC-klagomål.docx", "A 17802-2025")</f>
        <v/>
      </c>
      <c r="AB29">
        <f>HYPERLINK("https://klasma.github.io/Logging_2513/klagomålsmail/A 17802-2025 FSC-klagomål mail.docx", "A 17802-2025")</f>
        <v/>
      </c>
      <c r="AC29">
        <f>HYPERLINK("https://klasma.github.io/Logging_2513/tillsyn/A 17802-2025 tillsynsbegäran.docx", "A 17802-2025")</f>
        <v/>
      </c>
      <c r="AD29">
        <f>HYPERLINK("https://klasma.github.io/Logging_2513/tillsynsmail/A 17802-2025 tillsynsbegäran mail.docx", "A 17802-2025")</f>
        <v/>
      </c>
      <c r="AE29">
        <f>HYPERLINK("https://klasma.github.io/Logging_2513/fåglar/A 17802-2025 prioriterade fågelarter.docx", "A 17802-2025")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46293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46293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46293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46293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46293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46293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26452-2025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45807</v>
      </c>
      <c r="E36" s="1" t="n">
        <v>46293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Gammelgransskål
Stor aspticka</t>
        </is>
      </c>
      <c r="W36">
        <f>HYPERLINK("https://klasma.github.io/Logging_2513/artfynd/A 26452-2025 artfynd.xlsx", "A 26452-2025")</f>
        <v/>
      </c>
      <c r="X36">
        <f>HYPERLINK("https://klasma.github.io/Logging_2513/kartor/A 26452-2025 karta.png", "A 26452-2025")</f>
        <v/>
      </c>
      <c r="Y36">
        <f>HYPERLINK("https://klasma.github.io/Logging_2513/kartor_geotiff/A 26452-2025 georefererad karta.tif", "A 26452-2025")</f>
        <v/>
      </c>
      <c r="AA36">
        <f>HYPERLINK("https://klasma.github.io/Logging_2513/klagomål/A 26452-2025 FSC-klagomål.docx", "A 26452-2025")</f>
        <v/>
      </c>
      <c r="AB36">
        <f>HYPERLINK("https://klasma.github.io/Logging_2513/klagomålsmail/A 26452-2025 FSC-klagomål mail.docx", "A 26452-2025")</f>
        <v/>
      </c>
      <c r="AC36">
        <f>HYPERLINK("https://klasma.github.io/Logging_2513/tillsyn/A 26452-2025 tillsynsbegäran.docx", "A 26452-2025")</f>
        <v/>
      </c>
      <c r="AD36">
        <f>HYPERLINK("https://klasma.github.io/Logging_2513/tillsynsmail/A 26452-2025 tillsynsbegäran mail.docx", "A 26452-2025")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46293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46293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46293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46293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46293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Blå taggsvamp
Skarp dropptaggsvamp</t>
        </is>
      </c>
      <c r="W41">
        <f>HYPERLINK("https://klasma.github.io/Logging_2513/artfynd/A 47680-2024 artfynd.xlsx", "A 47680-2024")</f>
        <v/>
      </c>
      <c r="X41">
        <f>HYPERLINK("https://klasma.github.io/Logging_2513/kartor/A 47680-2024 karta.png", "A 47680-2024")</f>
        <v/>
      </c>
      <c r="Y41">
        <f>HYPERLINK("https://klasma.github.io/Logging_2513/kartor_geotiff/A 47680-2024 georefererad karta.tif", "A 47680-2024")</f>
        <v/>
      </c>
      <c r="AA41">
        <f>HYPERLINK("https://klasma.github.io/Logging_2513/klagomål/A 47680-2024 FSC-klagomål.docx", "A 47680-2024")</f>
        <v/>
      </c>
      <c r="AB41">
        <f>HYPERLINK("https://klasma.github.io/Logging_2513/klagomålsmail/A 47680-2024 FSC-klagomål mail.docx", "A 47680-2024")</f>
        <v/>
      </c>
      <c r="AC41">
        <f>HYPERLINK("https://klasma.github.io/Logging_2513/tillsyn/A 47680-2024 tillsynsbegäran.docx", "A 47680-2024")</f>
        <v/>
      </c>
      <c r="AD41">
        <f>HYPERLINK("https://klasma.github.io/Logging_2513/tillsynsmail/A 47680-2024 tillsynsbegäran mail.docx", "A 47680-2024")</f>
        <v/>
      </c>
    </row>
    <row r="42" ht="15" customHeight="1">
      <c r="A42" t="inlineStr">
        <is>
          <t>A 34921-2025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46293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16.4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Gammelgransskål
Lunglav</t>
        </is>
      </c>
      <c r="W42">
        <f>HYPERLINK("https://klasma.github.io/Logging_2513/artfynd/A 34921-2025 artfynd.xlsx", "A 34921-2025")</f>
        <v/>
      </c>
      <c r="X42">
        <f>HYPERLINK("https://klasma.github.io/Logging_2513/kartor/A 34921-2025 karta.png", "A 34921-2025")</f>
        <v/>
      </c>
      <c r="Y42">
        <f>HYPERLINK("https://klasma.github.io/Logging_2513/kartor_geotiff/A 34921-2025 georefererad karta.tif", "A 34921-2025")</f>
        <v/>
      </c>
      <c r="AA42">
        <f>HYPERLINK("https://klasma.github.io/Logging_2513/klagomål/A 34921-2025 FSC-klagomål.docx", "A 34921-2025")</f>
        <v/>
      </c>
      <c r="AB42">
        <f>HYPERLINK("https://klasma.github.io/Logging_2513/klagomålsmail/A 34921-2025 FSC-klagomål mail.docx", "A 34921-2025")</f>
        <v/>
      </c>
      <c r="AC42">
        <f>HYPERLINK("https://klasma.github.io/Logging_2513/tillsyn/A 34921-2025 tillsynsbegäran.docx", "A 34921-2025")</f>
        <v/>
      </c>
      <c r="AD42">
        <f>HYPERLINK("https://klasma.github.io/Logging_2513/tillsynsmail/A 34921-2025 tillsynsbegäran mail.docx", "A 34921-2025")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46293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46293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36803-2023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45154</v>
      </c>
      <c r="E45" s="1" t="n">
        <v>46293</v>
      </c>
      <c r="F45" t="inlineStr">
        <is>
          <t>NORRBOTTENS LÄN</t>
        </is>
      </c>
      <c r="G45" t="inlineStr">
        <is>
          <t>ÖVERKALIX</t>
        </is>
      </c>
      <c r="I45" t="n">
        <v>3.1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6</v>
      </c>
      <c r="U45" t="n">
        <v>6</v>
      </c>
      <c r="V45" s="2" t="inlineStr">
        <is>
          <t>Knärot
Revlummer</t>
        </is>
      </c>
      <c r="W45">
        <f>HYPERLINK("https://klasma.github.io/Logging_2513/artfynd/A 36803-2023 artfynd.xlsx", "A 36803-2023")</f>
        <v/>
      </c>
      <c r="X45">
        <f>HYPERLINK("https://klasma.github.io/Logging_2513/kartor/A 36803-2023 karta.png", "A 36803-2023")</f>
        <v/>
      </c>
      <c r="Y45">
        <f>HYPERLINK("https://klasma.github.io/Logging_2513/kartor_geotiff/A 36803-2023 georefererad karta.tif", "A 36803-2023")</f>
        <v/>
      </c>
      <c r="Z45">
        <f>HYPERLINK("https://klasma.github.io/Logging_2513/knärot/A 36803-2023 karta knärot.png", "A 36803-2023")</f>
        <v/>
      </c>
      <c r="AA45">
        <f>HYPERLINK("https://klasma.github.io/Logging_2513/klagomål/A 36803-2023 FSC-klagomål.docx", "A 36803-2023")</f>
        <v/>
      </c>
      <c r="AB45">
        <f>HYPERLINK("https://klasma.github.io/Logging_2513/klagomålsmail/A 36803-2023 FSC-klagomål mail.docx", "A 36803-2023")</f>
        <v/>
      </c>
      <c r="AC45">
        <f>HYPERLINK("https://klasma.github.io/Logging_2513/tillsyn/A 36803-2023 tillsynsbegäran.docx", "A 36803-2023")</f>
        <v/>
      </c>
      <c r="AD45">
        <f>HYPERLINK("https://klasma.github.io/Logging_2513/tillsynsmail/A 36803-2023 tillsynsbegäran mail.docx", "A 36803-2023")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46293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46293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46293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46293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46293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46293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46293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46293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46293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46293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46293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46293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35602-2025 artfynd.xlsx", "A 35602-2025")</f>
        <v/>
      </c>
      <c r="X57">
        <f>HYPERLINK("https://klasma.github.io/Logging_2513/kartor/A 35602-2025 karta.png", "A 35602-2025")</f>
        <v/>
      </c>
      <c r="Y57">
        <f>HYPERLINK("https://klasma.github.io/Logging_2513/kartor_geotiff/A 35602-2025 georefererad karta.tif", "A 35602-2025")</f>
        <v/>
      </c>
      <c r="AA57">
        <f>HYPERLINK("https://klasma.github.io/Logging_2513/klagomål/A 35602-2025 FSC-klagomål.docx", "A 35602-2025")</f>
        <v/>
      </c>
      <c r="AB57">
        <f>HYPERLINK("https://klasma.github.io/Logging_2513/klagomålsmail/A 35602-2025 FSC-klagomål mail.docx", "A 35602-2025")</f>
        <v/>
      </c>
      <c r="AC57">
        <f>HYPERLINK("https://klasma.github.io/Logging_2513/tillsyn/A 35602-2025 tillsynsbegäran.docx", "A 35602-2025")</f>
        <v/>
      </c>
      <c r="AD57">
        <f>HYPERLINK("https://klasma.github.io/Logging_2513/tillsynsmail/A 35602-2025 tillsynsbegäran mail.docx", "A 35602-2025")</f>
        <v/>
      </c>
    </row>
    <row r="58" ht="15" customHeight="1">
      <c r="A58" t="inlineStr">
        <is>
          <t>A 20949-2026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46142</v>
      </c>
      <c r="E58" s="1" t="n">
        <v>46293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9.1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20949-2026 artfynd.xlsx", "A 20949-2026")</f>
        <v/>
      </c>
      <c r="X58">
        <f>HYPERLINK("https://klasma.github.io/Logging_2513/kartor/A 20949-2026 karta.png", "A 20949-2026")</f>
        <v/>
      </c>
      <c r="Y58">
        <f>HYPERLINK("https://klasma.github.io/Logging_2513/kartor_geotiff/A 20949-2026 georefererad karta.tif", "A 20949-2026")</f>
        <v/>
      </c>
      <c r="AA58">
        <f>HYPERLINK("https://klasma.github.io/Logging_2513/klagomål/A 20949-2026 FSC-klagomål.docx", "A 20949-2026")</f>
        <v/>
      </c>
      <c r="AB58">
        <f>HYPERLINK("https://klasma.github.io/Logging_2513/klagomålsmail/A 20949-2026 FSC-klagomål mail.docx", "A 20949-2026")</f>
        <v/>
      </c>
      <c r="AC58">
        <f>HYPERLINK("https://klasma.github.io/Logging_2513/tillsyn/A 20949-2026 tillsynsbegäran.docx", "A 20949-2026")</f>
        <v/>
      </c>
      <c r="AD58">
        <f>HYPERLINK("https://klasma.github.io/Logging_2513/tillsynsmail/A 20949-2026 tillsynsbegäran mail.docx", "A 20949-2026")</f>
        <v/>
      </c>
    </row>
    <row r="59" ht="15" customHeight="1">
      <c r="A59" t="inlineStr">
        <is>
          <t>A 25335-2026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46293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46.9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Lunglav</t>
        </is>
      </c>
      <c r="W59">
        <f>HYPERLINK("https://klasma.github.io/Logging_2513/artfynd/A 25335-2026 artfynd.xlsx", "A 25335-2026")</f>
        <v/>
      </c>
      <c r="X59">
        <f>HYPERLINK("https://klasma.github.io/Logging_2513/kartor/A 25335-2026 karta.png", "A 25335-2026")</f>
        <v/>
      </c>
      <c r="Y59">
        <f>HYPERLINK("https://klasma.github.io/Logging_2513/kartor_geotiff/A 25335-2026 georefererad karta.tif", "A 25335-2026")</f>
        <v/>
      </c>
      <c r="AA59">
        <f>HYPERLINK("https://klasma.github.io/Logging_2513/klagomål/A 25335-2026 FSC-klagomål.docx", "A 25335-2026")</f>
        <v/>
      </c>
      <c r="AB59">
        <f>HYPERLINK("https://klasma.github.io/Logging_2513/klagomålsmail/A 25335-2026 FSC-klagomål mail.docx", "A 25335-2026")</f>
        <v/>
      </c>
      <c r="AC59">
        <f>HYPERLINK("https://klasma.github.io/Logging_2513/tillsyn/A 25335-2026 tillsynsbegäran.docx", "A 25335-2026")</f>
        <v/>
      </c>
      <c r="AD59">
        <f>HYPERLINK("https://klasma.github.io/Logging_2513/tillsynsmail/A 25335-2026 tillsynsbegäran mail.docx", "A 25335-2026")</f>
        <v/>
      </c>
    </row>
    <row r="60" ht="15" customHeight="1">
      <c r="A60" t="inlineStr">
        <is>
          <t>A 31920-2026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46231</v>
      </c>
      <c r="E60" s="1" t="n">
        <v>46293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HYPERLINK("https://klasma.github.io/Logging_2513/artfynd/A 31920-2026 artfynd.xlsx", "A 31920-2026")</f>
        <v/>
      </c>
      <c r="X60">
        <f>HYPERLINK("https://klasma.github.io/Logging_2513/kartor/A 31920-2026 karta.png", "A 31920-2026")</f>
        <v/>
      </c>
      <c r="Y60">
        <f>HYPERLINK("https://klasma.github.io/Logging_2513/kartor_geotiff/A 31920-2026 georefererad karta.tif", "A 31920-2026")</f>
        <v/>
      </c>
      <c r="AA60">
        <f>HYPERLINK("https://klasma.github.io/Logging_2513/klagomål/A 31920-2026 FSC-klagomål.docx", "A 31920-2026")</f>
        <v/>
      </c>
      <c r="AB60">
        <f>HYPERLINK("https://klasma.github.io/Logging_2513/klagomålsmail/A 31920-2026 FSC-klagomål mail.docx", "A 31920-2026")</f>
        <v/>
      </c>
      <c r="AC60">
        <f>HYPERLINK("https://klasma.github.io/Logging_2513/tillsyn/A 31920-2026 tillsynsbegäran.docx", "A 31920-2026")</f>
        <v/>
      </c>
      <c r="AD60">
        <f>HYPERLINK("https://klasma.github.io/Logging_2513/tillsynsmail/A 31920-2026 tillsynsbegäran mail.docx", "A 31920-2026")</f>
        <v/>
      </c>
    </row>
    <row r="61" ht="15" customHeight="1">
      <c r="A61" t="inlineStr">
        <is>
          <t>A 8407-2025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46293</v>
      </c>
      <c r="F61" t="inlineStr">
        <is>
          <t>NORRBOTTENS LÄN</t>
        </is>
      </c>
      <c r="G61" t="inlineStr">
        <is>
          <t>ÖVERKALIX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Tallbit</t>
        </is>
      </c>
      <c r="W61">
        <f>HYPERLINK("https://klasma.github.io/Logging_2513/artfynd/A 8407-2025 artfynd.xlsx", "A 8407-2025")</f>
        <v/>
      </c>
      <c r="X61">
        <f>HYPERLINK("https://klasma.github.io/Logging_2513/kartor/A 8407-2025 karta.png", "A 8407-2025")</f>
        <v/>
      </c>
      <c r="Y61">
        <f>HYPERLINK("https://klasma.github.io/Logging_2513/kartor_geotiff/A 8407-2025 georefererad karta.tif", "A 8407-2025")</f>
        <v/>
      </c>
      <c r="AA61">
        <f>HYPERLINK("https://klasma.github.io/Logging_2513/klagomål/A 8407-2025 FSC-klagomål.docx", "A 8407-2025")</f>
        <v/>
      </c>
      <c r="AB61">
        <f>HYPERLINK("https://klasma.github.io/Logging_2513/klagomålsmail/A 8407-2025 FSC-klagomål mail.docx", "A 8407-2025")</f>
        <v/>
      </c>
      <c r="AC61">
        <f>HYPERLINK("https://klasma.github.io/Logging_2513/tillsyn/A 8407-2025 tillsynsbegäran.docx", "A 8407-2025")</f>
        <v/>
      </c>
      <c r="AD61">
        <f>HYPERLINK("https://klasma.github.io/Logging_2513/tillsynsmail/A 8407-2025 tillsynsbegäran mail.docx", "A 8407-2025")</f>
        <v/>
      </c>
      <c r="AE61">
        <f>HYPERLINK("https://klasma.github.io/Logging_2513/fåglar/A 8407-2025 prioriterade fågelarter.docx", "A 8407-2025")</f>
        <v/>
      </c>
    </row>
    <row r="62" ht="15" customHeight="1">
      <c r="A62" t="inlineStr">
        <is>
          <t>A 7234-2023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46293</v>
      </c>
      <c r="F62" t="inlineStr">
        <is>
          <t>NORRBOTTENS LÄN</t>
        </is>
      </c>
      <c r="G62" t="inlineStr">
        <is>
          <t>ÖVERKALIX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Spillkråka</t>
        </is>
      </c>
      <c r="W62">
        <f>HYPERLINK("https://klasma.github.io/Logging_2513/artfynd/A 7234-2023 artfynd.xlsx", "A 7234-2023")</f>
        <v/>
      </c>
      <c r="X62">
        <f>HYPERLINK("https://klasma.github.io/Logging_2513/kartor/A 7234-2023 karta.png", "A 7234-2023")</f>
        <v/>
      </c>
      <c r="Y62">
        <f>HYPERLINK("https://klasma.github.io/Logging_2513/kartor_geotiff/A 7234-2023 georefererad karta.tif", "A 7234-2023")</f>
        <v/>
      </c>
      <c r="AA62">
        <f>HYPERLINK("https://klasma.github.io/Logging_2513/klagomål/A 7234-2023 FSC-klagomål.docx", "A 7234-2023")</f>
        <v/>
      </c>
      <c r="AB62">
        <f>HYPERLINK("https://klasma.github.io/Logging_2513/klagomålsmail/A 7234-2023 FSC-klagomål mail.docx", "A 7234-2023")</f>
        <v/>
      </c>
      <c r="AC62">
        <f>HYPERLINK("https://klasma.github.io/Logging_2513/tillsyn/A 7234-2023 tillsynsbegäran.docx", "A 7234-2023")</f>
        <v/>
      </c>
      <c r="AD62">
        <f>HYPERLINK("https://klasma.github.io/Logging_2513/tillsynsmail/A 7234-2023 tillsynsbegäran mail.docx", "A 7234-2023")</f>
        <v/>
      </c>
      <c r="AE62">
        <f>HYPERLINK("https://klasma.github.io/Logging_2513/fåglar/A 7234-2023 prioriterade fågelarter.docx", "A 7234-2023")</f>
        <v/>
      </c>
    </row>
    <row r="63" ht="15" customHeight="1">
      <c r="A63" t="inlineStr">
        <is>
          <t>A 46280-2024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46293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HYPERLINK("https://klasma.github.io/Logging_2513/artfynd/A 46280-2024 artfynd.xlsx", "A 46280-2024")</f>
        <v/>
      </c>
      <c r="X63">
        <f>HYPERLINK("https://klasma.github.io/Logging_2513/kartor/A 46280-2024 karta.png", "A 46280-2024")</f>
        <v/>
      </c>
      <c r="Y63">
        <f>HYPERLINK("https://klasma.github.io/Logging_2513/kartor_geotiff/A 46280-2024 georefererad karta.tif", "A 46280-2024")</f>
        <v/>
      </c>
      <c r="AA63">
        <f>HYPERLINK("https://klasma.github.io/Logging_2513/klagomål/A 46280-2024 FSC-klagomål.docx", "A 46280-2024")</f>
        <v/>
      </c>
      <c r="AB63">
        <f>HYPERLINK("https://klasma.github.io/Logging_2513/klagomålsmail/A 46280-2024 FSC-klagomål mail.docx", "A 46280-2024")</f>
        <v/>
      </c>
      <c r="AC63">
        <f>HYPERLINK("https://klasma.github.io/Logging_2513/tillsyn/A 46280-2024 tillsynsbegäran.docx", "A 46280-2024")</f>
        <v/>
      </c>
      <c r="AD63">
        <f>HYPERLINK("https://klasma.github.io/Logging_2513/tillsynsmail/A 46280-2024 tillsynsbegäran mail.docx", "A 46280-2024")</f>
        <v/>
      </c>
      <c r="AE63">
        <f>HYPERLINK("https://klasma.github.io/Logging_2513/fåglar/A 46280-2024 prioriterade fågelarter.docx", "A 46280-2024")</f>
        <v/>
      </c>
    </row>
    <row r="64" ht="15" customHeight="1">
      <c r="A64" t="inlineStr">
        <is>
          <t>A 46281-2024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46293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 taggsvamp</t>
        </is>
      </c>
      <c r="W64">
        <f>HYPERLINK("https://klasma.github.io/Logging_2513/artfynd/A 46281-2024 artfynd.xlsx", "A 46281-2024")</f>
        <v/>
      </c>
      <c r="X64">
        <f>HYPERLINK("https://klasma.github.io/Logging_2513/kartor/A 46281-2024 karta.png", "A 46281-2024")</f>
        <v/>
      </c>
      <c r="Y64">
        <f>HYPERLINK("https://klasma.github.io/Logging_2513/kartor_geotiff/A 46281-2024 georefererad karta.tif", "A 46281-2024")</f>
        <v/>
      </c>
      <c r="AA64">
        <f>HYPERLINK("https://klasma.github.io/Logging_2513/klagomål/A 46281-2024 FSC-klagomål.docx", "A 46281-2024")</f>
        <v/>
      </c>
      <c r="AB64">
        <f>HYPERLINK("https://klasma.github.io/Logging_2513/klagomålsmail/A 46281-2024 FSC-klagomål mail.docx", "A 46281-2024")</f>
        <v/>
      </c>
      <c r="AC64">
        <f>HYPERLINK("https://klasma.github.io/Logging_2513/tillsyn/A 46281-2024 tillsynsbegäran.docx", "A 46281-2024")</f>
        <v/>
      </c>
      <c r="AD64">
        <f>HYPERLINK("https://klasma.github.io/Logging_2513/tillsynsmail/A 46281-2024 tillsynsbegäran mail.docx", "A 46281-2024")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46293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46293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46293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46293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46293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46293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46293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46293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46293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46293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46293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46293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46293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46293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46293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46293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46293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46293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46293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46293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46293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46293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46293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46293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46293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46293</v>
      </c>
      <c r="F90" t="inlineStr">
        <is>
          <t>NORRBOTTENS LÄN</t>
        </is>
      </c>
      <c r="G90" t="inlineStr">
        <is>
          <t>ÖVERKALIX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45238</v>
      </c>
      <c r="E91" s="1" t="n">
        <v>46293</v>
      </c>
      <c r="F91" t="inlineStr">
        <is>
          <t>NORRBOTTENS LÄN</t>
        </is>
      </c>
      <c r="G91" t="inlineStr">
        <is>
          <t>ÖVERKALIX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46293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46293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46293</v>
      </c>
      <c r="F94" t="inlineStr">
        <is>
          <t>NORRBOTTENS LÄN</t>
        </is>
      </c>
      <c r="G94" t="inlineStr">
        <is>
          <t>ÖVERKALIX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46293</v>
      </c>
      <c r="F95" t="inlineStr">
        <is>
          <t>NORRBOTTENS LÄN</t>
        </is>
      </c>
      <c r="G95" t="inlineStr">
        <is>
          <t>ÖVERKALIX</t>
        </is>
      </c>
      <c r="H95" t="inlineStr">
        <is>
          <t>Sveaskog</t>
        </is>
      </c>
      <c r="I95" t="n">
        <v>22.7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46293</v>
      </c>
      <c r="F96" t="inlineStr">
        <is>
          <t>NORRBOTTENS LÄN</t>
        </is>
      </c>
      <c r="G96" t="inlineStr">
        <is>
          <t>ÖVERKALIX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46293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46293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46293</v>
      </c>
      <c r="F99" t="inlineStr">
        <is>
          <t>NORRBOTTENS LÄN</t>
        </is>
      </c>
      <c r="G99" t="inlineStr">
        <is>
          <t>ÖVERKALIX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46293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45075</v>
      </c>
      <c r="E101" s="1" t="n">
        <v>46293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44797</v>
      </c>
      <c r="E102" s="1" t="n">
        <v>46293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72809-2021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46293</v>
      </c>
      <c r="F103" t="inlineStr">
        <is>
          <t>NORRBOTTENS LÄN</t>
        </is>
      </c>
      <c r="G103" t="inlineStr">
        <is>
          <t>ÖVERKALIX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46293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46293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72623-2021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46293</v>
      </c>
      <c r="F106" t="inlineStr">
        <is>
          <t>NORRBOTTENS LÄN</t>
        </is>
      </c>
      <c r="G106" t="inlineStr">
        <is>
          <t>ÖVERKALIX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45086</v>
      </c>
      <c r="E107" s="1" t="n">
        <v>46293</v>
      </c>
      <c r="F107" t="inlineStr">
        <is>
          <t>NORRBOTTENS LÄN</t>
        </is>
      </c>
      <c r="G107" t="inlineStr">
        <is>
          <t>ÖVERKALIX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46293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63545-2025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46293</v>
      </c>
      <c r="F109" t="inlineStr">
        <is>
          <t>NORRBOTTENS LÄN</t>
        </is>
      </c>
      <c r="G109" t="inlineStr">
        <is>
          <t>ÖVERKALIX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46293</v>
      </c>
      <c r="F110" t="inlineStr">
        <is>
          <t>NORRBOTTENS LÄN</t>
        </is>
      </c>
      <c r="G110" t="inlineStr">
        <is>
          <t>ÖVERKALIX</t>
        </is>
      </c>
      <c r="I110" t="n">
        <v>21.7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46293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46293</v>
      </c>
      <c r="F112" t="inlineStr">
        <is>
          <t>NORRBOTTENS LÄN</t>
        </is>
      </c>
      <c r="G112" t="inlineStr">
        <is>
          <t>ÖVERKALIX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46293</v>
      </c>
      <c r="F113" t="inlineStr">
        <is>
          <t>NORRBOTTENS LÄN</t>
        </is>
      </c>
      <c r="G113" t="inlineStr">
        <is>
          <t>ÖVERKALIX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45793</v>
      </c>
      <c r="E114" s="1" t="n">
        <v>46293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45793</v>
      </c>
      <c r="E115" s="1" t="n">
        <v>46293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46293</v>
      </c>
      <c r="F116" t="inlineStr">
        <is>
          <t>NORRBOTTENS LÄN</t>
        </is>
      </c>
      <c r="G116" t="inlineStr">
        <is>
          <t>ÖVERKALIX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46293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46293</v>
      </c>
      <c r="F118" t="inlineStr">
        <is>
          <t>NORRBOTTENS LÄN</t>
        </is>
      </c>
      <c r="G118" t="inlineStr">
        <is>
          <t>ÖVERKALIX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45428</v>
      </c>
      <c r="E119" s="1" t="n">
        <v>46293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46293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46293</v>
      </c>
      <c r="F121" t="inlineStr">
        <is>
          <t>NORRBOTTENS LÄN</t>
        </is>
      </c>
      <c r="G121" t="inlineStr">
        <is>
          <t>ÖVERKALIX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46293</v>
      </c>
      <c r="F122" t="inlineStr">
        <is>
          <t>NORRBOTTENS LÄN</t>
        </is>
      </c>
      <c r="G122" t="inlineStr">
        <is>
          <t>ÖVERKALIX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46293</v>
      </c>
      <c r="F123" t="inlineStr">
        <is>
          <t>NORRBOTTENS LÄN</t>
        </is>
      </c>
      <c r="G123" t="inlineStr">
        <is>
          <t>ÖVERKALIX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46293</v>
      </c>
      <c r="F124" t="inlineStr">
        <is>
          <t>NORRBOTTENS LÄN</t>
        </is>
      </c>
      <c r="G124" t="inlineStr">
        <is>
          <t>ÖVERKALIX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46293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37.4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46293</v>
      </c>
      <c r="F126" t="inlineStr">
        <is>
          <t>NORRBOTTENS LÄN</t>
        </is>
      </c>
      <c r="G126" t="inlineStr">
        <is>
          <t>ÖVERKALIX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44899</v>
      </c>
      <c r="E127" s="1" t="n">
        <v>46293</v>
      </c>
      <c r="F127" t="inlineStr">
        <is>
          <t>NORRBOTTENS LÄN</t>
        </is>
      </c>
      <c r="G127" t="inlineStr">
        <is>
          <t>ÖVERKALIX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46293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29.9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46293</v>
      </c>
      <c r="F129" t="inlineStr">
        <is>
          <t>NORRBOTTENS LÄN</t>
        </is>
      </c>
      <c r="G129" t="inlineStr">
        <is>
          <t>ÖVERKALIX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46293</v>
      </c>
      <c r="F130" t="inlineStr">
        <is>
          <t>NORRBOTTENS LÄN</t>
        </is>
      </c>
      <c r="G130" t="inlineStr">
        <is>
          <t>ÖVERKALIX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46293</v>
      </c>
      <c r="F131" t="inlineStr">
        <is>
          <t>NORRBOTTENS LÄN</t>
        </is>
      </c>
      <c r="G131" t="inlineStr">
        <is>
          <t>ÖVERKALIX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46293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46293</v>
      </c>
      <c r="F133" t="inlineStr">
        <is>
          <t>NORRBOTTENS LÄN</t>
        </is>
      </c>
      <c r="G133" t="inlineStr">
        <is>
          <t>ÖVERKALIX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45323</v>
      </c>
      <c r="E134" s="1" t="n">
        <v>46293</v>
      </c>
      <c r="F134" t="inlineStr">
        <is>
          <t>NORRBOTTENS LÄN</t>
        </is>
      </c>
      <c r="G134" t="inlineStr">
        <is>
          <t>ÖVERKALIX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46293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46055</v>
      </c>
      <c r="E136" s="1" t="n">
        <v>46293</v>
      </c>
      <c r="F136" t="inlineStr">
        <is>
          <t>NORRBOTTENS LÄN</t>
        </is>
      </c>
      <c r="G136" t="inlineStr">
        <is>
          <t>ÖVERKALIX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46293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46293</v>
      </c>
      <c r="F138" t="inlineStr">
        <is>
          <t>NORRBOTTENS LÄN</t>
        </is>
      </c>
      <c r="G138" t="inlineStr">
        <is>
          <t>ÖVERKALIX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46293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46293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46293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46293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46293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44754-2025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45917</v>
      </c>
      <c r="E144" s="1" t="n">
        <v>46293</v>
      </c>
      <c r="F144" t="inlineStr">
        <is>
          <t>NORRBOTTENS LÄN</t>
        </is>
      </c>
      <c r="G144" t="inlineStr">
        <is>
          <t>ÖVERKALIX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45535-2025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45922</v>
      </c>
      <c r="E145" s="1" t="n">
        <v>46293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32615-2024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46293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9.800000000000001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46293</v>
      </c>
      <c r="F147" t="inlineStr">
        <is>
          <t>NORRBOTTENS LÄN</t>
        </is>
      </c>
      <c r="G147" t="inlineStr">
        <is>
          <t>ÖVERKALIX</t>
        </is>
      </c>
      <c r="I147" t="n">
        <v>10.8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44966</v>
      </c>
      <c r="E148" s="1" t="n">
        <v>46293</v>
      </c>
      <c r="F148" t="inlineStr">
        <is>
          <t>NORRBOTTENS LÄN</t>
        </is>
      </c>
      <c r="G148" t="inlineStr">
        <is>
          <t>ÖVERKALIX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28343-2025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45818</v>
      </c>
      <c r="E149" s="1" t="n">
        <v>46293</v>
      </c>
      <c r="F149" t="inlineStr">
        <is>
          <t>NORRBOTTENS LÄN</t>
        </is>
      </c>
      <c r="G149" t="inlineStr">
        <is>
          <t>ÖVERKALIX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46080</v>
      </c>
      <c r="E150" s="1" t="n">
        <v>46293</v>
      </c>
      <c r="F150" t="inlineStr">
        <is>
          <t>NORRBOTTENS LÄN</t>
        </is>
      </c>
      <c r="G150" t="inlineStr">
        <is>
          <t>ÖVERKALIX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46080</v>
      </c>
      <c r="E151" s="1" t="n">
        <v>46293</v>
      </c>
      <c r="F151" t="inlineStr">
        <is>
          <t>NORRBOTTENS LÄN</t>
        </is>
      </c>
      <c r="G151" t="inlineStr">
        <is>
          <t>ÖVERKALIX</t>
        </is>
      </c>
      <c r="I151" t="n">
        <v>9.800000000000001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11772-2026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46293</v>
      </c>
      <c r="F152" t="inlineStr">
        <is>
          <t>NORRBOTTENS LÄN</t>
        </is>
      </c>
      <c r="G152" t="inlineStr">
        <is>
          <t>ÖVERKALIX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46293</v>
      </c>
      <c r="F153" t="inlineStr">
        <is>
          <t>NORRBOTTENS LÄN</t>
        </is>
      </c>
      <c r="G153" t="inlineStr">
        <is>
          <t>ÖVERKALIX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46293</v>
      </c>
      <c r="F154" t="inlineStr">
        <is>
          <t>NORRBOTTENS LÄN</t>
        </is>
      </c>
      <c r="G154" t="inlineStr">
        <is>
          <t>ÖVERKALIX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46293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17.5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46293</v>
      </c>
      <c r="F156" t="inlineStr">
        <is>
          <t>NORRBOTTENS LÄN</t>
        </is>
      </c>
      <c r="G156" t="inlineStr">
        <is>
          <t>ÖVERKALIX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46293</v>
      </c>
      <c r="F157" t="inlineStr">
        <is>
          <t>NORRBOTTENS LÄN</t>
        </is>
      </c>
      <c r="G157" t="inlineStr">
        <is>
          <t>ÖVERKALIX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46293</v>
      </c>
      <c r="F158" t="inlineStr">
        <is>
          <t>NORRBOTTENS LÄN</t>
        </is>
      </c>
      <c r="G158" t="inlineStr">
        <is>
          <t>ÖVERKALIX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44950</v>
      </c>
      <c r="E159" s="1" t="n">
        <v>46293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46293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46087</v>
      </c>
      <c r="E161" s="1" t="n">
        <v>46293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46293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46293</v>
      </c>
      <c r="F163" t="inlineStr">
        <is>
          <t>NORRBOTTENS LÄN</t>
        </is>
      </c>
      <c r="G163" t="inlineStr">
        <is>
          <t>ÖVERKALIX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46293</v>
      </c>
      <c r="F164" t="inlineStr">
        <is>
          <t>NORRBOTTENS LÄN</t>
        </is>
      </c>
      <c r="G164" t="inlineStr">
        <is>
          <t>ÖVERKALIX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45940</v>
      </c>
      <c r="E165" s="1" t="n">
        <v>46293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46293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46293</v>
      </c>
      <c r="F167" t="inlineStr">
        <is>
          <t>NORRBOTTENS LÄN</t>
        </is>
      </c>
      <c r="G167" t="inlineStr">
        <is>
          <t>ÖVERKALIX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45429</v>
      </c>
      <c r="E168" s="1" t="n">
        <v>46293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46293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45401</v>
      </c>
      <c r="E170" s="1" t="n">
        <v>46293</v>
      </c>
      <c r="F170" t="inlineStr">
        <is>
          <t>NORRBOTTENS LÄN</t>
        </is>
      </c>
      <c r="G170" t="inlineStr">
        <is>
          <t>ÖVERKALIX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15011-2026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46293</v>
      </c>
      <c r="F171" t="inlineStr">
        <is>
          <t>NORRBOTTENS LÄN</t>
        </is>
      </c>
      <c r="G171" t="inlineStr">
        <is>
          <t>ÖVERKALIX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46293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46293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46293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22.8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45949</v>
      </c>
      <c r="E175" s="1" t="n">
        <v>46293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51634-2025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45951</v>
      </c>
      <c r="E176" s="1" t="n">
        <v>46293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45107</v>
      </c>
      <c r="E177" s="1" t="n">
        <v>46293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46293</v>
      </c>
      <c r="F178" t="inlineStr">
        <is>
          <t>NORRBOTTENS LÄN</t>
        </is>
      </c>
      <c r="G178" t="inlineStr">
        <is>
          <t>ÖVERKALIX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52591-2025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45954</v>
      </c>
      <c r="E179" s="1" t="n">
        <v>46293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46293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46293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46293</v>
      </c>
      <c r="F182" t="inlineStr">
        <is>
          <t>NORRBOTTENS LÄN</t>
        </is>
      </c>
      <c r="G182" t="inlineStr">
        <is>
          <t>ÖVERKALIX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46112</v>
      </c>
      <c r="E183" s="1" t="n">
        <v>46293</v>
      </c>
      <c r="F183" t="inlineStr">
        <is>
          <t>NORRBOTTENS LÄN</t>
        </is>
      </c>
      <c r="G183" t="inlineStr">
        <is>
          <t>ÖVERKALIX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52973-2025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45957</v>
      </c>
      <c r="E184" s="1" t="n">
        <v>46293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9.9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46293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45076</v>
      </c>
      <c r="E186" s="1" t="n">
        <v>46293</v>
      </c>
      <c r="F186" t="inlineStr">
        <is>
          <t>NORRBOTTENS LÄN</t>
        </is>
      </c>
      <c r="G186" t="inlineStr">
        <is>
          <t>ÖVERKALIX</t>
        </is>
      </c>
      <c r="H186" t="inlineStr">
        <is>
          <t>Övriga statliga verk och myndigheter</t>
        </is>
      </c>
      <c r="I186" t="n">
        <v>38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46293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45744</v>
      </c>
      <c r="E188" s="1" t="n">
        <v>46293</v>
      </c>
      <c r="F188" t="inlineStr">
        <is>
          <t>NORRBOTTENS LÄN</t>
        </is>
      </c>
      <c r="G188" t="inlineStr">
        <is>
          <t>ÖVERKALIX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46120</v>
      </c>
      <c r="E189" s="1" t="n">
        <v>46293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46293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46120</v>
      </c>
      <c r="E191" s="1" t="n">
        <v>46293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45622</v>
      </c>
      <c r="E192" s="1" t="n">
        <v>46293</v>
      </c>
      <c r="F192" t="inlineStr">
        <is>
          <t>NORRBOTTENS LÄN</t>
        </is>
      </c>
      <c r="G192" t="inlineStr">
        <is>
          <t>ÖVERKALIX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46293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46293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46293</v>
      </c>
      <c r="F195" t="inlineStr">
        <is>
          <t>NORRBOTTENS LÄN</t>
        </is>
      </c>
      <c r="G195" t="inlineStr">
        <is>
          <t>ÖVERKALIX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46293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46293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46293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46293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46293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18522-2026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46293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46293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45643</v>
      </c>
      <c r="E203" s="1" t="n">
        <v>46293</v>
      </c>
      <c r="F203" t="inlineStr">
        <is>
          <t>NORRBOTTENS LÄN</t>
        </is>
      </c>
      <c r="G203" t="inlineStr">
        <is>
          <t>ÖVERKALIX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45631</v>
      </c>
      <c r="E204" s="1" t="n">
        <v>46293</v>
      </c>
      <c r="F204" t="inlineStr">
        <is>
          <t>NORRBOTTENS LÄN</t>
        </is>
      </c>
      <c r="G204" t="inlineStr">
        <is>
          <t>ÖVERKALIX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44993</v>
      </c>
      <c r="E205" s="1" t="n">
        <v>46293</v>
      </c>
      <c r="F205" t="inlineStr">
        <is>
          <t>NORRBOTTENS LÄN</t>
        </is>
      </c>
      <c r="G205" t="inlineStr">
        <is>
          <t>ÖVERKALIX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46132</v>
      </c>
      <c r="E206" s="1" t="n">
        <v>46293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46133</v>
      </c>
      <c r="E207" s="1" t="n">
        <v>46293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46293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45604</v>
      </c>
      <c r="E209" s="1" t="n">
        <v>46293</v>
      </c>
      <c r="F209" t="inlineStr">
        <is>
          <t>NORRBOTTENS LÄN</t>
        </is>
      </c>
      <c r="G209" t="inlineStr">
        <is>
          <t>ÖVERKALIX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46293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46293</v>
      </c>
      <c r="F211" t="inlineStr">
        <is>
          <t>NORRBOTTENS LÄN</t>
        </is>
      </c>
      <c r="G211" t="inlineStr">
        <is>
          <t>ÖVERKALIX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57744-2025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45981</v>
      </c>
      <c r="E212" s="1" t="n">
        <v>46293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46134</v>
      </c>
      <c r="E213" s="1" t="n">
        <v>46293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46293</v>
      </c>
      <c r="F214" t="inlineStr">
        <is>
          <t>NORRBOTTENS LÄN</t>
        </is>
      </c>
      <c r="G214" t="inlineStr">
        <is>
          <t>ÖVERKALIX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46293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46293</v>
      </c>
      <c r="F216" t="inlineStr">
        <is>
          <t>NORRBOTTENS LÄN</t>
        </is>
      </c>
      <c r="G216" t="inlineStr">
        <is>
          <t>ÖVERKALIX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46293</v>
      </c>
      <c r="F217" t="inlineStr">
        <is>
          <t>NORRBOTTENS LÄN</t>
        </is>
      </c>
      <c r="G217" t="inlineStr">
        <is>
          <t>ÖVERKALIX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46293</v>
      </c>
      <c r="F218" t="inlineStr">
        <is>
          <t>NORRBOTTENS LÄN</t>
        </is>
      </c>
      <c r="G218" t="inlineStr">
        <is>
          <t>ÖVERKALIX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46293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46293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28.8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40281-2022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44820</v>
      </c>
      <c r="E221" s="1" t="n">
        <v>46293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44823</v>
      </c>
      <c r="E222" s="1" t="n">
        <v>46293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46293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46293</v>
      </c>
      <c r="F224" t="inlineStr">
        <is>
          <t>NORRBOTTENS LÄN</t>
        </is>
      </c>
      <c r="G224" t="inlineStr">
        <is>
          <t>ÖVERKALIX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46293</v>
      </c>
      <c r="F225" t="inlineStr">
        <is>
          <t>NORRBOTTENS LÄN</t>
        </is>
      </c>
      <c r="G225" t="inlineStr">
        <is>
          <t>ÖVERKALIX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46293</v>
      </c>
      <c r="F226" t="inlineStr">
        <is>
          <t>NORRBOTTENS LÄN</t>
        </is>
      </c>
      <c r="G226" t="inlineStr">
        <is>
          <t>ÖVERKALIX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46293</v>
      </c>
      <c r="F227" t="inlineStr">
        <is>
          <t>NORRBOTTENS LÄN</t>
        </is>
      </c>
      <c r="G227" t="inlineStr">
        <is>
          <t>ÖVERKALIX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46293</v>
      </c>
      <c r="F228" t="inlineStr">
        <is>
          <t>NORRBOTTENS LÄN</t>
        </is>
      </c>
      <c r="G228" t="inlineStr">
        <is>
          <t>ÖVERKALIX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46293</v>
      </c>
      <c r="F229" t="inlineStr">
        <is>
          <t>NORRBOTTENS LÄN</t>
        </is>
      </c>
      <c r="G229" t="inlineStr">
        <is>
          <t>ÖVERKALIX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46293</v>
      </c>
      <c r="F230" t="inlineStr">
        <is>
          <t>NORRBOTTENS LÄN</t>
        </is>
      </c>
      <c r="G230" t="inlineStr">
        <is>
          <t>ÖVERKALIX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45440</v>
      </c>
      <c r="E231" s="1" t="n">
        <v>46293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46293</v>
      </c>
      <c r="F232" t="inlineStr">
        <is>
          <t>NORRBOTTENS LÄN</t>
        </is>
      </c>
      <c r="G232" t="inlineStr">
        <is>
          <t>ÖVERKALIX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46293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46293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60417-2024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45643</v>
      </c>
      <c r="E235" s="1" t="n">
        <v>46293</v>
      </c>
      <c r="F235" t="inlineStr">
        <is>
          <t>NORRBOTTENS LÄN</t>
        </is>
      </c>
      <c r="G235" t="inlineStr">
        <is>
          <t>ÖVERKALIX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46293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46293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48577-2023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45208</v>
      </c>
      <c r="E238" s="1" t="n">
        <v>46293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46293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45820</v>
      </c>
      <c r="E240" s="1" t="n">
        <v>46293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Sveaskog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45819</v>
      </c>
      <c r="E241" s="1" t="n">
        <v>46293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46293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46293</v>
      </c>
      <c r="F243" t="inlineStr">
        <is>
          <t>NORRBOTTENS LÄN</t>
        </is>
      </c>
      <c r="G243" t="inlineStr">
        <is>
          <t>ÖVERKALIX</t>
        </is>
      </c>
      <c r="I243" t="n">
        <v>9.800000000000001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45671</v>
      </c>
      <c r="E244" s="1" t="n">
        <v>46293</v>
      </c>
      <c r="F244" t="inlineStr">
        <is>
          <t>NORRBOTTENS LÄN</t>
        </is>
      </c>
      <c r="G244" t="inlineStr">
        <is>
          <t>ÖVERKALIX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45820</v>
      </c>
      <c r="E245" s="1" t="n">
        <v>46293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46293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46293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46293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46293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46293</v>
      </c>
      <c r="F250" t="inlineStr">
        <is>
          <t>NORRBOTTENS LÄN</t>
        </is>
      </c>
      <c r="G250" t="inlineStr">
        <is>
          <t>ÖVERKALIX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46293</v>
      </c>
      <c r="F251" t="inlineStr">
        <is>
          <t>NORRBOTTENS LÄN</t>
        </is>
      </c>
      <c r="G251" t="inlineStr">
        <is>
          <t>ÖVERKALIX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46293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46293</v>
      </c>
      <c r="F253" t="inlineStr">
        <is>
          <t>NORRBOTTENS LÄN</t>
        </is>
      </c>
      <c r="G253" t="inlineStr">
        <is>
          <t>ÖVERKALIX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46293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24.4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46293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46293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44648</v>
      </c>
      <c r="E257" s="1" t="n">
        <v>46293</v>
      </c>
      <c r="F257" t="inlineStr">
        <is>
          <t>NORRBOTTENS LÄN</t>
        </is>
      </c>
      <c r="G257" t="inlineStr">
        <is>
          <t>ÖVERKALIX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46293</v>
      </c>
      <c r="F258" t="inlineStr">
        <is>
          <t>NORRBOTTENS LÄN</t>
        </is>
      </c>
      <c r="G258" t="inlineStr">
        <is>
          <t>ÖVERKALIX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46293</v>
      </c>
      <c r="F259" t="inlineStr">
        <is>
          <t>NORRBOTTENS LÄN</t>
        </is>
      </c>
      <c r="G259" t="inlineStr">
        <is>
          <t>ÖVERKALIX</t>
        </is>
      </c>
      <c r="I259" t="n">
        <v>10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46293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20171-2026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46293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46293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46293</v>
      </c>
      <c r="F263" t="inlineStr">
        <is>
          <t>NORRBOTTENS LÄN</t>
        </is>
      </c>
      <c r="G263" t="inlineStr">
        <is>
          <t>ÖVERKALIX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21419-2026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46293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46293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46293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46293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46148</v>
      </c>
      <c r="E268" s="1" t="n">
        <v>46293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46293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46293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21422-2026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46293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11.5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46148</v>
      </c>
      <c r="E272" s="1" t="n">
        <v>46293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18.8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46293</v>
      </c>
      <c r="F273" t="inlineStr">
        <is>
          <t>NORRBOTTENS LÄN</t>
        </is>
      </c>
      <c r="G273" t="inlineStr">
        <is>
          <t>ÖVERKALIX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46293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13.8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46293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23.2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46293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46293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46293</v>
      </c>
      <c r="F278" t="inlineStr">
        <is>
          <t>NORRBOTTENS LÄN</t>
        </is>
      </c>
      <c r="G278" t="inlineStr">
        <is>
          <t>ÖVERKALIX</t>
        </is>
      </c>
      <c r="I278" t="n">
        <v>9.300000000000001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46293</v>
      </c>
      <c r="F279" t="inlineStr">
        <is>
          <t>NORRBOTTENS LÄN</t>
        </is>
      </c>
      <c r="G279" t="inlineStr">
        <is>
          <t>ÖVERKALIX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31744-2025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45834</v>
      </c>
      <c r="E280" s="1" t="n">
        <v>46293</v>
      </c>
      <c r="F280" t="inlineStr">
        <is>
          <t>NORRBOTTENS LÄN</t>
        </is>
      </c>
      <c r="G280" t="inlineStr">
        <is>
          <t>ÖVERKALIX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46293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46293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42119-2024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46293</v>
      </c>
      <c r="F283" t="inlineStr">
        <is>
          <t>NORRBOTTENS LÄN</t>
        </is>
      </c>
      <c r="G283" t="inlineStr">
        <is>
          <t>ÖVERKALIX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45837</v>
      </c>
      <c r="E284" s="1" t="n">
        <v>46293</v>
      </c>
      <c r="F284" t="inlineStr">
        <is>
          <t>NORRBOTTENS LÄN</t>
        </is>
      </c>
      <c r="G284" t="inlineStr">
        <is>
          <t>ÖVERKALIX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46293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46293</v>
      </c>
      <c r="F286" t="inlineStr">
        <is>
          <t>NORRBOTTENS LÄN</t>
        </is>
      </c>
      <c r="G286" t="inlineStr">
        <is>
          <t>ÖVERKALIX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46293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46160</v>
      </c>
      <c r="E288" s="1" t="n">
        <v>46293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45837</v>
      </c>
      <c r="E289" s="1" t="n">
        <v>46293</v>
      </c>
      <c r="F289" t="inlineStr">
        <is>
          <t>NORRBOTTENS LÄN</t>
        </is>
      </c>
      <c r="G289" t="inlineStr">
        <is>
          <t>ÖVERKALIX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46162</v>
      </c>
      <c r="E290" s="1" t="n">
        <v>46293</v>
      </c>
      <c r="F290" t="inlineStr">
        <is>
          <t>NORRBOTTENS LÄN</t>
        </is>
      </c>
      <c r="G290" t="inlineStr">
        <is>
          <t>ÖVERKALIX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45837</v>
      </c>
      <c r="E291" s="1" t="n">
        <v>46293</v>
      </c>
      <c r="F291" t="inlineStr">
        <is>
          <t>NORRBOTTENS LÄN</t>
        </is>
      </c>
      <c r="G291" t="inlineStr">
        <is>
          <t>ÖVERKALIX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46293</v>
      </c>
      <c r="F292" t="inlineStr">
        <is>
          <t>NORRBOTTENS LÄN</t>
        </is>
      </c>
      <c r="G292" t="inlineStr">
        <is>
          <t>ÖVERKALIX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46293</v>
      </c>
      <c r="F293" t="inlineStr">
        <is>
          <t>NORRBOTTENS LÄN</t>
        </is>
      </c>
      <c r="G293" t="inlineStr">
        <is>
          <t>ÖVERKALIX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45839</v>
      </c>
      <c r="E294" s="1" t="n">
        <v>46293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45840</v>
      </c>
      <c r="E295" s="1" t="n">
        <v>46293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46293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46293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34128-2025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45845</v>
      </c>
      <c r="E298" s="1" t="n">
        <v>46293</v>
      </c>
      <c r="F298" t="inlineStr">
        <is>
          <t>NORRBOTTENS LÄN</t>
        </is>
      </c>
      <c r="G298" t="inlineStr">
        <is>
          <t>ÖVERKALIX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46293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46164</v>
      </c>
      <c r="E300" s="1" t="n">
        <v>46293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45950</v>
      </c>
      <c r="E301" s="1" t="n">
        <v>46293</v>
      </c>
      <c r="F301" t="inlineStr">
        <is>
          <t>NORRBOTTENS LÄN</t>
        </is>
      </c>
      <c r="G301" t="inlineStr">
        <is>
          <t>ÖVERKALIX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46293</v>
      </c>
      <c r="F302" t="inlineStr">
        <is>
          <t>NORRBOTTENS LÄN</t>
        </is>
      </c>
      <c r="G302" t="inlineStr">
        <is>
          <t>ÖVERKALIX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28372-2025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45818</v>
      </c>
      <c r="E303" s="1" t="n">
        <v>46293</v>
      </c>
      <c r="F303" t="inlineStr">
        <is>
          <t>NORRBOTTENS LÄN</t>
        </is>
      </c>
      <c r="G303" t="inlineStr">
        <is>
          <t>ÖVERKALIX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46293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46293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14.2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46293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46293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46293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46168</v>
      </c>
      <c r="E309" s="1" t="n">
        <v>46293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18.6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46293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73216-2021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46293</v>
      </c>
      <c r="F311" t="inlineStr">
        <is>
          <t>NORRBOTTENS LÄN</t>
        </is>
      </c>
      <c r="G311" t="inlineStr">
        <is>
          <t>ÖVERKALIX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46293</v>
      </c>
      <c r="F312" t="inlineStr">
        <is>
          <t>NORRBOTTENS LÄN</t>
        </is>
      </c>
      <c r="G312" t="inlineStr">
        <is>
          <t>ÖVERKALIX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46293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45944</v>
      </c>
      <c r="E314" s="1" t="n">
        <v>46293</v>
      </c>
      <c r="F314" t="inlineStr">
        <is>
          <t>NORRBOTTENS LÄN</t>
        </is>
      </c>
      <c r="G314" t="inlineStr">
        <is>
          <t>ÖVERKALIX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45379</v>
      </c>
      <c r="E315" s="1" t="n">
        <v>46293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44964</v>
      </c>
      <c r="E316" s="1" t="n">
        <v>46293</v>
      </c>
      <c r="F316" t="inlineStr">
        <is>
          <t>NORRBOTTENS LÄN</t>
        </is>
      </c>
      <c r="G316" t="inlineStr">
        <is>
          <t>ÖVERKALIX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46177</v>
      </c>
      <c r="E317" s="1" t="n">
        <v>46293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46293</v>
      </c>
      <c r="F318" t="inlineStr">
        <is>
          <t>NORRBOTTENS LÄN</t>
        </is>
      </c>
      <c r="G318" t="inlineStr">
        <is>
          <t>ÖVERKALIX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46293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45869</v>
      </c>
      <c r="E320" s="1" t="n">
        <v>46293</v>
      </c>
      <c r="F320" t="inlineStr">
        <is>
          <t>NORRBOTTENS LÄN</t>
        </is>
      </c>
      <c r="G320" t="inlineStr">
        <is>
          <t>ÖVERKALIX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45870</v>
      </c>
      <c r="E321" s="1" t="n">
        <v>46293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45870</v>
      </c>
      <c r="E322" s="1" t="n">
        <v>46293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46293</v>
      </c>
      <c r="F323" t="inlineStr">
        <is>
          <t>NORRBOTTENS LÄN</t>
        </is>
      </c>
      <c r="G323" t="inlineStr">
        <is>
          <t>ÖVERKALIX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45869</v>
      </c>
      <c r="E324" s="1" t="n">
        <v>46293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46293</v>
      </c>
      <c r="F325" t="inlineStr">
        <is>
          <t>NORRBOTTENS LÄN</t>
        </is>
      </c>
      <c r="G325" t="inlineStr">
        <is>
          <t>ÖVERKALIX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24548-2024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46293</v>
      </c>
      <c r="F326" t="inlineStr">
        <is>
          <t>NORRBOTTENS LÄN</t>
        </is>
      </c>
      <c r="G326" t="inlineStr">
        <is>
          <t>ÖVERKALIX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46293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46293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46293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45429</v>
      </c>
      <c r="E330" s="1" t="n">
        <v>46293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46293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13.8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46293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17.7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45009</v>
      </c>
      <c r="E333" s="1" t="n">
        <v>46293</v>
      </c>
      <c r="F333" t="inlineStr">
        <is>
          <t>NORRBOTTENS LÄN</t>
        </is>
      </c>
      <c r="G333" t="inlineStr">
        <is>
          <t>ÖVERKALIX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27087-2026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46187</v>
      </c>
      <c r="E334" s="1" t="n">
        <v>46293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45873</v>
      </c>
      <c r="E335" s="1" t="n">
        <v>46293</v>
      </c>
      <c r="F335" t="inlineStr">
        <is>
          <t>NORRBOTTENS LÄN</t>
        </is>
      </c>
      <c r="G335" t="inlineStr">
        <is>
          <t>ÖVERKALIX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45133</v>
      </c>
      <c r="E336" s="1" t="n">
        <v>46293</v>
      </c>
      <c r="F336" t="inlineStr">
        <is>
          <t>NORRBOTTENS LÄN</t>
        </is>
      </c>
      <c r="G336" t="inlineStr">
        <is>
          <t>ÖVERKALIX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19984-2025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45771</v>
      </c>
      <c r="E337" s="1" t="n">
        <v>46293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10.5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45588</v>
      </c>
      <c r="E338" s="1" t="n">
        <v>46293</v>
      </c>
      <c r="F338" t="inlineStr">
        <is>
          <t>NORRBOTTENS LÄN</t>
        </is>
      </c>
      <c r="G338" t="inlineStr">
        <is>
          <t>ÖVERKALIX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46293</v>
      </c>
      <c r="F339" t="inlineStr">
        <is>
          <t>NORRBOTTENS LÄN</t>
        </is>
      </c>
      <c r="G339" t="inlineStr">
        <is>
          <t>ÖVERKALIX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45070</v>
      </c>
      <c r="E340" s="1" t="n">
        <v>46293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45141</v>
      </c>
      <c r="E341" s="1" t="n">
        <v>46293</v>
      </c>
      <c r="F341" t="inlineStr">
        <is>
          <t>NORRBOTTENS LÄN</t>
        </is>
      </c>
      <c r="G341" t="inlineStr">
        <is>
          <t>ÖVERKALIX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72364-2021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44543</v>
      </c>
      <c r="E342" s="1" t="n">
        <v>46293</v>
      </c>
      <c r="F342" t="inlineStr">
        <is>
          <t>NORRBOTTENS LÄN</t>
        </is>
      </c>
      <c r="G342" t="inlineStr">
        <is>
          <t>ÖVERKALIX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46195</v>
      </c>
      <c r="E343" s="1" t="n">
        <v>46293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44595</v>
      </c>
      <c r="E344" s="1" t="n">
        <v>46293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28210-2026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46196</v>
      </c>
      <c r="E345" s="1" t="n">
        <v>46293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32477-2024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45513</v>
      </c>
      <c r="E346" s="1" t="n">
        <v>46293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45622</v>
      </c>
      <c r="E347" s="1" t="n">
        <v>46293</v>
      </c>
      <c r="F347" t="inlineStr">
        <is>
          <t>NORRBOTTENS LÄN</t>
        </is>
      </c>
      <c r="G347" t="inlineStr">
        <is>
          <t>ÖVERKALIX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7039-2022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44603</v>
      </c>
      <c r="E348" s="1" t="n">
        <v>46293</v>
      </c>
      <c r="F348" t="inlineStr">
        <is>
          <t>NORRBOTTENS LÄN</t>
        </is>
      </c>
      <c r="G348" t="inlineStr">
        <is>
          <t>ÖVERKALIX</t>
        </is>
      </c>
      <c r="H348" t="inlineStr">
        <is>
          <t>Övriga statliga verk och myndigheter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46198</v>
      </c>
      <c r="E349" s="1" t="n">
        <v>46293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46293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46293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46293</v>
      </c>
      <c r="F352" t="inlineStr">
        <is>
          <t>NORRBOTTENS LÄN</t>
        </is>
      </c>
      <c r="G352" t="inlineStr">
        <is>
          <t>ÖVERKALIX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45882</v>
      </c>
      <c r="E353" s="1" t="n">
        <v>46293</v>
      </c>
      <c r="F353" t="inlineStr">
        <is>
          <t>NORRBOTTENS LÄN</t>
        </is>
      </c>
      <c r="G353" t="inlineStr">
        <is>
          <t>ÖVERKALIX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46293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13.4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38191-2025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45882</v>
      </c>
      <c r="E355" s="1" t="n">
        <v>46293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46293</v>
      </c>
      <c r="F356" t="inlineStr">
        <is>
          <t>NORRBOTTENS LÄN</t>
        </is>
      </c>
      <c r="G356" t="inlineStr">
        <is>
          <t>ÖVERKALIX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46293</v>
      </c>
      <c r="F357" t="inlineStr">
        <is>
          <t>NORRBOTTENS LÄN</t>
        </is>
      </c>
      <c r="G357" t="inlineStr">
        <is>
          <t>ÖVERKALIX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29927-2026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46205</v>
      </c>
      <c r="E358" s="1" t="n">
        <v>46293</v>
      </c>
      <c r="F358" t="inlineStr">
        <is>
          <t>NORRBOTTENS LÄN</t>
        </is>
      </c>
      <c r="G358" t="inlineStr">
        <is>
          <t>ÖVERKALIX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29937-2026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46205</v>
      </c>
      <c r="E359" s="1" t="n">
        <v>46293</v>
      </c>
      <c r="F359" t="inlineStr">
        <is>
          <t>NORRBOTTENS LÄN</t>
        </is>
      </c>
      <c r="G359" t="inlineStr">
        <is>
          <t>ÖVERKALIX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45677</v>
      </c>
      <c r="E360" s="1" t="n">
        <v>46293</v>
      </c>
      <c r="F360" t="inlineStr">
        <is>
          <t>NORRBOTTENS LÄN</t>
        </is>
      </c>
      <c r="G360" t="inlineStr">
        <is>
          <t>ÖVERKALIX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30326-2026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46207</v>
      </c>
      <c r="E361" s="1" t="n">
        <v>46293</v>
      </c>
      <c r="F361" t="inlineStr">
        <is>
          <t>NORRBOTTENS LÄN</t>
        </is>
      </c>
      <c r="G361" t="inlineStr">
        <is>
          <t>ÖVERKALIX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30327-2026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46207</v>
      </c>
      <c r="E362" s="1" t="n">
        <v>46293</v>
      </c>
      <c r="F362" t="inlineStr">
        <is>
          <t>NORRBOTTENS LÄN</t>
        </is>
      </c>
      <c r="G362" t="inlineStr">
        <is>
          <t>ÖVERKALIX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46293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46293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46293</v>
      </c>
      <c r="F365" t="inlineStr">
        <is>
          <t>NORRBOTTENS LÄN</t>
        </is>
      </c>
      <c r="G365" t="inlineStr">
        <is>
          <t>ÖVERKALIX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30241-2026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46206</v>
      </c>
      <c r="E366" s="1" t="n">
        <v>46293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46293</v>
      </c>
      <c r="F367" t="inlineStr">
        <is>
          <t>NORRBOTTENS LÄN</t>
        </is>
      </c>
      <c r="G367" t="inlineStr">
        <is>
          <t>ÖVERKALIX</t>
        </is>
      </c>
      <c r="I367" t="n">
        <v>8.6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46293</v>
      </c>
      <c r="F368" t="inlineStr">
        <is>
          <t>NORRBOTTENS LÄN</t>
        </is>
      </c>
      <c r="G368" t="inlineStr">
        <is>
          <t>ÖVERKALIX</t>
        </is>
      </c>
      <c r="I368" t="n">
        <v>22.3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45097</v>
      </c>
      <c r="E369" s="1" t="n">
        <v>46293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30328-2026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46207</v>
      </c>
      <c r="E370" s="1" t="n">
        <v>46293</v>
      </c>
      <c r="F370" t="inlineStr">
        <is>
          <t>NORRBOTTENS LÄN</t>
        </is>
      </c>
      <c r="G370" t="inlineStr">
        <is>
          <t>ÖVERKALIX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46293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46254</v>
      </c>
      <c r="E372" s="1" t="n">
        <v>46293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46293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46254</v>
      </c>
      <c r="E374" s="1" t="n">
        <v>46293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46293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45748-2023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45189</v>
      </c>
      <c r="E376" s="1" t="n">
        <v>46293</v>
      </c>
      <c r="F376" t="inlineStr">
        <is>
          <t>NORRBOTTENS LÄN</t>
        </is>
      </c>
      <c r="G376" t="inlineStr">
        <is>
          <t>ÖVERKALIX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46293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46293</v>
      </c>
      <c r="F378" t="inlineStr">
        <is>
          <t>NORRBOTTENS LÄN</t>
        </is>
      </c>
      <c r="G378" t="inlineStr">
        <is>
          <t>ÖVERKALIX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45622</v>
      </c>
      <c r="E379" s="1" t="n">
        <v>46293</v>
      </c>
      <c r="F379" t="inlineStr">
        <is>
          <t>NORRBOTTENS LÄN</t>
        </is>
      </c>
      <c r="G379" t="inlineStr">
        <is>
          <t>ÖVERKALIX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46293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33.7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46293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9.199999999999999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46293</v>
      </c>
      <c r="F382" t="inlineStr">
        <is>
          <t>NORRBOTTENS LÄN</t>
        </is>
      </c>
      <c r="G382" t="inlineStr">
        <is>
          <t>ÖVERKALIX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45621</v>
      </c>
      <c r="E383" s="1" t="n">
        <v>46293</v>
      </c>
      <c r="F383" t="inlineStr">
        <is>
          <t>NORRBOTTENS LÄN</t>
        </is>
      </c>
      <c r="G383" t="inlineStr">
        <is>
          <t>ÖVERKALIX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45561</v>
      </c>
      <c r="E384" s="1" t="n">
        <v>46293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45709</v>
      </c>
      <c r="E385" s="1" t="n">
        <v>46293</v>
      </c>
      <c r="F385" t="inlineStr">
        <is>
          <t>NORRBOTTENS LÄN</t>
        </is>
      </c>
      <c r="G385" t="inlineStr">
        <is>
          <t>ÖVERKALIX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46258</v>
      </c>
      <c r="E386" s="1" t="n">
        <v>46293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11.5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45693</v>
      </c>
      <c r="E387" s="1" t="n">
        <v>46293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46293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46293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35235-2026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46260</v>
      </c>
      <c r="E390" s="1" t="n">
        <v>46293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45702</v>
      </c>
      <c r="E391" s="1" t="n">
        <v>46293</v>
      </c>
      <c r="F391" t="inlineStr">
        <is>
          <t>NORRBOTTENS LÄN</t>
        </is>
      </c>
      <c r="G391" t="inlineStr">
        <is>
          <t>ÖVERKALIX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58764-2023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45251</v>
      </c>
      <c r="E392" s="1" t="n">
        <v>46293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25506-2024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46293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46293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45641</v>
      </c>
      <c r="E395" s="1" t="n">
        <v>46293</v>
      </c>
      <c r="F395" t="inlineStr">
        <is>
          <t>NORRBOTTENS LÄN</t>
        </is>
      </c>
      <c r="G395" t="inlineStr">
        <is>
          <t>ÖVERKALIX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42721-2023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45181</v>
      </c>
      <c r="E396" s="1" t="n">
        <v>46293</v>
      </c>
      <c r="F396" t="inlineStr">
        <is>
          <t>NORRBOTTENS LÄN</t>
        </is>
      </c>
      <c r="G396" t="inlineStr">
        <is>
          <t>ÖVERKALIX</t>
        </is>
      </c>
      <c r="I396" t="n">
        <v>13.1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46266</v>
      </c>
      <c r="E397" s="1" t="n">
        <v>46293</v>
      </c>
      <c r="F397" t="inlineStr">
        <is>
          <t>NORRBOTTENS LÄN</t>
        </is>
      </c>
      <c r="G397" t="inlineStr">
        <is>
          <t>ÖVERKALIX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35191-2026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46260</v>
      </c>
      <c r="E398" s="1" t="n">
        <v>46293</v>
      </c>
      <c r="F398" t="inlineStr">
        <is>
          <t>NORRBOTTENS LÄN</t>
        </is>
      </c>
      <c r="G398" t="inlineStr">
        <is>
          <t>ÖVERKALIX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64524-2023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45281</v>
      </c>
      <c r="E399" s="1" t="n">
        <v>46293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35950-2026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46266</v>
      </c>
      <c r="E400" s="1" t="n">
        <v>46293</v>
      </c>
      <c r="F400" t="inlineStr">
        <is>
          <t>NORRBOTTENS LÄN</t>
        </is>
      </c>
      <c r="G400" t="inlineStr">
        <is>
          <t>ÖVERKALIX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46225</v>
      </c>
      <c r="E401" s="1" t="n">
        <v>46293</v>
      </c>
      <c r="F401" t="inlineStr">
        <is>
          <t>NORRBOTTENS LÄN</t>
        </is>
      </c>
      <c r="G401" t="inlineStr">
        <is>
          <t>ÖVERKALIX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46267</v>
      </c>
      <c r="E402" s="1" t="n">
        <v>46293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46293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20.5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46269</v>
      </c>
      <c r="E404" s="1" t="n">
        <v>46293</v>
      </c>
      <c r="F404" t="inlineStr">
        <is>
          <t>NORRBOTTENS LÄN</t>
        </is>
      </c>
      <c r="G404" t="inlineStr">
        <is>
          <t>ÖVERKALIX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26554-2023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45092</v>
      </c>
      <c r="E405" s="1" t="n">
        <v>46293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31832-2026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46230</v>
      </c>
      <c r="E406" s="1" t="n">
        <v>46293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46293</v>
      </c>
      <c r="F407" t="inlineStr">
        <is>
          <t>NORRBOTTENS LÄN</t>
        </is>
      </c>
      <c r="G407" t="inlineStr">
        <is>
          <t>ÖVERKALIX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1944-2022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44575</v>
      </c>
      <c r="E408" s="1" t="n">
        <v>46293</v>
      </c>
      <c r="F408" t="inlineStr">
        <is>
          <t>NORRBOTTENS LÄN</t>
        </is>
      </c>
      <c r="G408" t="inlineStr">
        <is>
          <t>ÖVERKALIX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45693</v>
      </c>
      <c r="E409" s="1" t="n">
        <v>46293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45631</v>
      </c>
      <c r="E410" s="1" t="n">
        <v>46293</v>
      </c>
      <c r="F410" t="inlineStr">
        <is>
          <t>NORRBOTTENS LÄN</t>
        </is>
      </c>
      <c r="G410" t="inlineStr">
        <is>
          <t>ÖVERKALIX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46293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46280</v>
      </c>
      <c r="E412" s="1" t="n">
        <v>46293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12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37683-2026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46278</v>
      </c>
      <c r="E413" s="1" t="n">
        <v>46293</v>
      </c>
      <c r="F413" t="inlineStr">
        <is>
          <t>NORRBOTTENS LÄN</t>
        </is>
      </c>
      <c r="G413" t="inlineStr">
        <is>
          <t>ÖVERKALIX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54026-2023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45231</v>
      </c>
      <c r="E414" s="1" t="n">
        <v>46293</v>
      </c>
      <c r="F414" t="inlineStr">
        <is>
          <t>NORRBOTTENS LÄN</t>
        </is>
      </c>
      <c r="G414" t="inlineStr">
        <is>
          <t>ÖVERKALIX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72212-2021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44543</v>
      </c>
      <c r="E415" s="1" t="n">
        <v>46293</v>
      </c>
      <c r="F415" t="inlineStr">
        <is>
          <t>NORRBOTTENS LÄN</t>
        </is>
      </c>
      <c r="G415" t="inlineStr">
        <is>
          <t>ÖVERKALIX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46293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46293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8.9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46293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20.1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46293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27057-2024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45471</v>
      </c>
      <c r="E420" s="1" t="n">
        <v>46293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32.6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46293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45463</v>
      </c>
      <c r="E422" s="1" t="n">
        <v>46293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44880</v>
      </c>
      <c r="E423" s="1" t="n">
        <v>46293</v>
      </c>
      <c r="F423" t="inlineStr">
        <is>
          <t>NORRBOTTENS LÄN</t>
        </is>
      </c>
      <c r="G423" t="inlineStr">
        <is>
          <t>ÖVERKALIX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46293</v>
      </c>
      <c r="F424" t="inlineStr">
        <is>
          <t>NORRBOTTENS LÄN</t>
        </is>
      </c>
      <c r="G424" t="inlineStr">
        <is>
          <t>ÖVERKALIX</t>
        </is>
      </c>
      <c r="I424" t="n">
        <v>12.5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44830</v>
      </c>
      <c r="E425" s="1" t="n">
        <v>46293</v>
      </c>
      <c r="F425" t="inlineStr">
        <is>
          <t>NORRBOTTENS LÄN</t>
        </is>
      </c>
      <c r="G425" t="inlineStr">
        <is>
          <t>ÖVERKALIX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46293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46293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46287</v>
      </c>
      <c r="E428" s="1" t="n">
        <v>46293</v>
      </c>
      <c r="F428" t="inlineStr">
        <is>
          <t>NORRBOTTENS LÄN</t>
        </is>
      </c>
      <c r="G428" t="inlineStr">
        <is>
          <t>ÖVERKALIX</t>
        </is>
      </c>
      <c r="I428" t="n">
        <v>12.9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44960</v>
      </c>
      <c r="E429" s="1" t="n">
        <v>46293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39203-2026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46293</v>
      </c>
      <c r="F430" t="inlineStr">
        <is>
          <t>NORRBOTTENS LÄN</t>
        </is>
      </c>
      <c r="G430" t="inlineStr">
        <is>
          <t>ÖVERKALIX</t>
        </is>
      </c>
      <c r="I430" t="n">
        <v>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46293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39658-2025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45890</v>
      </c>
      <c r="E432" s="1" t="n">
        <v>46293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13.4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33408-2026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46247</v>
      </c>
      <c r="E433" s="1" t="n">
        <v>46293</v>
      </c>
      <c r="F433" t="inlineStr">
        <is>
          <t>NORRBOTTENS LÄN</t>
        </is>
      </c>
      <c r="G433" t="inlineStr">
        <is>
          <t>ÖVERKALIX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45169</v>
      </c>
      <c r="E434" s="1" t="n">
        <v>46293</v>
      </c>
      <c r="F434" t="inlineStr">
        <is>
          <t>NORRBOTTENS LÄN</t>
        </is>
      </c>
      <c r="G434" t="inlineStr">
        <is>
          <t>ÖVERKALIX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46293</v>
      </c>
      <c r="F435" t="inlineStr">
        <is>
          <t>NORRBOTTENS LÄN</t>
        </is>
      </c>
      <c r="G435" t="inlineStr">
        <is>
          <t>ÖVERKALIX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45308</v>
      </c>
      <c r="E436" s="1" t="n">
        <v>46293</v>
      </c>
      <c r="F436" t="inlineStr">
        <is>
          <t>NORRBOTTENS LÄN</t>
        </is>
      </c>
      <c r="G436" t="inlineStr">
        <is>
          <t>ÖVERKALIX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46290</v>
      </c>
      <c r="E437" s="1" t="n">
        <v>46293</v>
      </c>
      <c r="F437" t="inlineStr">
        <is>
          <t>NORRBOTTENS LÄN</t>
        </is>
      </c>
      <c r="G437" t="inlineStr">
        <is>
          <t>ÖVERKALIX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46293</v>
      </c>
      <c r="F438" t="inlineStr">
        <is>
          <t>NORRBOTTENS LÄN</t>
        </is>
      </c>
      <c r="G438" t="inlineStr">
        <is>
          <t>ÖVERKALIX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46293</v>
      </c>
      <c r="F439" t="inlineStr">
        <is>
          <t>NORRBOTTENS LÄN</t>
        </is>
      </c>
      <c r="G439" t="inlineStr">
        <is>
          <t>ÖVERKALIX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46293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44834</v>
      </c>
      <c r="E441" s="1" t="n">
        <v>46293</v>
      </c>
      <c r="F441" t="inlineStr">
        <is>
          <t>NORRBOTTENS LÄN</t>
        </is>
      </c>
      <c r="G441" t="inlineStr">
        <is>
          <t>ÖVERKALIX</t>
        </is>
      </c>
      <c r="I441" t="n">
        <v>13.1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33284-2026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46246</v>
      </c>
      <c r="E442" s="1" t="n">
        <v>46293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46288</v>
      </c>
      <c r="E443" s="1" t="n">
        <v>46293</v>
      </c>
      <c r="F443" t="inlineStr">
        <is>
          <t>NORRBOTTENS LÄN</t>
        </is>
      </c>
      <c r="G443" t="inlineStr">
        <is>
          <t>ÖVERKALIX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30881-2024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45498</v>
      </c>
      <c r="E444" s="1" t="n">
        <v>46293</v>
      </c>
      <c r="F444" t="inlineStr">
        <is>
          <t>NORRBOTTENS LÄN</t>
        </is>
      </c>
      <c r="G444" t="inlineStr">
        <is>
          <t>ÖVERKALIX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44930</v>
      </c>
      <c r="E445" s="1" t="n">
        <v>46293</v>
      </c>
      <c r="F445" t="inlineStr">
        <is>
          <t>NORRBOTTENS LÄN</t>
        </is>
      </c>
      <c r="G445" t="inlineStr">
        <is>
          <t>ÖVERKALIX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62269-2021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44502</v>
      </c>
      <c r="E446" s="1" t="n">
        <v>46293</v>
      </c>
      <c r="F446" t="inlineStr">
        <is>
          <t>NORRBOTTENS LÄN</t>
        </is>
      </c>
      <c r="G446" t="inlineStr">
        <is>
          <t>ÖVERKALIX</t>
        </is>
      </c>
      <c r="I446" t="n">
        <v>9.199999999999999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45005</v>
      </c>
      <c r="E447" s="1" t="n">
        <v>46293</v>
      </c>
      <c r="F447" t="inlineStr">
        <is>
          <t>NORRBOTTENS LÄN</t>
        </is>
      </c>
      <c r="G447" t="inlineStr">
        <is>
          <t>ÖVERKALIX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36839-2023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45153</v>
      </c>
      <c r="E448" s="1" t="n">
        <v>46293</v>
      </c>
      <c r="F448" t="inlineStr">
        <is>
          <t>NORRBOTTENS LÄN</t>
        </is>
      </c>
      <c r="G448" t="inlineStr">
        <is>
          <t>ÖVERKALIX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45639</v>
      </c>
      <c r="E449" s="1" t="n">
        <v>46293</v>
      </c>
      <c r="F449" t="inlineStr">
        <is>
          <t>NORRBOTTENS LÄN</t>
        </is>
      </c>
      <c r="G449" t="inlineStr">
        <is>
          <t>ÖVERKALIX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6641-2022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44601</v>
      </c>
      <c r="E450" s="1" t="n">
        <v>46293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46293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44973</v>
      </c>
      <c r="E452" s="1" t="n">
        <v>46293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45154</v>
      </c>
      <c r="E453" s="1" t="n">
        <v>46293</v>
      </c>
      <c r="F453" t="inlineStr">
        <is>
          <t>NORRBOTTENS LÄN</t>
        </is>
      </c>
      <c r="G453" t="inlineStr">
        <is>
          <t>ÖVERKALIX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46293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45513</v>
      </c>
      <c r="E455" s="1" t="n">
        <v>46293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60400-2022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44910</v>
      </c>
      <c r="E456" s="1" t="n">
        <v>46293</v>
      </c>
      <c r="F456" t="inlineStr">
        <is>
          <t>NORRBOTTENS LÄN</t>
        </is>
      </c>
      <c r="G456" t="inlineStr">
        <is>
          <t>ÖVERKALIX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38088-2023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45160</v>
      </c>
      <c r="E457" s="1" t="n">
        <v>46293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55226-2024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45621</v>
      </c>
      <c r="E458" s="1" t="n">
        <v>46293</v>
      </c>
      <c r="F458" t="inlineStr">
        <is>
          <t>NORRBOTTENS LÄN</t>
        </is>
      </c>
      <c r="G458" t="inlineStr">
        <is>
          <t>ÖVERKALIX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46293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50862-2023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45218</v>
      </c>
      <c r="E460" s="1" t="n">
        <v>46293</v>
      </c>
      <c r="F460" t="inlineStr">
        <is>
          <t>NORRBOTTENS LÄN</t>
        </is>
      </c>
      <c r="G460" t="inlineStr">
        <is>
          <t>ÖVERKALIX</t>
        </is>
      </c>
      <c r="I460" t="n">
        <v>8.199999999999999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45223</v>
      </c>
      <c r="E461" s="1" t="n">
        <v>46293</v>
      </c>
      <c r="F461" t="inlineStr">
        <is>
          <t>NORRBOTTENS LÄN</t>
        </is>
      </c>
      <c r="G461" t="inlineStr">
        <is>
          <t>ÖVERKALIX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45180</v>
      </c>
      <c r="E462" s="1" t="n">
        <v>46293</v>
      </c>
      <c r="F462" t="inlineStr">
        <is>
          <t>NORRBOTTENS LÄN</t>
        </is>
      </c>
      <c r="G462" t="inlineStr">
        <is>
          <t>ÖVERKALIX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45315</v>
      </c>
      <c r="E463" s="1" t="n">
        <v>46293</v>
      </c>
      <c r="F463" t="inlineStr">
        <is>
          <t>NORRBOTTENS LÄN</t>
        </is>
      </c>
      <c r="G463" t="inlineStr">
        <is>
          <t>ÖVERKALIX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45321</v>
      </c>
      <c r="E464" s="1" t="n">
        <v>46293</v>
      </c>
      <c r="F464" t="inlineStr">
        <is>
          <t>NORRBOTTENS LÄN</t>
        </is>
      </c>
      <c r="G464" t="inlineStr">
        <is>
          <t>ÖVERKALIX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52647-2024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45610</v>
      </c>
      <c r="E465" s="1" t="n">
        <v>46293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45667</v>
      </c>
      <c r="E466" s="1" t="n">
        <v>46293</v>
      </c>
      <c r="F466" t="inlineStr">
        <is>
          <t>NORRBOTTENS LÄN</t>
        </is>
      </c>
      <c r="G466" t="inlineStr">
        <is>
          <t>ÖVERKALIX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45463</v>
      </c>
      <c r="E467" s="1" t="n">
        <v>46293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46293</v>
      </c>
      <c r="F468" t="inlineStr">
        <is>
          <t>NORRBOTTENS LÄN</t>
        </is>
      </c>
      <c r="G468" t="inlineStr">
        <is>
          <t>ÖVERKALIX</t>
        </is>
      </c>
      <c r="I468" t="n">
        <v>9.4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45554</v>
      </c>
      <c r="E469" s="1" t="n">
        <v>46293</v>
      </c>
      <c r="F469" t="inlineStr">
        <is>
          <t>NORRBOTTENS LÄN</t>
        </is>
      </c>
      <c r="G469" t="inlineStr">
        <is>
          <t>ÖVERKALIX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45548</v>
      </c>
      <c r="E470" s="1" t="n">
        <v>46293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45782</v>
      </c>
      <c r="E471" s="1" t="n">
        <v>46293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45785</v>
      </c>
      <c r="E472" s="1" t="n">
        <v>46293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3721-2022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44741</v>
      </c>
      <c r="E473" s="1" t="n">
        <v>46293</v>
      </c>
      <c r="F473" t="inlineStr">
        <is>
          <t>NORRBOTTENS LÄN</t>
        </is>
      </c>
      <c r="G473" t="inlineStr">
        <is>
          <t>ÖVERKALIX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2792-2024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45485</v>
      </c>
      <c r="E474" s="1" t="n">
        <v>46293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2700-2024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45482</v>
      </c>
      <c r="E475" s="1" t="n">
        <v>46293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4734-2024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45607</v>
      </c>
      <c r="E476" s="1" t="n">
        <v>46293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1178-2025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45756</v>
      </c>
      <c r="E477" s="1" t="n">
        <v>46293</v>
      </c>
      <c r="F477" t="inlineStr">
        <is>
          <t>NORRBOTTENS LÄN</t>
        </is>
      </c>
      <c r="G477" t="inlineStr">
        <is>
          <t>ÖVERKALIX</t>
        </is>
      </c>
      <c r="I477" t="n">
        <v>39.9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1667-2025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45800</v>
      </c>
      <c r="E478" s="1" t="n">
        <v>46293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50-2026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46030</v>
      </c>
      <c r="E479" s="1" t="n">
        <v>46293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2026-09-28T02:01:28Z</dcterms:created>
  <dcterms:modified xmlns:dcterms="http://purl.org/dc/terms/" xmlns:xsi="http://www.w3.org/2001/XMLSchema-instance" xsi:type="dcterms:W3CDTF">2026-09-28T02:01:29Z</dcterms:modified>
</cp:coreProperties>
</file>