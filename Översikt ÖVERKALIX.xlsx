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46234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46234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46234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46234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46234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46234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46234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43065-2025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45909</v>
      </c>
      <c r="E9" s="1" t="n">
        <v>46234</v>
      </c>
      <c r="F9" t="inlineStr">
        <is>
          <t>NORRBOTTENS LÄN</t>
        </is>
      </c>
      <c r="G9" t="inlineStr">
        <is>
          <t>ÖVERKALIX</t>
        </is>
      </c>
      <c r="I9" t="n">
        <v>8.9</v>
      </c>
      <c r="J9" t="n">
        <v>1</v>
      </c>
      <c r="K9" t="n">
        <v>0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6</v>
      </c>
      <c r="T9" t="n">
        <v>9</v>
      </c>
      <c r="U9" t="n">
        <v>9</v>
      </c>
      <c r="V9" s="2" t="inlineStr">
        <is>
          <t>Garnlav
Dropptaggsvamp
Skarp dropptaggsvamp
Talltagel
Talltita
Vedskivlav</t>
        </is>
      </c>
      <c r="W9">
        <f>HYPERLINK("https://klasma.github.io/Logging_2513/artfynd/A 43065-2025 artfynd.xlsx", "A 43065-2025")</f>
        <v/>
      </c>
      <c r="X9">
        <f>HYPERLINK("https://klasma.github.io/Logging_2513/kartor/A 43065-2025 karta.png", "A 43065-2025")</f>
        <v/>
      </c>
      <c r="Y9">
        <f>HYPERLINK("https://klasma.github.io/Logging_2513/kartor_geotiff/A 43065-2025 georefererad karta.tif", "A 43065-2025")</f>
        <v/>
      </c>
      <c r="AA9">
        <f>HYPERLINK("https://klasma.github.io/Logging_2513/klagomål/A 43065-2025 FSC-klagomål.docx", "A 43065-2025")</f>
        <v/>
      </c>
      <c r="AB9">
        <f>HYPERLINK("https://klasma.github.io/Logging_2513/klagomålsmail/A 43065-2025 FSC-klagomål mail.docx", "A 43065-2025")</f>
        <v/>
      </c>
      <c r="AC9">
        <f>HYPERLINK("https://klasma.github.io/Logging_2513/tillsyn/A 43065-2025 tillsynsbegäran.docx", "A 43065-2025")</f>
        <v/>
      </c>
      <c r="AD9">
        <f>HYPERLINK("https://klasma.github.io/Logging_2513/tillsynsmail/A 43065-2025 tillsynsbegäran mail.docx", "A 43065-2025")</f>
        <v/>
      </c>
      <c r="AE9">
        <f>HYPERLINK("https://klasma.github.io/Logging_2513/fåglar/A 43065-2025 prioriterade fågelarter.docx", "A 43065-2025")</f>
        <v/>
      </c>
    </row>
    <row r="10" ht="15" customHeight="1">
      <c r="A10" t="inlineStr">
        <is>
          <t>A 63242-2025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46010</v>
      </c>
      <c r="E10" s="1" t="n">
        <v>46234</v>
      </c>
      <c r="F10" t="inlineStr">
        <is>
          <t>NORRBOTTENS LÄN</t>
        </is>
      </c>
      <c r="G10" t="inlineStr">
        <is>
          <t>ÖVERKALIX</t>
        </is>
      </c>
      <c r="I10" t="n">
        <v>9.5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11</v>
      </c>
      <c r="U10" t="n">
        <v>11</v>
      </c>
      <c r="V10" s="2" t="inlineStr">
        <is>
          <t>Garnlav
Dropptaggsvamp
Nordtagging
Skarp dropptaggsvamp
Talltagel
Nästlav</t>
        </is>
      </c>
      <c r="W10">
        <f>HYPERLINK("https://klasma.github.io/Logging_2513/artfynd/A 63242-2025 artfynd.xlsx", "A 63242-2025")</f>
        <v/>
      </c>
      <c r="X10">
        <f>HYPERLINK("https://klasma.github.io/Logging_2513/kartor/A 63242-2025 karta.png", "A 63242-2025")</f>
        <v/>
      </c>
      <c r="Y10">
        <f>HYPERLINK("https://klasma.github.io/Logging_2513/kartor_geotiff/A 63242-2025 georefererad karta.tif", "A 63242-2025")</f>
        <v/>
      </c>
      <c r="AA10">
        <f>HYPERLINK("https://klasma.github.io/Logging_2513/klagomål/A 63242-2025 FSC-klagomål.docx", "A 63242-2025")</f>
        <v/>
      </c>
      <c r="AB10">
        <f>HYPERLINK("https://klasma.github.io/Logging_2513/klagomålsmail/A 63242-2025 FSC-klagomål mail.docx", "A 63242-2025")</f>
        <v/>
      </c>
      <c r="AC10">
        <f>HYPERLINK("https://klasma.github.io/Logging_2513/tillsyn/A 63242-2025 tillsynsbegäran.docx", "A 63242-2025")</f>
        <v/>
      </c>
      <c r="AD10">
        <f>HYPERLINK("https://klasma.github.io/Logging_2513/tillsynsmail/A 63242-2025 tillsynsbegäran mail.docx", "A 63242-2025")</f>
        <v/>
      </c>
    </row>
    <row r="11" ht="15" customHeight="1">
      <c r="A11" t="inlineStr">
        <is>
          <t>A 38989-2023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46234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2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Goliatmusseron
Blå taggsvamp
Dropptaggsvamp
Motaggsvamp
Orange taggsvamp</t>
        </is>
      </c>
      <c r="W11">
        <f>HYPERLINK("https://klasma.github.io/Logging_2513/artfynd/A 38989-2023 artfynd.xlsx", "A 38989-2023")</f>
        <v/>
      </c>
      <c r="X11">
        <f>HYPERLINK("https://klasma.github.io/Logging_2513/kartor/A 38989-2023 karta.png", "A 38989-2023")</f>
        <v/>
      </c>
      <c r="Y11">
        <f>HYPERLINK("https://klasma.github.io/Logging_2513/kartor_geotiff/A 38989-2023 georefererad karta.tif", "A 38989-2023")</f>
        <v/>
      </c>
      <c r="AA11">
        <f>HYPERLINK("https://klasma.github.io/Logging_2513/klagomål/A 38989-2023 FSC-klagomål.docx", "A 38989-2023")</f>
        <v/>
      </c>
      <c r="AB11">
        <f>HYPERLINK("https://klasma.github.io/Logging_2513/klagomålsmail/A 38989-2023 FSC-klagomål mail.docx", "A 38989-2023")</f>
        <v/>
      </c>
      <c r="AC11">
        <f>HYPERLINK("https://klasma.github.io/Logging_2513/tillsyn/A 38989-2023 tillsynsbegäran.docx", "A 38989-2023")</f>
        <v/>
      </c>
      <c r="AD11">
        <f>HYPERLINK("https://klasma.github.io/Logging_2513/tillsynsmail/A 38989-2023 tillsynsbegäran mail.docx", "A 38989-2023")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46234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46234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1827-2025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45671</v>
      </c>
      <c r="E14" s="1" t="n">
        <v>46234</v>
      </c>
      <c r="F14" t="inlineStr">
        <is>
          <t>NORRBOTTENS LÄN</t>
        </is>
      </c>
      <c r="G14" t="inlineStr">
        <is>
          <t>ÖVERKALIX</t>
        </is>
      </c>
      <c r="I14" t="n">
        <v>7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Garnlav
Stuplav
Spillkråka
Tjäder</t>
        </is>
      </c>
      <c r="W14">
        <f>HYPERLINK("https://klasma.github.io/Logging_2513/artfynd/A 1827-2025 artfynd.xlsx", "A 1827-2025")</f>
        <v/>
      </c>
      <c r="X14">
        <f>HYPERLINK("https://klasma.github.io/Logging_2513/kartor/A 1827-2025 karta.png", "A 1827-2025")</f>
        <v/>
      </c>
      <c r="Y14">
        <f>HYPERLINK("https://klasma.github.io/Logging_2513/kartor_geotiff/A 1827-2025 georefererad karta.tif", "A 1827-2025")</f>
        <v/>
      </c>
      <c r="AA14">
        <f>HYPERLINK("https://klasma.github.io/Logging_2513/klagomål/A 1827-2025 FSC-klagomål.docx", "A 1827-2025")</f>
        <v/>
      </c>
      <c r="AB14">
        <f>HYPERLINK("https://klasma.github.io/Logging_2513/klagomålsmail/A 1827-2025 FSC-klagomål mail.docx", "A 1827-2025")</f>
        <v/>
      </c>
      <c r="AC14">
        <f>HYPERLINK("https://klasma.github.io/Logging_2513/tillsyn/A 1827-2025 tillsynsbegäran.docx", "A 1827-2025")</f>
        <v/>
      </c>
      <c r="AD14">
        <f>HYPERLINK("https://klasma.github.io/Logging_2513/tillsynsmail/A 1827-2025 tillsynsbegäran mail.docx", "A 1827-2025")</f>
        <v/>
      </c>
      <c r="AE14">
        <f>HYPERLINK("https://klasma.github.io/Logging_2513/fåglar/A 1827-2025 prioriterade fågelarter.docx", "A 1827-2025")</f>
        <v/>
      </c>
    </row>
    <row r="15" ht="15" customHeight="1">
      <c r="A15" t="inlineStr">
        <is>
          <t>A 23383-2026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46162</v>
      </c>
      <c r="E15" s="1" t="n">
        <v>46234</v>
      </c>
      <c r="F15" t="inlineStr">
        <is>
          <t>NORRBOTTENS LÄN</t>
        </is>
      </c>
      <c r="G15" t="inlineStr">
        <is>
          <t>ÖVERKALIX</t>
        </is>
      </c>
      <c r="I15" t="n">
        <v>2.6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13</v>
      </c>
      <c r="U15" t="n">
        <v>13</v>
      </c>
      <c r="V15" s="2" t="inlineStr">
        <is>
          <t>Garnlav
Knärot
Myskmåra
Tretåig hackspett</t>
        </is>
      </c>
      <c r="W15">
        <f>HYPERLINK("https://klasma.github.io/Logging_2513/artfynd/A 23383-2026 artfynd.xlsx", "A 23383-2026")</f>
        <v/>
      </c>
      <c r="X15">
        <f>HYPERLINK("https://klasma.github.io/Logging_2513/kartor/A 23383-2026 karta.png", "A 23383-2026")</f>
        <v/>
      </c>
      <c r="Y15">
        <f>HYPERLINK("https://klasma.github.io/Logging_2513/kartor_geotiff/A 23383-2026 georefererad karta.tif", "A 23383-2026")</f>
        <v/>
      </c>
      <c r="Z15">
        <f>HYPERLINK("https://klasma.github.io/Logging_2513/knärot/A 23383-2026 karta knärot.png", "A 23383-2026")</f>
        <v/>
      </c>
      <c r="AA15">
        <f>HYPERLINK("https://klasma.github.io/Logging_2513/klagomål/A 23383-2026 FSC-klagomål.docx", "A 23383-2026")</f>
        <v/>
      </c>
      <c r="AB15">
        <f>HYPERLINK("https://klasma.github.io/Logging_2513/klagomålsmail/A 23383-2026 FSC-klagomål mail.docx", "A 23383-2026")</f>
        <v/>
      </c>
      <c r="AC15">
        <f>HYPERLINK("https://klasma.github.io/Logging_2513/tillsyn/A 23383-2026 tillsynsbegäran.docx", "A 23383-2026")</f>
        <v/>
      </c>
      <c r="AD15">
        <f>HYPERLINK("https://klasma.github.io/Logging_2513/tillsynsmail/A 23383-2026 tillsynsbegäran mail.docx", "A 23383-2026")</f>
        <v/>
      </c>
      <c r="AE15">
        <f>HYPERLINK("https://klasma.github.io/Logging_2513/fåglar/A 23383-2026 prioriterade fågelarter.docx", "A 23383-2026")</f>
        <v/>
      </c>
    </row>
    <row r="16" ht="15" customHeight="1">
      <c r="A16" t="inlineStr">
        <is>
          <t>A 23373-2026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46234</v>
      </c>
      <c r="F16" t="inlineStr">
        <is>
          <t>NORRBOTTENS LÄN</t>
        </is>
      </c>
      <c r="G16" t="inlineStr">
        <is>
          <t>ÖVERKALIX</t>
        </is>
      </c>
      <c r="I16" t="n">
        <v>2</v>
      </c>
      <c r="J16" t="n">
        <v>2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5</v>
      </c>
      <c r="U16" t="n">
        <v>5</v>
      </c>
      <c r="V16" s="2" t="inlineStr">
        <is>
          <t>Garnlav
Knärot
Tretåig hackspett
Sälg</t>
        </is>
      </c>
      <c r="W16">
        <f>HYPERLINK("https://klasma.github.io/Logging_2513/artfynd/A 23373-2026 artfynd.xlsx", "A 23373-2026")</f>
        <v/>
      </c>
      <c r="X16">
        <f>HYPERLINK("https://klasma.github.io/Logging_2513/kartor/A 23373-2026 karta.png", "A 23373-2026")</f>
        <v/>
      </c>
      <c r="Y16">
        <f>HYPERLINK("https://klasma.github.io/Logging_2513/kartor_geotiff/A 23373-2026 georefererad karta.tif", "A 23373-2026")</f>
        <v/>
      </c>
      <c r="Z16">
        <f>HYPERLINK("https://klasma.github.io/Logging_2513/knärot/A 23373-2026 karta knärot.png", "A 23373-2026")</f>
        <v/>
      </c>
      <c r="AA16">
        <f>HYPERLINK("https://klasma.github.io/Logging_2513/klagomål/A 23373-2026 FSC-klagomål.docx", "A 23373-2026")</f>
        <v/>
      </c>
      <c r="AB16">
        <f>HYPERLINK("https://klasma.github.io/Logging_2513/klagomålsmail/A 23373-2026 FSC-klagomål mail.docx", "A 23373-2026")</f>
        <v/>
      </c>
      <c r="AC16">
        <f>HYPERLINK("https://klasma.github.io/Logging_2513/tillsyn/A 23373-2026 tillsynsbegäran.docx", "A 23373-2026")</f>
        <v/>
      </c>
      <c r="AD16">
        <f>HYPERLINK("https://klasma.github.io/Logging_2513/tillsynsmail/A 23373-2026 tillsynsbegäran mail.docx", "A 23373-2026")</f>
        <v/>
      </c>
      <c r="AE16">
        <f>HYPERLINK("https://klasma.github.io/Logging_2513/fåglar/A 23373-2026 prioriterade fågelarter.docx", "A 23373-2026")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46234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46234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46234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46234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46234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Gammelgransskål
Bollvitmossa
Järpe</t>
        </is>
      </c>
      <c r="W21">
        <f>HYPERLINK("https://klasma.github.io/Logging_2513/artfynd/A 30525-2025 artfynd.xlsx", "A 30525-2025")</f>
        <v/>
      </c>
      <c r="X21">
        <f>HYPERLINK("https://klasma.github.io/Logging_2513/kartor/A 30525-2025 karta.png", "A 30525-2025")</f>
        <v/>
      </c>
      <c r="Y21">
        <f>HYPERLINK("https://klasma.github.io/Logging_2513/kartor_geotiff/A 30525-2025 georefererad karta.tif", "A 30525-2025")</f>
        <v/>
      </c>
      <c r="AA21">
        <f>HYPERLINK("https://klasma.github.io/Logging_2513/klagomål/A 30525-2025 FSC-klagomål.docx", "A 30525-2025")</f>
        <v/>
      </c>
      <c r="AB21">
        <f>HYPERLINK("https://klasma.github.io/Logging_2513/klagomålsmail/A 30525-2025 FSC-klagomål mail.docx", "A 30525-2025")</f>
        <v/>
      </c>
      <c r="AC21">
        <f>HYPERLINK("https://klasma.github.io/Logging_2513/tillsyn/A 30525-2025 tillsynsbegäran.docx", "A 30525-2025")</f>
        <v/>
      </c>
      <c r="AD21">
        <f>HYPERLINK("https://klasma.github.io/Logging_2513/tillsynsmail/A 30525-2025 tillsynsbegäran mail.docx", "A 30525-2025")</f>
        <v/>
      </c>
      <c r="AE21">
        <f>HYPERLINK("https://klasma.github.io/Logging_2513/fåglar/A 30525-2025 prioriterade fågelarter.docx", "A 30525-2025")</f>
        <v/>
      </c>
    </row>
    <row r="22" ht="15" customHeight="1">
      <c r="A22" t="inlineStr">
        <is>
          <t>A 17802-2025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46234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Hökuggla
Älg
Tjäder</t>
        </is>
      </c>
      <c r="W22">
        <f>HYPERLINK("https://klasma.github.io/Logging_2513/artfynd/A 17802-2025 artfynd.xlsx", "A 17802-2025")</f>
        <v/>
      </c>
      <c r="X22">
        <f>HYPERLINK("https://klasma.github.io/Logging_2513/kartor/A 17802-2025 karta.png", "A 17802-2025")</f>
        <v/>
      </c>
      <c r="Y22">
        <f>HYPERLINK("https://klasma.github.io/Logging_2513/kartor_geotiff/A 17802-2025 georefererad karta.tif", "A 17802-2025")</f>
        <v/>
      </c>
      <c r="AA22">
        <f>HYPERLINK("https://klasma.github.io/Logging_2513/klagomål/A 17802-2025 FSC-klagomål.docx", "A 17802-2025")</f>
        <v/>
      </c>
      <c r="AB22">
        <f>HYPERLINK("https://klasma.github.io/Logging_2513/klagomålsmail/A 17802-2025 FSC-klagomål mail.docx", "A 17802-2025")</f>
        <v/>
      </c>
      <c r="AC22">
        <f>HYPERLINK("https://klasma.github.io/Logging_2513/tillsyn/A 17802-2025 tillsynsbegäran.docx", "A 17802-2025")</f>
        <v/>
      </c>
      <c r="AD22">
        <f>HYPERLINK("https://klasma.github.io/Logging_2513/tillsynsmail/A 17802-2025 tillsynsbegäran mail.docx", "A 17802-2025")</f>
        <v/>
      </c>
      <c r="AE22">
        <f>HYPERLINK("https://klasma.github.io/Logging_2513/fåglar/A 17802-2025 prioriterade fågelarter.docx", "A 17802-2025")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46234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19275-2025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46234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16.3</v>
      </c>
      <c r="J24" t="n">
        <v>2</v>
      </c>
      <c r="K24" t="n">
        <v>1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5</v>
      </c>
      <c r="U24" t="n">
        <v>3</v>
      </c>
      <c r="V24" s="2" t="inlineStr">
        <is>
          <t>Fläckporing
Knärot
Plattlummer</t>
        </is>
      </c>
      <c r="W24">
        <f>HYPERLINK("https://klasma.github.io/Logging_2513/artfynd/A 19275-2025 artfynd.xlsx", "A 19275-2025")</f>
        <v/>
      </c>
      <c r="X24">
        <f>HYPERLINK("https://klasma.github.io/Logging_2513/kartor/A 19275-2025 karta.png", "A 19275-2025")</f>
        <v/>
      </c>
      <c r="Y24">
        <f>HYPERLINK("https://klasma.github.io/Logging_2513/kartor_geotiff/A 19275-2025 georefererad karta.tif", "A 19275-2025")</f>
        <v/>
      </c>
      <c r="Z24">
        <f>HYPERLINK("https://klasma.github.io/Logging_2513/knärot/A 19275-2025 karta knärot.png", "A 19275-2025")</f>
        <v/>
      </c>
      <c r="AA24">
        <f>HYPERLINK("https://klasma.github.io/Logging_2513/klagomål/A 19275-2025 FSC-klagomål.docx", "A 19275-2025")</f>
        <v/>
      </c>
      <c r="AB24">
        <f>HYPERLINK("https://klasma.github.io/Logging_2513/klagomålsmail/A 19275-2025 FSC-klagomål mail.docx", "A 19275-2025")</f>
        <v/>
      </c>
      <c r="AC24">
        <f>HYPERLINK("https://klasma.github.io/Logging_2513/tillsyn/A 19275-2025 tillsynsbegäran.docx", "A 19275-2025")</f>
        <v/>
      </c>
      <c r="AD24">
        <f>HYPERLINK("https://klasma.github.io/Logging_2513/tillsynsmail/A 19275-2025 tillsynsbegäran mail.docx", "A 19275-2025")</f>
        <v/>
      </c>
    </row>
    <row r="25" ht="15" customHeight="1">
      <c r="A25" t="inlineStr">
        <is>
          <t>A 28998-2026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46199</v>
      </c>
      <c r="E25" s="1" t="n">
        <v>46234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46.7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2</v>
      </c>
      <c r="V25" s="2" t="inlineStr">
        <is>
          <t>Garnlav
Lunglav
Fläcknycklar</t>
        </is>
      </c>
      <c r="W25">
        <f>HYPERLINK("https://klasma.github.io/Logging_2513/artfynd/A 28998-2026 artfynd.xlsx", "A 28998-2026")</f>
        <v/>
      </c>
      <c r="X25">
        <f>HYPERLINK("https://klasma.github.io/Logging_2513/kartor/A 28998-2026 karta.png", "A 28998-2026")</f>
        <v/>
      </c>
      <c r="Y25">
        <f>HYPERLINK("https://klasma.github.io/Logging_2513/kartor_geotiff/A 28998-2026 georefererad karta.tif", "A 28998-2026")</f>
        <v/>
      </c>
      <c r="AA25">
        <f>HYPERLINK("https://klasma.github.io/Logging_2513/klagomål/A 28998-2026 FSC-klagomål.docx", "A 28998-2026")</f>
        <v/>
      </c>
      <c r="AB25">
        <f>HYPERLINK("https://klasma.github.io/Logging_2513/klagomålsmail/A 28998-2026 FSC-klagomål mail.docx", "A 28998-2026")</f>
        <v/>
      </c>
      <c r="AC25">
        <f>HYPERLINK("https://klasma.github.io/Logging_2513/tillsyn/A 28998-2026 tillsynsbegäran.docx", "A 28998-2026")</f>
        <v/>
      </c>
      <c r="AD25">
        <f>HYPERLINK("https://klasma.github.io/Logging_2513/tillsynsmail/A 28998-2026 tillsynsbegäran mail.docx", "A 28998-2026")</f>
        <v/>
      </c>
    </row>
    <row r="26" ht="15" customHeight="1">
      <c r="A26" t="inlineStr">
        <is>
          <t>A 25544-2026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46234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Tallgråticka
Blå taggsvamp
Skarp dropptaggsvamp</t>
        </is>
      </c>
      <c r="W26">
        <f>HYPERLINK("https://klasma.github.io/Logging_2513/artfynd/A 25544-2026 artfynd.xlsx", "A 25544-2026")</f>
        <v/>
      </c>
      <c r="X26">
        <f>HYPERLINK("https://klasma.github.io/Logging_2513/kartor/A 25544-2026 karta.png", "A 25544-2026")</f>
        <v/>
      </c>
      <c r="Y26">
        <f>HYPERLINK("https://klasma.github.io/Logging_2513/kartor_geotiff/A 25544-2026 georefererad karta.tif", "A 25544-2026")</f>
        <v/>
      </c>
      <c r="AA26">
        <f>HYPERLINK("https://klasma.github.io/Logging_2513/klagomål/A 25544-2026 FSC-klagomål.docx", "A 25544-2026")</f>
        <v/>
      </c>
      <c r="AB26">
        <f>HYPERLINK("https://klasma.github.io/Logging_2513/klagomålsmail/A 25544-2026 FSC-klagomål mail.docx", "A 25544-2026")</f>
        <v/>
      </c>
      <c r="AC26">
        <f>HYPERLINK("https://klasma.github.io/Logging_2513/tillsyn/A 25544-2026 tillsynsbegäran.docx", "A 25544-2026")</f>
        <v/>
      </c>
      <c r="AD26">
        <f>HYPERLINK("https://klasma.github.io/Logging_2513/tillsynsmail/A 25544-2026 tillsynsbegäran mail.docx", "A 25544-2026")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46234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25551-2026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46177</v>
      </c>
      <c r="E28" s="1" t="n">
        <v>46234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Goliatmusseron
Blå taggsvamp
Orange taggsvamp</t>
        </is>
      </c>
      <c r="W28">
        <f>HYPERLINK("https://klasma.github.io/Logging_2513/artfynd/A 25551-2026 artfynd.xlsx", "A 25551-2026")</f>
        <v/>
      </c>
      <c r="X28">
        <f>HYPERLINK("https://klasma.github.io/Logging_2513/kartor/A 25551-2026 karta.png", "A 25551-2026")</f>
        <v/>
      </c>
      <c r="Y28">
        <f>HYPERLINK("https://klasma.github.io/Logging_2513/kartor_geotiff/A 25551-2026 georefererad karta.tif", "A 25551-2026")</f>
        <v/>
      </c>
      <c r="AA28">
        <f>HYPERLINK("https://klasma.github.io/Logging_2513/klagomål/A 25551-2026 FSC-klagomål.docx", "A 25551-2026")</f>
        <v/>
      </c>
      <c r="AB28">
        <f>HYPERLINK("https://klasma.github.io/Logging_2513/klagomålsmail/A 25551-2026 FSC-klagomål mail.docx", "A 25551-2026")</f>
        <v/>
      </c>
      <c r="AC28">
        <f>HYPERLINK("https://klasma.github.io/Logging_2513/tillsyn/A 25551-2026 tillsynsbegäran.docx", "A 25551-2026")</f>
        <v/>
      </c>
      <c r="AD28">
        <f>HYPERLINK("https://klasma.github.io/Logging_2513/tillsynsmail/A 25551-2026 tillsynsbegäran mail.docx", "A 25551-2026")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46234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60509-2021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44496</v>
      </c>
      <c r="E30" s="1" t="n">
        <v>46234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13.5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Stor aspticka
Vedticka</t>
        </is>
      </c>
      <c r="W30">
        <f>HYPERLINK("https://klasma.github.io/Logging_2513/artfynd/A 60509-2021 artfynd.xlsx", "A 60509-2021")</f>
        <v/>
      </c>
      <c r="X30">
        <f>HYPERLINK("https://klasma.github.io/Logging_2513/kartor/A 60509-2021 karta.png", "A 60509-2021")</f>
        <v/>
      </c>
      <c r="Y30">
        <f>HYPERLINK("https://klasma.github.io/Logging_2513/kartor_geotiff/A 60509-2021 georefererad karta.tif", "A 60509-2021")</f>
        <v/>
      </c>
      <c r="AA30">
        <f>HYPERLINK("https://klasma.github.io/Logging_2513/klagomål/A 60509-2021 FSC-klagomål.docx", "A 60509-2021")</f>
        <v/>
      </c>
      <c r="AB30">
        <f>HYPERLINK("https://klasma.github.io/Logging_2513/klagomålsmail/A 60509-2021 FSC-klagomål mail.docx", "A 60509-2021")</f>
        <v/>
      </c>
      <c r="AC30">
        <f>HYPERLINK("https://klasma.github.io/Logging_2513/tillsyn/A 60509-2021 tillsynsbegäran.docx", "A 60509-2021")</f>
        <v/>
      </c>
      <c r="AD30">
        <f>HYPERLINK("https://klasma.github.io/Logging_2513/tillsynsmail/A 60509-2021 tillsynsbegäran mail.docx", "A 60509-2021")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46234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46234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Vanlig padda</t>
        </is>
      </c>
      <c r="W32">
        <f>HYPERLINK("https://klasma.github.io/Logging_2513/artfynd/A 42285-2025 artfynd.xlsx", "A 42285-2025")</f>
        <v/>
      </c>
      <c r="X32">
        <f>HYPERLINK("https://klasma.github.io/Logging_2513/kartor/A 42285-2025 karta.png", "A 42285-2025")</f>
        <v/>
      </c>
      <c r="Y32">
        <f>HYPERLINK("https://klasma.github.io/Logging_2513/kartor_geotiff/A 42285-2025 georefererad karta.tif", "A 42285-2025")</f>
        <v/>
      </c>
      <c r="AA32">
        <f>HYPERLINK("https://klasma.github.io/Logging_2513/klagomål/A 42285-2025 FSC-klagomål.docx", "A 42285-2025")</f>
        <v/>
      </c>
      <c r="AB32">
        <f>HYPERLINK("https://klasma.github.io/Logging_2513/klagomålsmail/A 42285-2025 FSC-klagomål mail.docx", "A 42285-2025")</f>
        <v/>
      </c>
      <c r="AC32">
        <f>HYPERLINK("https://klasma.github.io/Logging_2513/tillsyn/A 42285-2025 tillsynsbegäran.docx", "A 42285-2025")</f>
        <v/>
      </c>
      <c r="AD32">
        <f>HYPERLINK("https://klasma.github.io/Logging_2513/tillsynsmail/A 42285-2025 tillsynsbegäran mail.docx", "A 42285-2025")</f>
        <v/>
      </c>
    </row>
    <row r="33" ht="15" customHeight="1">
      <c r="A33" t="inlineStr">
        <is>
          <t>A 26452-2025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45807</v>
      </c>
      <c r="E33" s="1" t="n">
        <v>46234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1.2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Stor aspticka</t>
        </is>
      </c>
      <c r="W33">
        <f>HYPERLINK("https://klasma.github.io/Logging_2513/artfynd/A 26452-2025 artfynd.xlsx", "A 26452-2025")</f>
        <v/>
      </c>
      <c r="X33">
        <f>HYPERLINK("https://klasma.github.io/Logging_2513/kartor/A 26452-2025 karta.png", "A 26452-2025")</f>
        <v/>
      </c>
      <c r="Y33">
        <f>HYPERLINK("https://klasma.github.io/Logging_2513/kartor_geotiff/A 26452-2025 georefererad karta.tif", "A 26452-2025")</f>
        <v/>
      </c>
      <c r="AA33">
        <f>HYPERLINK("https://klasma.github.io/Logging_2513/klagomål/A 26452-2025 FSC-klagomål.docx", "A 26452-2025")</f>
        <v/>
      </c>
      <c r="AB33">
        <f>HYPERLINK("https://klasma.github.io/Logging_2513/klagomålsmail/A 26452-2025 FSC-klagomål mail.docx", "A 26452-2025")</f>
        <v/>
      </c>
      <c r="AC33">
        <f>HYPERLINK("https://klasma.github.io/Logging_2513/tillsyn/A 26452-2025 tillsynsbegäran.docx", "A 26452-2025")</f>
        <v/>
      </c>
      <c r="AD33">
        <f>HYPERLINK("https://klasma.github.io/Logging_2513/tillsynsmail/A 26452-2025 tillsynsbegäran mail.docx", "A 26452-2025")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46234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Lunglav</t>
        </is>
      </c>
      <c r="W34">
        <f>HYPERLINK("https://klasma.github.io/Logging_2513/artfynd/A 34921-2025 artfynd.xlsx", "A 34921-2025")</f>
        <v/>
      </c>
      <c r="X34">
        <f>HYPERLINK("https://klasma.github.io/Logging_2513/kartor/A 34921-2025 karta.png", "A 34921-2025")</f>
        <v/>
      </c>
      <c r="Y34">
        <f>HYPERLINK("https://klasma.github.io/Logging_2513/kartor_geotiff/A 34921-2025 georefererad karta.tif", "A 34921-2025")</f>
        <v/>
      </c>
      <c r="AA34">
        <f>HYPERLINK("https://klasma.github.io/Logging_2513/klagomål/A 34921-2025 FSC-klagomål.docx", "A 34921-2025")</f>
        <v/>
      </c>
      <c r="AB34">
        <f>HYPERLINK("https://klasma.github.io/Logging_2513/klagomålsmail/A 34921-2025 FSC-klagomål mail.docx", "A 34921-2025")</f>
        <v/>
      </c>
      <c r="AC34">
        <f>HYPERLINK("https://klasma.github.io/Logging_2513/tillsyn/A 34921-2025 tillsynsbegäran.docx", "A 34921-2025")</f>
        <v/>
      </c>
      <c r="AD34">
        <f>HYPERLINK("https://klasma.github.io/Logging_2513/tillsynsmail/A 34921-2025 tillsynsbegäran mail.docx", "A 34921-2025")</f>
        <v/>
      </c>
    </row>
    <row r="35" ht="15" customHeight="1">
      <c r="A35" t="inlineStr">
        <is>
          <t>A 40706-2023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45170</v>
      </c>
      <c r="E35" s="1" t="n">
        <v>46234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7.1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Dropptaggsvamp</t>
        </is>
      </c>
      <c r="W35">
        <f>HYPERLINK("https://klasma.github.io/Logging_2513/artfynd/A 40706-2023 artfynd.xlsx", "A 40706-2023")</f>
        <v/>
      </c>
      <c r="X35">
        <f>HYPERLINK("https://klasma.github.io/Logging_2513/kartor/A 40706-2023 karta.png", "A 40706-2023")</f>
        <v/>
      </c>
      <c r="Y35">
        <f>HYPERLINK("https://klasma.github.io/Logging_2513/kartor_geotiff/A 40706-2023 georefererad karta.tif", "A 40706-2023")</f>
        <v/>
      </c>
      <c r="Z35">
        <f>HYPERLINK("https://klasma.github.io/Logging_2513/knärot/A 40706-2023 karta knärot.png", "A 40706-2023")</f>
        <v/>
      </c>
      <c r="AA35">
        <f>HYPERLINK("https://klasma.github.io/Logging_2513/klagomål/A 40706-2023 FSC-klagomål.docx", "A 40706-2023")</f>
        <v/>
      </c>
      <c r="AB35">
        <f>HYPERLINK("https://klasma.github.io/Logging_2513/klagomålsmail/A 40706-2023 FSC-klagomål mail.docx", "A 40706-2023")</f>
        <v/>
      </c>
      <c r="AC35">
        <f>HYPERLINK("https://klasma.github.io/Logging_2513/tillsyn/A 40706-2023 tillsynsbegäran.docx", "A 40706-2023")</f>
        <v/>
      </c>
      <c r="AD35">
        <f>HYPERLINK("https://klasma.github.io/Logging_2513/tillsynsmail/A 40706-2023 tillsynsbegäran mail.docx", "A 40706-2023")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46234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7477-2023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44966</v>
      </c>
      <c r="E37" s="1" t="n">
        <v>46234</v>
      </c>
      <c r="F37" t="inlineStr">
        <is>
          <t>NORRBOTTENS LÄN</t>
        </is>
      </c>
      <c r="G37" t="inlineStr">
        <is>
          <t>ÖVERKALIX</t>
        </is>
      </c>
      <c r="I37" t="n">
        <v>2.6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Motaggsvamp
Skarp dropptaggsvamp</t>
        </is>
      </c>
      <c r="W37">
        <f>HYPERLINK("https://klasma.github.io/Logging_2513/artfynd/A 7477-2023 artfynd.xlsx", "A 7477-2023")</f>
        <v/>
      </c>
      <c r="X37">
        <f>HYPERLINK("https://klasma.github.io/Logging_2513/kartor/A 7477-2023 karta.png", "A 7477-2023")</f>
        <v/>
      </c>
      <c r="Y37">
        <f>HYPERLINK("https://klasma.github.io/Logging_2513/kartor_geotiff/A 7477-2023 georefererad karta.tif", "A 7477-2023")</f>
        <v/>
      </c>
      <c r="AA37">
        <f>HYPERLINK("https://klasma.github.io/Logging_2513/klagomål/A 7477-2023 FSC-klagomål.docx", "A 7477-2023")</f>
        <v/>
      </c>
      <c r="AB37">
        <f>HYPERLINK("https://klasma.github.io/Logging_2513/klagomålsmail/A 7477-2023 FSC-klagomål mail.docx", "A 7477-2023")</f>
        <v/>
      </c>
      <c r="AC37">
        <f>HYPERLINK("https://klasma.github.io/Logging_2513/tillsyn/A 7477-2023 tillsynsbegäran.docx", "A 7477-2023")</f>
        <v/>
      </c>
      <c r="AD37">
        <f>HYPERLINK("https://klasma.github.io/Logging_2513/tillsynsmail/A 7477-2023 tillsynsbegäran mail.docx", "A 7477-2023")</f>
        <v/>
      </c>
    </row>
    <row r="38" ht="15" customHeight="1">
      <c r="A38" t="inlineStr">
        <is>
          <t>A 14152-2026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46234</v>
      </c>
      <c r="F38" t="inlineStr">
        <is>
          <t>NORRBOTTENS LÄN</t>
        </is>
      </c>
      <c r="G38" t="inlineStr">
        <is>
          <t>ÖVERKALIX</t>
        </is>
      </c>
      <c r="I38" t="n">
        <v>4.6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Källpraktmossa
Spädstarr</t>
        </is>
      </c>
      <c r="W38">
        <f>HYPERLINK("https://klasma.github.io/Logging_2513/artfynd/A 14152-2026 artfynd.xlsx", "A 14152-2026")</f>
        <v/>
      </c>
      <c r="X38">
        <f>HYPERLINK("https://klasma.github.io/Logging_2513/kartor/A 14152-2026 karta.png", "A 14152-2026")</f>
        <v/>
      </c>
      <c r="Y38">
        <f>HYPERLINK("https://klasma.github.io/Logging_2513/kartor_geotiff/A 14152-2026 georefererad karta.tif", "A 14152-2026")</f>
        <v/>
      </c>
      <c r="AA38">
        <f>HYPERLINK("https://klasma.github.io/Logging_2513/klagomål/A 14152-2026 FSC-klagomål.docx", "A 14152-2026")</f>
        <v/>
      </c>
      <c r="AB38">
        <f>HYPERLINK("https://klasma.github.io/Logging_2513/klagomålsmail/A 14152-2026 FSC-klagomål mail.docx", "A 14152-2026")</f>
        <v/>
      </c>
      <c r="AC38">
        <f>HYPERLINK("https://klasma.github.io/Logging_2513/tillsyn/A 14152-2026 tillsynsbegäran.docx", "A 14152-2026")</f>
        <v/>
      </c>
      <c r="AD38">
        <f>HYPERLINK("https://klasma.github.io/Logging_2513/tillsynsmail/A 14152-2026 tillsynsbegäran mail.docx", "A 14152-2026")</f>
        <v/>
      </c>
    </row>
    <row r="39" ht="15" customHeight="1">
      <c r="A39" t="inlineStr">
        <is>
          <t>A 36803-2023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45154</v>
      </c>
      <c r="E39" s="1" t="n">
        <v>46234</v>
      </c>
      <c r="F39" t="inlineStr">
        <is>
          <t>NORRBOTTENS LÄN</t>
        </is>
      </c>
      <c r="G39" t="inlineStr">
        <is>
          <t>ÖVERKALIX</t>
        </is>
      </c>
      <c r="I39" t="n">
        <v>3.1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6</v>
      </c>
      <c r="U39" t="n">
        <v>6</v>
      </c>
      <c r="V39" s="2" t="inlineStr">
        <is>
          <t>Knärot
Revlummer</t>
        </is>
      </c>
      <c r="W39">
        <f>HYPERLINK("https://klasma.github.io/Logging_2513/artfynd/A 36803-2023 artfynd.xlsx", "A 36803-2023")</f>
        <v/>
      </c>
      <c r="X39">
        <f>HYPERLINK("https://klasma.github.io/Logging_2513/kartor/A 36803-2023 karta.png", "A 36803-2023")</f>
        <v/>
      </c>
      <c r="Y39">
        <f>HYPERLINK("https://klasma.github.io/Logging_2513/kartor_geotiff/A 36803-2023 georefererad karta.tif", "A 36803-2023")</f>
        <v/>
      </c>
      <c r="Z39">
        <f>HYPERLINK("https://klasma.github.io/Logging_2513/knärot/A 36803-2023 karta knärot.png", "A 36803-2023")</f>
        <v/>
      </c>
      <c r="AA39">
        <f>HYPERLINK("https://klasma.github.io/Logging_2513/klagomål/A 36803-2023 FSC-klagomål.docx", "A 36803-2023")</f>
        <v/>
      </c>
      <c r="AB39">
        <f>HYPERLINK("https://klasma.github.io/Logging_2513/klagomålsmail/A 36803-2023 FSC-klagomål mail.docx", "A 36803-2023")</f>
        <v/>
      </c>
      <c r="AC39">
        <f>HYPERLINK("https://klasma.github.io/Logging_2513/tillsyn/A 36803-2023 tillsynsbegäran.docx", "A 36803-2023")</f>
        <v/>
      </c>
      <c r="AD39">
        <f>HYPERLINK("https://klasma.github.io/Logging_2513/tillsynsmail/A 36803-2023 tillsynsbegäran mail.docx", "A 36803-2023")</f>
        <v/>
      </c>
    </row>
    <row r="40" ht="15" customHeight="1">
      <c r="A40" t="inlineStr">
        <is>
          <t>A 36378-2024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46234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21.5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Lunglav
Fläcknycklar</t>
        </is>
      </c>
      <c r="W40">
        <f>HYPERLINK("https://klasma.github.io/Logging_2513/artfynd/A 36378-2024 artfynd.xlsx", "A 36378-2024")</f>
        <v/>
      </c>
      <c r="X40">
        <f>HYPERLINK("https://klasma.github.io/Logging_2513/kartor/A 36378-2024 karta.png", "A 36378-2024")</f>
        <v/>
      </c>
      <c r="Y40">
        <f>HYPERLINK("https://klasma.github.io/Logging_2513/kartor_geotiff/A 36378-2024 georefererad karta.tif", "A 36378-2024")</f>
        <v/>
      </c>
      <c r="AA40">
        <f>HYPERLINK("https://klasma.github.io/Logging_2513/klagomål/A 36378-2024 FSC-klagomål.docx", "A 36378-2024")</f>
        <v/>
      </c>
      <c r="AB40">
        <f>HYPERLINK("https://klasma.github.io/Logging_2513/klagomålsmail/A 36378-2024 FSC-klagomål mail.docx", "A 36378-2024")</f>
        <v/>
      </c>
      <c r="AC40">
        <f>HYPERLINK("https://klasma.github.io/Logging_2513/tillsyn/A 36378-2024 tillsynsbegäran.docx", "A 36378-2024")</f>
        <v/>
      </c>
      <c r="AD40">
        <f>HYPERLINK("https://klasma.github.io/Logging_2513/tillsynsmail/A 36378-2024 tillsynsbegäran mail.docx", "A 36378-2024")</f>
        <v/>
      </c>
    </row>
    <row r="41" ht="15" customHeight="1">
      <c r="A41" t="inlineStr">
        <is>
          <t>A 36381-2024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46234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26.7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Gammelgransskål
Orre</t>
        </is>
      </c>
      <c r="W41">
        <f>HYPERLINK("https://klasma.github.io/Logging_2513/artfynd/A 36381-2024 artfynd.xlsx", "A 36381-2024")</f>
        <v/>
      </c>
      <c r="X41">
        <f>HYPERLINK("https://klasma.github.io/Logging_2513/kartor/A 36381-2024 karta.png", "A 36381-2024")</f>
        <v/>
      </c>
      <c r="Y41">
        <f>HYPERLINK("https://klasma.github.io/Logging_2513/kartor_geotiff/A 36381-2024 georefererad karta.tif", "A 36381-2024")</f>
        <v/>
      </c>
      <c r="AA41">
        <f>HYPERLINK("https://klasma.github.io/Logging_2513/klagomål/A 36381-2024 FSC-klagomål.docx", "A 36381-2024")</f>
        <v/>
      </c>
      <c r="AB41">
        <f>HYPERLINK("https://klasma.github.io/Logging_2513/klagomålsmail/A 36381-2024 FSC-klagomål mail.docx", "A 36381-2024")</f>
        <v/>
      </c>
      <c r="AC41">
        <f>HYPERLINK("https://klasma.github.io/Logging_2513/tillsyn/A 36381-2024 tillsynsbegäran.docx", "A 36381-2024")</f>
        <v/>
      </c>
      <c r="AD41">
        <f>HYPERLINK("https://klasma.github.io/Logging_2513/tillsynsmail/A 36381-2024 tillsynsbegäran mail.docx", "A 36381-2024")</f>
        <v/>
      </c>
      <c r="AE41">
        <f>HYPERLINK("https://klasma.github.io/Logging_2513/fåglar/A 36381-2024 prioriterade fågelarter.docx", "A 36381-2024")</f>
        <v/>
      </c>
    </row>
    <row r="42" ht="15" customHeight="1">
      <c r="A42" t="inlineStr">
        <is>
          <t>A 47680-2024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46234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Blå taggsvamp
Skarp dropptaggsvamp</t>
        </is>
      </c>
      <c r="W42">
        <f>HYPERLINK("https://klasma.github.io/Logging_2513/artfynd/A 47680-2024 artfynd.xlsx", "A 47680-2024")</f>
        <v/>
      </c>
      <c r="X42">
        <f>HYPERLINK("https://klasma.github.io/Logging_2513/kartor/A 47680-2024 karta.png", "A 47680-2024")</f>
        <v/>
      </c>
      <c r="Y42">
        <f>HYPERLINK("https://klasma.github.io/Logging_2513/kartor_geotiff/A 47680-2024 georefererad karta.tif", "A 47680-2024")</f>
        <v/>
      </c>
      <c r="AA42">
        <f>HYPERLINK("https://klasma.github.io/Logging_2513/klagomål/A 47680-2024 FSC-klagomål.docx", "A 47680-2024")</f>
        <v/>
      </c>
      <c r="AB42">
        <f>HYPERLINK("https://klasma.github.io/Logging_2513/klagomålsmail/A 47680-2024 FSC-klagomål mail.docx", "A 47680-2024")</f>
        <v/>
      </c>
      <c r="AC42">
        <f>HYPERLINK("https://klasma.github.io/Logging_2513/tillsyn/A 47680-2024 tillsynsbegäran.docx", "A 47680-2024")</f>
        <v/>
      </c>
      <c r="AD42">
        <f>HYPERLINK("https://klasma.github.io/Logging_2513/tillsynsmail/A 47680-2024 tillsynsbegäran mail.docx", "A 47680-2024")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46234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28929-2026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46234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3.9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5</v>
      </c>
      <c r="V44" s="2" t="inlineStr">
        <is>
          <t>Knärot
Fläcknycklar</t>
        </is>
      </c>
      <c r="W44">
        <f>HYPERLINK("https://klasma.github.io/Logging_2513/artfynd/A 28929-2026 artfynd.xlsx", "A 28929-2026")</f>
        <v/>
      </c>
      <c r="X44">
        <f>HYPERLINK("https://klasma.github.io/Logging_2513/kartor/A 28929-2026 karta.png", "A 28929-2026")</f>
        <v/>
      </c>
      <c r="Y44">
        <f>HYPERLINK("https://klasma.github.io/Logging_2513/kartor_geotiff/A 28929-2026 georefererad karta.tif", "A 28929-2026")</f>
        <v/>
      </c>
      <c r="Z44">
        <f>HYPERLINK("https://klasma.github.io/Logging_2513/knärot/A 28929-2026 karta knärot.png", "A 28929-2026")</f>
        <v/>
      </c>
      <c r="AA44">
        <f>HYPERLINK("https://klasma.github.io/Logging_2513/klagomål/A 28929-2026 FSC-klagomål.docx", "A 28929-2026")</f>
        <v/>
      </c>
      <c r="AB44">
        <f>HYPERLINK("https://klasma.github.io/Logging_2513/klagomålsmail/A 28929-2026 FSC-klagomål mail.docx", "A 28929-2026")</f>
        <v/>
      </c>
      <c r="AC44">
        <f>HYPERLINK("https://klasma.github.io/Logging_2513/tillsyn/A 28929-2026 tillsynsbegäran.docx", "A 28929-2026")</f>
        <v/>
      </c>
      <c r="AD44">
        <f>HYPERLINK("https://klasma.github.io/Logging_2513/tillsynsmail/A 28929-2026 tillsynsbegäran mail.docx", "A 28929-2026")</f>
        <v/>
      </c>
    </row>
    <row r="45" ht="15" customHeight="1">
      <c r="A45" t="inlineStr">
        <is>
          <t>A 50691-2024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45602</v>
      </c>
      <c r="E45" s="1" t="n">
        <v>46234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4.2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Gammelgransskål
Vedticka</t>
        </is>
      </c>
      <c r="W45">
        <f>HYPERLINK("https://klasma.github.io/Logging_2513/artfynd/A 50691-2024 artfynd.xlsx", "A 50691-2024")</f>
        <v/>
      </c>
      <c r="X45">
        <f>HYPERLINK("https://klasma.github.io/Logging_2513/kartor/A 50691-2024 karta.png", "A 50691-2024")</f>
        <v/>
      </c>
      <c r="Y45">
        <f>HYPERLINK("https://klasma.github.io/Logging_2513/kartor_geotiff/A 50691-2024 georefererad karta.tif", "A 50691-2024")</f>
        <v/>
      </c>
      <c r="AA45">
        <f>HYPERLINK("https://klasma.github.io/Logging_2513/klagomål/A 50691-2024 FSC-klagomål.docx", "A 50691-2024")</f>
        <v/>
      </c>
      <c r="AB45">
        <f>HYPERLINK("https://klasma.github.io/Logging_2513/klagomålsmail/A 50691-2024 FSC-klagomål mail.docx", "A 50691-2024")</f>
        <v/>
      </c>
      <c r="AC45">
        <f>HYPERLINK("https://klasma.github.io/Logging_2513/tillsyn/A 50691-2024 tillsynsbegäran.docx", "A 50691-2024")</f>
        <v/>
      </c>
      <c r="AD45">
        <f>HYPERLINK("https://klasma.github.io/Logging_2513/tillsynsmail/A 50691-2024 tillsynsbegäran mail.docx", "A 50691-2024")</f>
        <v/>
      </c>
    </row>
    <row r="46" ht="15" customHeight="1">
      <c r="A46" t="inlineStr">
        <is>
          <t>S 2701-2024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46234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Höstlåsbräken
Månlåsbräken</t>
        </is>
      </c>
      <c r="W46">
        <f>HYPERLINK("https://klasma.github.io/Logging_2513/artfynd/S 2701-2024 artfynd.xlsx", "S 2701-2024")</f>
        <v/>
      </c>
      <c r="X46">
        <f>HYPERLINK("https://klasma.github.io/Logging_2513/kartor/S 2701-2024 karta.png", "S 2701-2024")</f>
        <v/>
      </c>
      <c r="Y46">
        <f>HYPERLINK("https://klasma.github.io/Logging_2513/kartor_geotiff/S 2701-2024 georefererad karta.tif", "S 2701-2024")</f>
        <v/>
      </c>
      <c r="AA46">
        <f>HYPERLINK("https://klasma.github.io/Logging_2513/klagomål/S 2701-2024 FSC-klagomål.docx", "S 2701-2024")</f>
        <v/>
      </c>
      <c r="AB46">
        <f>HYPERLINK("https://klasma.github.io/Logging_2513/klagomålsmail/S 2701-2024 FSC-klagomål mail.docx", "S 2701-2024")</f>
        <v/>
      </c>
      <c r="AC46">
        <f>HYPERLINK("https://klasma.github.io/Logging_2513/tillsyn/S 2701-2024 tillsynsbegäran.docx", "S 2701-2024")</f>
        <v/>
      </c>
      <c r="AD46">
        <f>HYPERLINK("https://klasma.github.io/Logging_2513/tillsynsmail/S 2701-2024 tillsynsbegäran mail.docx", "S 2701-2024")</f>
        <v/>
      </c>
    </row>
    <row r="47" ht="15" customHeight="1">
      <c r="A47" t="inlineStr">
        <is>
          <t>A 15137-2022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44658</v>
      </c>
      <c r="E47" s="1" t="n">
        <v>46234</v>
      </c>
      <c r="F47" t="inlineStr">
        <is>
          <t>NORRBOTTENS LÄN</t>
        </is>
      </c>
      <c r="G47" t="inlineStr">
        <is>
          <t>ÖVERKALIX</t>
        </is>
      </c>
      <c r="I47" t="n">
        <v>5.7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HYPERLINK("https://klasma.github.io/Logging_2513/artfynd/A 15137-2022 artfynd.xlsx", "A 15137-2022")</f>
        <v/>
      </c>
      <c r="X47">
        <f>HYPERLINK("https://klasma.github.io/Logging_2513/kartor/A 15137-2022 karta.png", "A 15137-2022")</f>
        <v/>
      </c>
      <c r="Y47">
        <f>HYPERLINK("https://klasma.github.io/Logging_2513/kartor_geotiff/A 15137-2022 georefererad karta.tif", "A 15137-2022")</f>
        <v/>
      </c>
      <c r="AA47">
        <f>HYPERLINK("https://klasma.github.io/Logging_2513/klagomål/A 15137-2022 FSC-klagomål.docx", "A 15137-2022")</f>
        <v/>
      </c>
      <c r="AB47">
        <f>HYPERLINK("https://klasma.github.io/Logging_2513/klagomålsmail/A 15137-2022 FSC-klagomål mail.docx", "A 15137-2022")</f>
        <v/>
      </c>
      <c r="AC47">
        <f>HYPERLINK("https://klasma.github.io/Logging_2513/tillsyn/A 15137-2022 tillsynsbegäran.docx", "A 15137-2022")</f>
        <v/>
      </c>
      <c r="AD47">
        <f>HYPERLINK("https://klasma.github.io/Logging_2513/tillsynsmail/A 15137-2022 tillsynsbegäran mail.docx", "A 15137-2022")</f>
        <v/>
      </c>
    </row>
    <row r="48" ht="15" customHeight="1">
      <c r="A48" t="inlineStr">
        <is>
          <t>A 26305-2025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45805</v>
      </c>
      <c r="E48" s="1" t="n">
        <v>46234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5.2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Luddlav</t>
        </is>
      </c>
      <c r="W48">
        <f>HYPERLINK("https://klasma.github.io/Logging_2513/artfynd/A 26305-2025 artfynd.xlsx", "A 26305-2025")</f>
        <v/>
      </c>
      <c r="X48">
        <f>HYPERLINK("https://klasma.github.io/Logging_2513/kartor/A 26305-2025 karta.png", "A 26305-2025")</f>
        <v/>
      </c>
      <c r="Y48">
        <f>HYPERLINK("https://klasma.github.io/Logging_2513/kartor_geotiff/A 26305-2025 georefererad karta.tif", "A 26305-2025")</f>
        <v/>
      </c>
      <c r="AA48">
        <f>HYPERLINK("https://klasma.github.io/Logging_2513/klagomål/A 26305-2025 FSC-klagomål.docx", "A 26305-2025")</f>
        <v/>
      </c>
      <c r="AB48">
        <f>HYPERLINK("https://klasma.github.io/Logging_2513/klagomålsmail/A 26305-2025 FSC-klagomål mail.docx", "A 26305-2025")</f>
        <v/>
      </c>
      <c r="AC48">
        <f>HYPERLINK("https://klasma.github.io/Logging_2513/tillsyn/A 26305-2025 tillsynsbegäran.docx", "A 26305-2025")</f>
        <v/>
      </c>
      <c r="AD48">
        <f>HYPERLINK("https://klasma.github.io/Logging_2513/tillsynsmail/A 26305-2025 tillsynsbegäran mail.docx", "A 26305-2025")</f>
        <v/>
      </c>
    </row>
    <row r="49" ht="15" customHeight="1">
      <c r="A49" t="inlineStr">
        <is>
          <t>A 27452-2025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45813</v>
      </c>
      <c r="E49" s="1" t="n">
        <v>46234</v>
      </c>
      <c r="F49" t="inlineStr">
        <is>
          <t>NORRBOTTENS LÄN</t>
        </is>
      </c>
      <c r="G49" t="inlineStr">
        <is>
          <t>ÖVERKALIX</t>
        </is>
      </c>
      <c r="H49" t="inlineStr">
        <is>
          <t>SCA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HYPERLINK("https://klasma.github.io/Logging_2513/artfynd/A 27452-2025 artfynd.xlsx", "A 27452-2025")</f>
        <v/>
      </c>
      <c r="X49">
        <f>HYPERLINK("https://klasma.github.io/Logging_2513/kartor/A 27452-2025 karta.png", "A 27452-2025")</f>
        <v/>
      </c>
      <c r="Y49">
        <f>HYPERLINK("https://klasma.github.io/Logging_2513/kartor_geotiff/A 27452-2025 georefererad karta.tif", "A 27452-2025")</f>
        <v/>
      </c>
      <c r="AA49">
        <f>HYPERLINK("https://klasma.github.io/Logging_2513/klagomål/A 27452-2025 FSC-klagomål.docx", "A 27452-2025")</f>
        <v/>
      </c>
      <c r="AB49">
        <f>HYPERLINK("https://klasma.github.io/Logging_2513/klagomålsmail/A 27452-2025 FSC-klagomål mail.docx", "A 27452-2025")</f>
        <v/>
      </c>
      <c r="AC49">
        <f>HYPERLINK("https://klasma.github.io/Logging_2513/tillsyn/A 27452-2025 tillsynsbegäran.docx", "A 27452-2025")</f>
        <v/>
      </c>
      <c r="AD49">
        <f>HYPERLINK("https://klasma.github.io/Logging_2513/tillsynsmail/A 27452-2025 tillsynsbegäran mail.docx", "A 27452-2025")</f>
        <v/>
      </c>
      <c r="AE49">
        <f>HYPERLINK("https://klasma.github.io/Logging_2513/fåglar/A 27452-2025 prioriterade fågelarter.docx", "A 27452-2025")</f>
        <v/>
      </c>
    </row>
    <row r="50" ht="15" customHeight="1">
      <c r="A50" t="inlineStr">
        <is>
          <t>A 22977-2022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44717</v>
      </c>
      <c r="E50" s="1" t="n">
        <v>46234</v>
      </c>
      <c r="F50" t="inlineStr">
        <is>
          <t>NORRBOTTENS LÄN</t>
        </is>
      </c>
      <c r="G50" t="inlineStr">
        <is>
          <t>ÖVERKALIX</t>
        </is>
      </c>
      <c r="I50" t="n">
        <v>19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Bivråk</t>
        </is>
      </c>
      <c r="W50">
        <f>HYPERLINK("https://klasma.github.io/Logging_2513/artfynd/A 22977-2022 artfynd.xlsx", "A 22977-2022")</f>
        <v/>
      </c>
      <c r="X50">
        <f>HYPERLINK("https://klasma.github.io/Logging_2513/kartor/A 22977-2022 karta.png", "A 22977-2022")</f>
        <v/>
      </c>
      <c r="Y50">
        <f>HYPERLINK("https://klasma.github.io/Logging_2513/kartor_geotiff/A 22977-2022 georefererad karta.tif", "A 22977-2022")</f>
        <v/>
      </c>
      <c r="AA50">
        <f>HYPERLINK("https://klasma.github.io/Logging_2513/klagomål/A 22977-2022 FSC-klagomål.docx", "A 22977-2022")</f>
        <v/>
      </c>
      <c r="AB50">
        <f>HYPERLINK("https://klasma.github.io/Logging_2513/klagomålsmail/A 22977-2022 FSC-klagomål mail.docx", "A 22977-2022")</f>
        <v/>
      </c>
      <c r="AC50">
        <f>HYPERLINK("https://klasma.github.io/Logging_2513/tillsyn/A 22977-2022 tillsynsbegäran.docx", "A 22977-2022")</f>
        <v/>
      </c>
      <c r="AD50">
        <f>HYPERLINK("https://klasma.github.io/Logging_2513/tillsynsmail/A 22977-2022 tillsynsbegäran mail.docx", "A 22977-2022")</f>
        <v/>
      </c>
      <c r="AE50">
        <f>HYPERLINK("https://klasma.github.io/Logging_2513/fåglar/A 22977-2022 prioriterade fågelarter.docx", "A 22977-2022")</f>
        <v/>
      </c>
    </row>
    <row r="51" ht="15" customHeight="1">
      <c r="A51" t="inlineStr">
        <is>
          <t>A 37532-2022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46234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Blå taggsvamp</t>
        </is>
      </c>
      <c r="W51">
        <f>HYPERLINK("https://klasma.github.io/Logging_2513/artfynd/A 37532-2022 artfynd.xlsx", "A 37532-2022")</f>
        <v/>
      </c>
      <c r="X51">
        <f>HYPERLINK("https://klasma.github.io/Logging_2513/kartor/A 37532-2022 karta.png", "A 37532-2022")</f>
        <v/>
      </c>
      <c r="Y51">
        <f>HYPERLINK("https://klasma.github.io/Logging_2513/kartor_geotiff/A 37532-2022 georefererad karta.tif", "A 37532-2022")</f>
        <v/>
      </c>
      <c r="AA51">
        <f>HYPERLINK("https://klasma.github.io/Logging_2513/klagomål/A 37532-2022 FSC-klagomål.docx", "A 37532-2022")</f>
        <v/>
      </c>
      <c r="AB51">
        <f>HYPERLINK("https://klasma.github.io/Logging_2513/klagomålsmail/A 37532-2022 FSC-klagomål mail.docx", "A 37532-2022")</f>
        <v/>
      </c>
      <c r="AC51">
        <f>HYPERLINK("https://klasma.github.io/Logging_2513/tillsyn/A 37532-2022 tillsynsbegäran.docx", "A 37532-2022")</f>
        <v/>
      </c>
      <c r="AD51">
        <f>HYPERLINK("https://klasma.github.io/Logging_2513/tillsynsmail/A 37532-2022 tillsynsbegäran mail.docx", "A 37532-2022")</f>
        <v/>
      </c>
    </row>
    <row r="52" ht="15" customHeight="1">
      <c r="A52" t="inlineStr">
        <is>
          <t>A 35602-2025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45859</v>
      </c>
      <c r="E52" s="1" t="n">
        <v>46234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HYPERLINK("https://klasma.github.io/Logging_2513/artfynd/A 35602-2025 artfynd.xlsx", "A 35602-2025")</f>
        <v/>
      </c>
      <c r="X52">
        <f>HYPERLINK("https://klasma.github.io/Logging_2513/kartor/A 35602-2025 karta.png", "A 35602-2025")</f>
        <v/>
      </c>
      <c r="Y52">
        <f>HYPERLINK("https://klasma.github.io/Logging_2513/kartor_geotiff/A 35602-2025 georefererad karta.tif", "A 35602-2025")</f>
        <v/>
      </c>
      <c r="AA52">
        <f>HYPERLINK("https://klasma.github.io/Logging_2513/klagomål/A 35602-2025 FSC-klagomål.docx", "A 35602-2025")</f>
        <v/>
      </c>
      <c r="AB52">
        <f>HYPERLINK("https://klasma.github.io/Logging_2513/klagomålsmail/A 35602-2025 FSC-klagomål mail.docx", "A 35602-2025")</f>
        <v/>
      </c>
      <c r="AC52">
        <f>HYPERLINK("https://klasma.github.io/Logging_2513/tillsyn/A 35602-2025 tillsynsbegäran.docx", "A 35602-2025")</f>
        <v/>
      </c>
      <c r="AD52">
        <f>HYPERLINK("https://klasma.github.io/Logging_2513/tillsynsmail/A 35602-2025 tillsynsbegäran mail.docx", "A 35602-2025")</f>
        <v/>
      </c>
    </row>
    <row r="53" ht="15" customHeight="1">
      <c r="A53" t="inlineStr">
        <is>
          <t>A 46280-2024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46234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HYPERLINK("https://klasma.github.io/Logging_2513/artfynd/A 46280-2024 artfynd.xlsx", "A 46280-2024")</f>
        <v/>
      </c>
      <c r="X53">
        <f>HYPERLINK("https://klasma.github.io/Logging_2513/kartor/A 46280-2024 karta.png", "A 46280-2024")</f>
        <v/>
      </c>
      <c r="Y53">
        <f>HYPERLINK("https://klasma.github.io/Logging_2513/kartor_geotiff/A 46280-2024 georefererad karta.tif", "A 46280-2024")</f>
        <v/>
      </c>
      <c r="AA53">
        <f>HYPERLINK("https://klasma.github.io/Logging_2513/klagomål/A 46280-2024 FSC-klagomål.docx", "A 46280-2024")</f>
        <v/>
      </c>
      <c r="AB53">
        <f>HYPERLINK("https://klasma.github.io/Logging_2513/klagomålsmail/A 46280-2024 FSC-klagomål mail.docx", "A 46280-2024")</f>
        <v/>
      </c>
      <c r="AC53">
        <f>HYPERLINK("https://klasma.github.io/Logging_2513/tillsyn/A 46280-2024 tillsynsbegäran.docx", "A 46280-2024")</f>
        <v/>
      </c>
      <c r="AD53">
        <f>HYPERLINK("https://klasma.github.io/Logging_2513/tillsynsmail/A 46280-2024 tillsynsbegäran mail.docx", "A 46280-2024")</f>
        <v/>
      </c>
      <c r="AE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46234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46281-2024 artfynd.xlsx", "A 46281-2024")</f>
        <v/>
      </c>
      <c r="X54">
        <f>HYPERLINK("https://klasma.github.io/Logging_2513/kartor/A 46281-2024 karta.png", "A 46281-2024")</f>
        <v/>
      </c>
      <c r="Y54">
        <f>HYPERLINK("https://klasma.github.io/Logging_2513/kartor_geotiff/A 46281-2024 georefererad karta.tif", "A 46281-2024")</f>
        <v/>
      </c>
      <c r="AA54">
        <f>HYPERLINK("https://klasma.github.io/Logging_2513/klagomål/A 46281-2024 FSC-klagomål.docx", "A 46281-2024")</f>
        <v/>
      </c>
      <c r="AB54">
        <f>HYPERLINK("https://klasma.github.io/Logging_2513/klagomålsmail/A 46281-2024 FSC-klagomål mail.docx", "A 46281-2024")</f>
        <v/>
      </c>
      <c r="AC54">
        <f>HYPERLINK("https://klasma.github.io/Logging_2513/tillsyn/A 46281-2024 tillsynsbegäran.docx", "A 46281-2024")</f>
        <v/>
      </c>
      <c r="AD54">
        <f>HYPERLINK("https://klasma.github.io/Logging_2513/tillsynsmail/A 46281-2024 tillsynsbegäran mail.docx", "A 46281-2024")</f>
        <v/>
      </c>
    </row>
    <row r="55" ht="15" customHeight="1">
      <c r="A55" t="inlineStr">
        <is>
          <t>A 7234-2023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46234</v>
      </c>
      <c r="F55" t="inlineStr">
        <is>
          <t>NORRBOTTENS LÄN</t>
        </is>
      </c>
      <c r="G55" t="inlineStr">
        <is>
          <t>ÖVERKALIX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HYPERLINK("https://klasma.github.io/Logging_2513/artfynd/A 7234-2023 artfynd.xlsx", "A 7234-2023")</f>
        <v/>
      </c>
      <c r="X55">
        <f>HYPERLINK("https://klasma.github.io/Logging_2513/kartor/A 7234-2023 karta.png", "A 7234-2023")</f>
        <v/>
      </c>
      <c r="Y55">
        <f>HYPERLINK("https://klasma.github.io/Logging_2513/kartor_geotiff/A 7234-2023 georefererad karta.tif", "A 7234-2023")</f>
        <v/>
      </c>
      <c r="AA55">
        <f>HYPERLINK("https://klasma.github.io/Logging_2513/klagomål/A 7234-2023 FSC-klagomål.docx", "A 7234-2023")</f>
        <v/>
      </c>
      <c r="AB55">
        <f>HYPERLINK("https://klasma.github.io/Logging_2513/klagomålsmail/A 7234-2023 FSC-klagomål mail.docx", "A 7234-2023")</f>
        <v/>
      </c>
      <c r="AC55">
        <f>HYPERLINK("https://klasma.github.io/Logging_2513/tillsyn/A 7234-2023 tillsynsbegäran.docx", "A 7234-2023")</f>
        <v/>
      </c>
      <c r="AD55">
        <f>HYPERLINK("https://klasma.github.io/Logging_2513/tillsynsmail/A 7234-2023 tillsynsbegäran mail.docx", "A 7234-2023")</f>
        <v/>
      </c>
      <c r="AE55">
        <f>HYPERLINK("https://klasma.github.io/Logging_2513/fåglar/A 7234-2023 prioriterade fågelarter.docx", "A 7234-2023")</f>
        <v/>
      </c>
    </row>
    <row r="56" ht="15" customHeight="1">
      <c r="A56" t="inlineStr">
        <is>
          <t>A 8407-2025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45709</v>
      </c>
      <c r="E56" s="1" t="n">
        <v>46234</v>
      </c>
      <c r="F56" t="inlineStr">
        <is>
          <t>NORRBOTTENS LÄN</t>
        </is>
      </c>
      <c r="G56" t="inlineStr">
        <is>
          <t>ÖVERKALIX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Tallbit</t>
        </is>
      </c>
      <c r="W56">
        <f>HYPERLINK("https://klasma.github.io/Logging_2513/artfynd/A 8407-2025 artfynd.xlsx", "A 8407-2025")</f>
        <v/>
      </c>
      <c r="X56">
        <f>HYPERLINK("https://klasma.github.io/Logging_2513/kartor/A 8407-2025 karta.png", "A 8407-2025")</f>
        <v/>
      </c>
      <c r="Y56">
        <f>HYPERLINK("https://klasma.github.io/Logging_2513/kartor_geotiff/A 8407-2025 georefererad karta.tif", "A 8407-2025")</f>
        <v/>
      </c>
      <c r="AA56">
        <f>HYPERLINK("https://klasma.github.io/Logging_2513/klagomål/A 8407-2025 FSC-klagomål.docx", "A 8407-2025")</f>
        <v/>
      </c>
      <c r="AB56">
        <f>HYPERLINK("https://klasma.github.io/Logging_2513/klagomålsmail/A 8407-2025 FSC-klagomål mail.docx", "A 8407-2025")</f>
        <v/>
      </c>
      <c r="AC56">
        <f>HYPERLINK("https://klasma.github.io/Logging_2513/tillsyn/A 8407-2025 tillsynsbegäran.docx", "A 8407-2025")</f>
        <v/>
      </c>
      <c r="AD56">
        <f>HYPERLINK("https://klasma.github.io/Logging_2513/tillsynsmail/A 8407-2025 tillsynsbegäran mail.docx", "A 8407-2025")</f>
        <v/>
      </c>
      <c r="AE56">
        <f>HYPERLINK("https://klasma.github.io/Logging_2513/fåglar/A 8407-2025 prioriterade fågelarter.docx", "A 8407-2025")</f>
        <v/>
      </c>
    </row>
    <row r="57" ht="15" customHeight="1">
      <c r="A57" t="inlineStr">
        <is>
          <t>A 71902-2021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46234</v>
      </c>
      <c r="F57" t="inlineStr">
        <is>
          <t>NORRBOTTENS LÄN</t>
        </is>
      </c>
      <c r="G57" t="inlineStr">
        <is>
          <t>ÖVERKALIX</t>
        </is>
      </c>
      <c r="I57" t="n">
        <v>24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71902-2021 artfynd.xlsx", "A 71902-2021")</f>
        <v/>
      </c>
      <c r="X57">
        <f>HYPERLINK("https://klasma.github.io/Logging_2513/kartor/A 71902-2021 karta.png", "A 71902-2021")</f>
        <v/>
      </c>
      <c r="Y57">
        <f>HYPERLINK("https://klasma.github.io/Logging_2513/kartor_geotiff/A 71902-2021 georefererad karta.tif", "A 71902-2021")</f>
        <v/>
      </c>
      <c r="AA57">
        <f>HYPERLINK("https://klasma.github.io/Logging_2513/klagomål/A 71902-2021 FSC-klagomål.docx", "A 71902-2021")</f>
        <v/>
      </c>
      <c r="AB57">
        <f>HYPERLINK("https://klasma.github.io/Logging_2513/klagomålsmail/A 71902-2021 FSC-klagomål mail.docx", "A 71902-2021")</f>
        <v/>
      </c>
      <c r="AC57">
        <f>HYPERLINK("https://klasma.github.io/Logging_2513/tillsyn/A 71902-2021 tillsynsbegäran.docx", "A 71902-2021")</f>
        <v/>
      </c>
      <c r="AD57">
        <f>HYPERLINK("https://klasma.github.io/Logging_2513/tillsynsmail/A 71902-2021 tillsynsbegäran mail.docx", "A 71902-2021")</f>
        <v/>
      </c>
      <c r="AE57">
        <f>HYPERLINK("https://klasma.github.io/Logging_2513/fåglar/A 71902-2021 prioriterade fågelarter.docx", "A 71902-2021")</f>
        <v/>
      </c>
    </row>
    <row r="58" ht="15" customHeight="1">
      <c r="A58" t="inlineStr">
        <is>
          <t>A 21777-2024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45442</v>
      </c>
      <c r="E58" s="1" t="n">
        <v>46234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HYPERLINK("https://klasma.github.io/Logging_2513/artfynd/A 21777-2024 artfynd.xlsx", "A 21777-2024")</f>
        <v/>
      </c>
      <c r="X58">
        <f>HYPERLINK("https://klasma.github.io/Logging_2513/kartor/A 21777-2024 karta.png", "A 21777-2024")</f>
        <v/>
      </c>
      <c r="Y58">
        <f>HYPERLINK("https://klasma.github.io/Logging_2513/kartor_geotiff/A 21777-2024 georefererad karta.tif", "A 21777-2024")</f>
        <v/>
      </c>
      <c r="AA58">
        <f>HYPERLINK("https://klasma.github.io/Logging_2513/klagomål/A 21777-2024 FSC-klagomål.docx", "A 21777-2024")</f>
        <v/>
      </c>
      <c r="AB58">
        <f>HYPERLINK("https://klasma.github.io/Logging_2513/klagomålsmail/A 21777-2024 FSC-klagomål mail.docx", "A 21777-2024")</f>
        <v/>
      </c>
      <c r="AC58">
        <f>HYPERLINK("https://klasma.github.io/Logging_2513/tillsyn/A 21777-2024 tillsynsbegäran.docx", "A 21777-2024")</f>
        <v/>
      </c>
      <c r="AD58">
        <f>HYPERLINK("https://klasma.github.io/Logging_2513/tillsynsmail/A 21777-2024 tillsynsbegäran mail.docx", "A 21777-2024")</f>
        <v/>
      </c>
    </row>
    <row r="59" ht="15" customHeight="1">
      <c r="A59" t="inlineStr">
        <is>
          <t>A 25335-2026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46234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46.9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Lunglav</t>
        </is>
      </c>
      <c r="W59">
        <f>HYPERLINK("https://klasma.github.io/Logging_2513/artfynd/A 25335-2026 artfynd.xlsx", "A 25335-2026")</f>
        <v/>
      </c>
      <c r="X59">
        <f>HYPERLINK("https://klasma.github.io/Logging_2513/kartor/A 25335-2026 karta.png", "A 25335-2026")</f>
        <v/>
      </c>
      <c r="Y59">
        <f>HYPERLINK("https://klasma.github.io/Logging_2513/kartor_geotiff/A 25335-2026 georefererad karta.tif", "A 25335-2026")</f>
        <v/>
      </c>
      <c r="AA59">
        <f>HYPERLINK("https://klasma.github.io/Logging_2513/klagomål/A 25335-2026 FSC-klagomål.docx", "A 25335-2026")</f>
        <v/>
      </c>
      <c r="AB59">
        <f>HYPERLINK("https://klasma.github.io/Logging_2513/klagomålsmail/A 25335-2026 FSC-klagomål mail.docx", "A 25335-2026")</f>
        <v/>
      </c>
      <c r="AC59">
        <f>HYPERLINK("https://klasma.github.io/Logging_2513/tillsyn/A 25335-2026 tillsynsbegäran.docx", "A 25335-2026")</f>
        <v/>
      </c>
      <c r="AD59">
        <f>HYPERLINK("https://klasma.github.io/Logging_2513/tillsynsmail/A 25335-2026 tillsynsbegäran mail.docx", "A 25335-2026")</f>
        <v/>
      </c>
    </row>
    <row r="60" ht="15" customHeight="1">
      <c r="A60" t="inlineStr">
        <is>
          <t>A 31704-2026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46226</v>
      </c>
      <c r="E60" s="1" t="n">
        <v>46234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2.2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 taggsvamp</t>
        </is>
      </c>
      <c r="W60">
        <f>HYPERLINK("https://klasma.github.io/Logging_2513/artfynd/A 31704-2026 artfynd.xlsx", "A 31704-2026")</f>
        <v/>
      </c>
      <c r="X60">
        <f>HYPERLINK("https://klasma.github.io/Logging_2513/kartor/A 31704-2026 karta.png", "A 31704-2026")</f>
        <v/>
      </c>
      <c r="Y60">
        <f>HYPERLINK("https://klasma.github.io/Logging_2513/kartor_geotiff/A 31704-2026 georefererad karta.tif", "A 31704-2026")</f>
        <v/>
      </c>
      <c r="AA60">
        <f>HYPERLINK("https://klasma.github.io/Logging_2513/klagomål/A 31704-2026 FSC-klagomål.docx", "A 31704-2026")</f>
        <v/>
      </c>
      <c r="AB60">
        <f>HYPERLINK("https://klasma.github.io/Logging_2513/klagomålsmail/A 31704-2026 FSC-klagomål mail.docx", "A 31704-2026")</f>
        <v/>
      </c>
      <c r="AC60">
        <f>HYPERLINK("https://klasma.github.io/Logging_2513/tillsyn/A 31704-2026 tillsynsbegäran.docx", "A 31704-2026")</f>
        <v/>
      </c>
      <c r="AD60">
        <f>HYPERLINK("https://klasma.github.io/Logging_2513/tillsynsmail/A 31704-2026 tillsynsbegäran mail.docx", "A 31704-2026")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46234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S 4190-2024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45579</v>
      </c>
      <c r="E62" s="1" t="n">
        <v>46234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14</v>
      </c>
      <c r="U62" t="n">
        <v>0</v>
      </c>
      <c r="V62" s="2" t="inlineStr">
        <is>
          <t>Lunglav</t>
        </is>
      </c>
      <c r="W62">
        <f>HYPERLINK("https://klasma.github.io/Logging_2513/artfynd/S 4190-2024 artfynd.xlsx", "S 4190-2024")</f>
        <v/>
      </c>
      <c r="X62">
        <f>HYPERLINK("https://klasma.github.io/Logging_2513/kartor/S 4190-2024 karta.png", "S 4190-2024")</f>
        <v/>
      </c>
      <c r="Y62">
        <f>HYPERLINK("https://klasma.github.io/Logging_2513/kartor_geotiff/S 4190-2024 georefererad karta.tif", "S 4190-2024")</f>
        <v/>
      </c>
      <c r="AA62">
        <f>HYPERLINK("https://klasma.github.io/Logging_2513/klagomål/S 4190-2024 FSC-klagomål.docx", "S 4190-2024")</f>
        <v/>
      </c>
      <c r="AB62">
        <f>HYPERLINK("https://klasma.github.io/Logging_2513/klagomålsmail/S 4190-2024 FSC-klagomål mail.docx", "S 4190-2024")</f>
        <v/>
      </c>
      <c r="AC62">
        <f>HYPERLINK("https://klasma.github.io/Logging_2513/tillsyn/S 4190-2024 tillsynsbegäran.docx", "S 4190-2024")</f>
        <v/>
      </c>
      <c r="AD62">
        <f>HYPERLINK("https://klasma.github.io/Logging_2513/tillsynsmail/S 4190-2024 tillsynsbegäran mail.docx", "S 4190-2024")</f>
        <v/>
      </c>
    </row>
    <row r="63" ht="15" customHeight="1">
      <c r="A63" t="inlineStr">
        <is>
          <t>S 1156-2024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45394</v>
      </c>
      <c r="E63" s="1" t="n">
        <v>46234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491.9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Sävsparv</t>
        </is>
      </c>
      <c r="W63">
        <f>HYPERLINK("https://klasma.github.io/Logging_2513/artfynd/S 1156-2024 artfynd.xlsx", "S 1156-2024")</f>
        <v/>
      </c>
      <c r="X63">
        <f>HYPERLINK("https://klasma.github.io/Logging_2513/kartor/S 1156-2024 karta.png", "S 1156-2024")</f>
        <v/>
      </c>
      <c r="Y63">
        <f>HYPERLINK("https://klasma.github.io/Logging_2513/kartor_geotiff/S 1156-2024 georefererad karta.tif", "S 1156-2024")</f>
        <v/>
      </c>
      <c r="AA63">
        <f>HYPERLINK("https://klasma.github.io/Logging_2513/klagomål/S 1156-2024 FSC-klagomål.docx", "S 1156-2024")</f>
        <v/>
      </c>
      <c r="AB63">
        <f>HYPERLINK("https://klasma.github.io/Logging_2513/klagomålsmail/S 1156-2024 FSC-klagomål mail.docx", "S 1156-2024")</f>
        <v/>
      </c>
      <c r="AC63">
        <f>HYPERLINK("https://klasma.github.io/Logging_2513/tillsyn/S 1156-2024 tillsynsbegäran.docx", "S 1156-2024")</f>
        <v/>
      </c>
      <c r="AD63">
        <f>HYPERLINK("https://klasma.github.io/Logging_2513/tillsynsmail/S 1156-2024 tillsynsbegäran mail.docx", "S 1156-2024")</f>
        <v/>
      </c>
      <c r="AE63">
        <f>HYPERLINK("https://klasma.github.io/Logging_2513/fåglar/S 1156-2024 prioriterade fågelarter.docx", "S 1156-2024")</f>
        <v/>
      </c>
    </row>
    <row r="64" ht="15" customHeight="1">
      <c r="A64" t="inlineStr">
        <is>
          <t>A 3174-2022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46234</v>
      </c>
      <c r="F64" t="inlineStr">
        <is>
          <t>NORRBOTTENS LÄN</t>
        </is>
      </c>
      <c r="G64" t="inlineStr">
        <is>
          <t>ÖVERKALIX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73348-2021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46234</v>
      </c>
      <c r="F65" t="inlineStr">
        <is>
          <t>NORRBOTTENS LÄN</t>
        </is>
      </c>
      <c r="G65" t="inlineStr">
        <is>
          <t>ÖVERKALIX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44830-2021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44438</v>
      </c>
      <c r="E66" s="1" t="n">
        <v>46234</v>
      </c>
      <c r="F66" t="inlineStr">
        <is>
          <t>NORRBOTTENS LÄN</t>
        </is>
      </c>
      <c r="G66" t="inlineStr">
        <is>
          <t>ÖVERKALIX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44718</v>
      </c>
      <c r="E67" s="1" t="n">
        <v>46234</v>
      </c>
      <c r="F67" t="inlineStr">
        <is>
          <t>NORRBOTTENS LÄN</t>
        </is>
      </c>
      <c r="G67" t="inlineStr">
        <is>
          <t>ÖVERKALIX</t>
        </is>
      </c>
      <c r="I67" t="n">
        <v>13.2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73757-2021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46234</v>
      </c>
      <c r="F68" t="inlineStr">
        <is>
          <t>NORRBOTTENS LÄN</t>
        </is>
      </c>
      <c r="G68" t="inlineStr">
        <is>
          <t>ÖVERKALIX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21847-2022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46234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44717</v>
      </c>
      <c r="E70" s="1" t="n">
        <v>46234</v>
      </c>
      <c r="F70" t="inlineStr">
        <is>
          <t>NORRBOTTENS LÄN</t>
        </is>
      </c>
      <c r="G70" t="inlineStr">
        <is>
          <t>ÖVERKALIX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29706-2022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46234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  <c r="Z71">
        <f>HYPERLINK("https://klasma.github.io/Logging_2513/knärot/A 29706-2022 karta knärot.png", "A 29706-2022")</f>
        <v/>
      </c>
      <c r="AA71">
        <f>HYPERLINK("https://klasma.github.io/Logging_2513/klagomål/A 29706-2022 FSC-klagomål.docx", "A 29706-2022")</f>
        <v/>
      </c>
      <c r="AB71">
        <f>HYPERLINK("https://klasma.github.io/Logging_2513/klagomålsmail/A 29706-2022 FSC-klagomål mail.docx", "A 29706-2022")</f>
        <v/>
      </c>
      <c r="AC71">
        <f>HYPERLINK("https://klasma.github.io/Logging_2513/tillsyn/A 29706-2022 tillsynsbegäran.docx", "A 29706-2022")</f>
        <v/>
      </c>
      <c r="AD71">
        <f>HYPERLINK("https://klasma.github.io/Logging_2513/tillsynsmail/A 29706-2022 tillsynsbegäran mail.docx", "A 29706-2022")</f>
        <v/>
      </c>
    </row>
    <row r="72" ht="15" customHeight="1">
      <c r="A72" t="inlineStr">
        <is>
          <t>A 6907-2022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46234</v>
      </c>
      <c r="F72" t="inlineStr">
        <is>
          <t>NORRBOTTENS LÄN</t>
        </is>
      </c>
      <c r="G72" t="inlineStr">
        <is>
          <t>ÖVERKALIX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46234</v>
      </c>
      <c r="F73" t="inlineStr">
        <is>
          <t>NORRBOTTENS LÄN</t>
        </is>
      </c>
      <c r="G73" t="inlineStr">
        <is>
          <t>ÖVERKALIX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46234</v>
      </c>
      <c r="F74" t="inlineStr">
        <is>
          <t>NORRBOTTENS LÄN</t>
        </is>
      </c>
      <c r="G74" t="inlineStr">
        <is>
          <t>ÖVERKALIX</t>
        </is>
      </c>
      <c r="H74" t="inlineStr">
        <is>
          <t>SCA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47629-2021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44448</v>
      </c>
      <c r="E75" s="1" t="n">
        <v>46234</v>
      </c>
      <c r="F75" t="inlineStr">
        <is>
          <t>NORRBOTTENS LÄN</t>
        </is>
      </c>
      <c r="G75" t="inlineStr">
        <is>
          <t>ÖVERKALIX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46234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44435</v>
      </c>
      <c r="E77" s="1" t="n">
        <v>46234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33497-2022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44788</v>
      </c>
      <c r="E78" s="1" t="n">
        <v>46234</v>
      </c>
      <c r="F78" t="inlineStr">
        <is>
          <t>NORRBOTTENS LÄN</t>
        </is>
      </c>
      <c r="G78" t="inlineStr">
        <is>
          <t>ÖVERKALIX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44417</v>
      </c>
      <c r="E79" s="1" t="n">
        <v>46234</v>
      </c>
      <c r="F79" t="inlineStr">
        <is>
          <t>NORRBOTTENS LÄN</t>
        </is>
      </c>
      <c r="G79" t="inlineStr">
        <is>
          <t>ÖVERKALIX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46790-2021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46234</v>
      </c>
      <c r="F80" t="inlineStr">
        <is>
          <t>NORRBOTTENS LÄN</t>
        </is>
      </c>
      <c r="G80" t="inlineStr">
        <is>
          <t>ÖVERKALIX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46234</v>
      </c>
      <c r="F81" t="inlineStr">
        <is>
          <t>NORRBOTTENS LÄN</t>
        </is>
      </c>
      <c r="G81" t="inlineStr">
        <is>
          <t>ÖVERKALIX</t>
        </is>
      </c>
      <c r="I81" t="n">
        <v>12.6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44424</v>
      </c>
      <c r="E82" s="1" t="n">
        <v>46234</v>
      </c>
      <c r="F82" t="inlineStr">
        <is>
          <t>NORRBOTTENS LÄN</t>
        </is>
      </c>
      <c r="G82" t="inlineStr">
        <is>
          <t>ÖVERKALIX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44432</v>
      </c>
      <c r="E83" s="1" t="n">
        <v>46234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54220-2021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46234</v>
      </c>
      <c r="F84" t="inlineStr">
        <is>
          <t>NORRBOTTENS LÄN</t>
        </is>
      </c>
      <c r="G84" t="inlineStr">
        <is>
          <t>ÖVERKALIX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46234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46234</v>
      </c>
      <c r="F86" t="inlineStr">
        <is>
          <t>NORRBOTTENS LÄN</t>
        </is>
      </c>
      <c r="G86" t="inlineStr">
        <is>
          <t>ÖVERKALIX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44433</v>
      </c>
      <c r="E87" s="1" t="n">
        <v>46234</v>
      </c>
      <c r="F87" t="inlineStr">
        <is>
          <t>NORRBOTTENS LÄN</t>
        </is>
      </c>
      <c r="G87" t="inlineStr">
        <is>
          <t>ÖVERKALIX</t>
        </is>
      </c>
      <c r="H87" t="inlineStr">
        <is>
          <t>Sveaskog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46234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44530</v>
      </c>
      <c r="E89" s="1" t="n">
        <v>46234</v>
      </c>
      <c r="F89" t="inlineStr">
        <is>
          <t>NORRBOTTENS LÄN</t>
        </is>
      </c>
      <c r="G89" t="inlineStr">
        <is>
          <t>ÖVERKALIX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46234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46234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6916-2022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44602</v>
      </c>
      <c r="E92" s="1" t="n">
        <v>46234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15.6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46234</v>
      </c>
      <c r="F93" t="inlineStr">
        <is>
          <t>NORRBOTTENS LÄN</t>
        </is>
      </c>
      <c r="G93" t="inlineStr">
        <is>
          <t>ÖVERKALIX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46234</v>
      </c>
      <c r="F94" t="inlineStr">
        <is>
          <t>NORRBOTTENS LÄN</t>
        </is>
      </c>
      <c r="G94" t="inlineStr">
        <is>
          <t>ÖVERKALIX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46234</v>
      </c>
      <c r="F95" t="inlineStr">
        <is>
          <t>NORRBOTTENS LÄN</t>
        </is>
      </c>
      <c r="G95" t="inlineStr">
        <is>
          <t>ÖVERKALIX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46234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46234</v>
      </c>
      <c r="F97" t="inlineStr">
        <is>
          <t>NORRBOTTENS LÄN</t>
        </is>
      </c>
      <c r="G97" t="inlineStr">
        <is>
          <t>ÖVERKALIX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44603</v>
      </c>
      <c r="E98" s="1" t="n">
        <v>46234</v>
      </c>
      <c r="F98" t="inlineStr">
        <is>
          <t>NORRBOTTENS LÄN</t>
        </is>
      </c>
      <c r="G98" t="inlineStr">
        <is>
          <t>ÖVERKALIX</t>
        </is>
      </c>
      <c r="H98" t="inlineStr">
        <is>
          <t>Övriga statliga verk och myndigheter</t>
        </is>
      </c>
      <c r="I98" t="n">
        <v>10.3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44880</v>
      </c>
      <c r="E99" s="1" t="n">
        <v>46234</v>
      </c>
      <c r="F99" t="inlineStr">
        <is>
          <t>NORRBOTTENS LÄN</t>
        </is>
      </c>
      <c r="G99" t="inlineStr">
        <is>
          <t>ÖVERKALIX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46234</v>
      </c>
      <c r="F100" t="inlineStr">
        <is>
          <t>NORRBOTTENS LÄN</t>
        </is>
      </c>
      <c r="G100" t="inlineStr">
        <is>
          <t>ÖVERKALIX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46234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46234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46234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39974-2021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46234</v>
      </c>
      <c r="F104" t="inlineStr">
        <is>
          <t>NORRBOTTENS LÄN</t>
        </is>
      </c>
      <c r="G104" t="inlineStr">
        <is>
          <t>ÖVERKALIX</t>
        </is>
      </c>
      <c r="I104" t="n">
        <v>21.6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45641</v>
      </c>
      <c r="E105" s="1" t="n">
        <v>46234</v>
      </c>
      <c r="F105" t="inlineStr">
        <is>
          <t>NORRBOTTENS LÄN</t>
        </is>
      </c>
      <c r="G105" t="inlineStr">
        <is>
          <t>ÖVERKALIX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22108-2025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46234</v>
      </c>
      <c r="F106" t="inlineStr">
        <is>
          <t>NORRBOTTENS LÄN</t>
        </is>
      </c>
      <c r="G106" t="inlineStr">
        <is>
          <t>ÖVERKALIX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46234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25.9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46234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45943</v>
      </c>
      <c r="E109" s="1" t="n">
        <v>46234</v>
      </c>
      <c r="F109" t="inlineStr">
        <is>
          <t>NORRBOTTENS LÄN</t>
        </is>
      </c>
      <c r="G109" t="inlineStr">
        <is>
          <t>ÖVERKALIX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46234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10.9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44890</v>
      </c>
      <c r="E111" s="1" t="n">
        <v>46234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SCA</t>
        </is>
      </c>
      <c r="I111" t="n">
        <v>13.8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45231</v>
      </c>
      <c r="E112" s="1" t="n">
        <v>46234</v>
      </c>
      <c r="F112" t="inlineStr">
        <is>
          <t>NORRBOTTENS LÄN</t>
        </is>
      </c>
      <c r="G112" t="inlineStr">
        <is>
          <t>ÖVERKALIX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46234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50720-2025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46234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46234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45793</v>
      </c>
      <c r="E116" s="1" t="n">
        <v>46234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45793</v>
      </c>
      <c r="E117" s="1" t="n">
        <v>46234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46234</v>
      </c>
      <c r="F118" t="inlineStr">
        <is>
          <t>NORRBOTTENS LÄN</t>
        </is>
      </c>
      <c r="G118" t="inlineStr">
        <is>
          <t>ÖVERKALIX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45793</v>
      </c>
      <c r="E119" s="1" t="n">
        <v>46234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46234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37.4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46234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46234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45691</v>
      </c>
      <c r="E123" s="1" t="n">
        <v>46234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20.3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46234</v>
      </c>
      <c r="F124" t="inlineStr">
        <is>
          <t>NORRBOTTENS LÄN</t>
        </is>
      </c>
      <c r="G124" t="inlineStr">
        <is>
          <t>ÖVERKALIX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44960</v>
      </c>
      <c r="E125" s="1" t="n">
        <v>46234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45518</v>
      </c>
      <c r="E126" s="1" t="n">
        <v>46234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45677</v>
      </c>
      <c r="E127" s="1" t="n">
        <v>46234</v>
      </c>
      <c r="F127" t="inlineStr">
        <is>
          <t>NORRBOTTENS LÄN</t>
        </is>
      </c>
      <c r="G127" t="inlineStr">
        <is>
          <t>ÖVERKALIX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46234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46234</v>
      </c>
      <c r="F129" t="inlineStr">
        <is>
          <t>NORRBOTTENS LÄN</t>
        </is>
      </c>
      <c r="G129" t="inlineStr">
        <is>
          <t>ÖVERKALIX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30993-2025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46234</v>
      </c>
      <c r="F130" t="inlineStr">
        <is>
          <t>NORRBOTTENS LÄN</t>
        </is>
      </c>
      <c r="G130" t="inlineStr">
        <is>
          <t>ÖVERKALIX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45323</v>
      </c>
      <c r="E131" s="1" t="n">
        <v>46234</v>
      </c>
      <c r="F131" t="inlineStr">
        <is>
          <t>NORRBOTTENS LÄN</t>
        </is>
      </c>
      <c r="G131" t="inlineStr">
        <is>
          <t>ÖVERKALIX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46234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46234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45951</v>
      </c>
      <c r="E134" s="1" t="n">
        <v>46234</v>
      </c>
      <c r="F134" t="inlineStr">
        <is>
          <t>NORRBOTTENS LÄN</t>
        </is>
      </c>
      <c r="G134" t="inlineStr">
        <is>
          <t>ÖVERKALIX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55838-2024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45622</v>
      </c>
      <c r="E135" s="1" t="n">
        <v>46234</v>
      </c>
      <c r="F135" t="inlineStr">
        <is>
          <t>NORRBOTTENS LÄN</t>
        </is>
      </c>
      <c r="G135" t="inlineStr">
        <is>
          <t>ÖVERKALIX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44306-2021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44435</v>
      </c>
      <c r="E136" s="1" t="n">
        <v>46234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46234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44754-2025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45917</v>
      </c>
      <c r="E138" s="1" t="n">
        <v>46234</v>
      </c>
      <c r="F138" t="inlineStr">
        <is>
          <t>NORRBOTTENS LÄN</t>
        </is>
      </c>
      <c r="G138" t="inlineStr">
        <is>
          <t>ÖVERKALIX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46234</v>
      </c>
      <c r="F139" t="inlineStr">
        <is>
          <t>NORRBOTTENS LÄN</t>
        </is>
      </c>
      <c r="G139" t="inlineStr">
        <is>
          <t>ÖVERKALIX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45463</v>
      </c>
      <c r="E140" s="1" t="n">
        <v>46234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45377</v>
      </c>
      <c r="E141" s="1" t="n">
        <v>46234</v>
      </c>
      <c r="F141" t="inlineStr">
        <is>
          <t>NORRBOTTENS LÄN</t>
        </is>
      </c>
      <c r="G141" t="inlineStr">
        <is>
          <t>ÖVERKALIX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45535-2025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45922</v>
      </c>
      <c r="E142" s="1" t="n">
        <v>46234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45811</v>
      </c>
      <c r="E143" s="1" t="n">
        <v>46234</v>
      </c>
      <c r="F143" t="inlineStr">
        <is>
          <t>NORRBOTTENS LÄN</t>
        </is>
      </c>
      <c r="G143" t="inlineStr">
        <is>
          <t>ÖVERKALIX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44834</v>
      </c>
      <c r="E144" s="1" t="n">
        <v>46234</v>
      </c>
      <c r="F144" t="inlineStr">
        <is>
          <t>NORRBOTTENS LÄN</t>
        </is>
      </c>
      <c r="G144" t="inlineStr">
        <is>
          <t>ÖVERKALIX</t>
        </is>
      </c>
      <c r="I144" t="n">
        <v>13.1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51634-2025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45951</v>
      </c>
      <c r="E145" s="1" t="n">
        <v>46234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46234</v>
      </c>
      <c r="F146" t="inlineStr">
        <is>
          <t>NORRBOTTENS LÄN</t>
        </is>
      </c>
      <c r="G146" t="inlineStr">
        <is>
          <t>ÖVERKALIX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46234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17.5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45949</v>
      </c>
      <c r="E148" s="1" t="n">
        <v>46234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46234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46234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27456-2025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45813</v>
      </c>
      <c r="E151" s="1" t="n">
        <v>46234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45813</v>
      </c>
      <c r="E152" s="1" t="n">
        <v>46234</v>
      </c>
      <c r="F152" t="inlineStr">
        <is>
          <t>NORRBOTTENS LÄN</t>
        </is>
      </c>
      <c r="G152" t="inlineStr">
        <is>
          <t>ÖVERKALIX</t>
        </is>
      </c>
      <c r="I152" t="n">
        <v>11.9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46234</v>
      </c>
      <c r="F153" t="inlineStr">
        <is>
          <t>NORRBOTTENS LÄN</t>
        </is>
      </c>
      <c r="G153" t="inlineStr">
        <is>
          <t>ÖVERKALIX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46234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46234</v>
      </c>
      <c r="F155" t="inlineStr">
        <is>
          <t>NORRBOTTENS LÄN</t>
        </is>
      </c>
      <c r="G155" t="inlineStr">
        <is>
          <t>ÖVERKALIX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45813</v>
      </c>
      <c r="E156" s="1" t="n">
        <v>46234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8.699999999999999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45813</v>
      </c>
      <c r="E157" s="1" t="n">
        <v>46234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28400-2025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46234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46234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45821</v>
      </c>
      <c r="E160" s="1" t="n">
        <v>46234</v>
      </c>
      <c r="F160" t="inlineStr">
        <is>
          <t>NORRBOTTENS LÄN</t>
        </is>
      </c>
      <c r="G160" t="inlineStr">
        <is>
          <t>ÖVERKALIX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45821</v>
      </c>
      <c r="E161" s="1" t="n">
        <v>46234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17.2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46234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46234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46234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8.199999999999999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46234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9.699999999999999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46234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45957</v>
      </c>
      <c r="E167" s="1" t="n">
        <v>46234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9.9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46234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46234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46234</v>
      </c>
      <c r="F170" t="inlineStr">
        <is>
          <t>NORRBOTTENS LÄN</t>
        </is>
      </c>
      <c r="G170" t="inlineStr">
        <is>
          <t>ÖVERKALIX</t>
        </is>
      </c>
      <c r="I170" t="n">
        <v>21.7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46234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24.4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46234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45826</v>
      </c>
      <c r="E173" s="1" t="n">
        <v>46234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46234</v>
      </c>
      <c r="F174" t="inlineStr">
        <is>
          <t>NORRBOTTENS LÄN</t>
        </is>
      </c>
      <c r="G174" t="inlineStr">
        <is>
          <t>ÖVERKALIX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52591-2025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45954</v>
      </c>
      <c r="E175" s="1" t="n">
        <v>46234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46234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46234</v>
      </c>
      <c r="F177" t="inlineStr">
        <is>
          <t>NORRBOTTENS LÄN</t>
        </is>
      </c>
      <c r="G177" t="inlineStr">
        <is>
          <t>ÖVERKALIX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46234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46234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45443</v>
      </c>
      <c r="E180" s="1" t="n">
        <v>46234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46234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31744-2025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45834</v>
      </c>
      <c r="E182" s="1" t="n">
        <v>46234</v>
      </c>
      <c r="F182" t="inlineStr">
        <is>
          <t>NORRBOTTENS LÄN</t>
        </is>
      </c>
      <c r="G182" t="inlineStr">
        <is>
          <t>ÖVERKALIX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46234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45460</v>
      </c>
      <c r="E184" s="1" t="n">
        <v>46234</v>
      </c>
      <c r="F184" t="inlineStr">
        <is>
          <t>NORRBOTTENS LÄN</t>
        </is>
      </c>
      <c r="G184" t="inlineStr">
        <is>
          <t>ÖVERKALIX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46234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45837</v>
      </c>
      <c r="E186" s="1" t="n">
        <v>46234</v>
      </c>
      <c r="F186" t="inlineStr">
        <is>
          <t>NORRBOTTENS LÄN</t>
        </is>
      </c>
      <c r="G186" t="inlineStr">
        <is>
          <t>ÖVERKALIX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45702</v>
      </c>
      <c r="E187" s="1" t="n">
        <v>46234</v>
      </c>
      <c r="F187" t="inlineStr">
        <is>
          <t>NORRBOTTENS LÄN</t>
        </is>
      </c>
      <c r="G187" t="inlineStr">
        <is>
          <t>ÖVERKALIX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46234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46234</v>
      </c>
      <c r="F189" t="inlineStr">
        <is>
          <t>NORRBOTTENS LÄN</t>
        </is>
      </c>
      <c r="G189" t="inlineStr">
        <is>
          <t>ÖVERKALIX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45837</v>
      </c>
      <c r="E190" s="1" t="n">
        <v>46234</v>
      </c>
      <c r="F190" t="inlineStr">
        <is>
          <t>NORRBOTTENS LÄN</t>
        </is>
      </c>
      <c r="G190" t="inlineStr">
        <is>
          <t>ÖVERKALIX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45837</v>
      </c>
      <c r="E191" s="1" t="n">
        <v>46234</v>
      </c>
      <c r="F191" t="inlineStr">
        <is>
          <t>NORRBOTTENS LÄN</t>
        </is>
      </c>
      <c r="G191" t="inlineStr">
        <is>
          <t>ÖVERKALIX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33266-2025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46234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46234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54118-2025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46234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Sveaskog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34128-2025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45845</v>
      </c>
      <c r="E195" s="1" t="n">
        <v>46234</v>
      </c>
      <c r="F195" t="inlineStr">
        <is>
          <t>NORRBOTTENS LÄN</t>
        </is>
      </c>
      <c r="G195" t="inlineStr">
        <is>
          <t>ÖVERKALIX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44886</v>
      </c>
      <c r="E196" s="1" t="n">
        <v>46234</v>
      </c>
      <c r="F196" t="inlineStr">
        <is>
          <t>NORRBOTTENS LÄN</t>
        </is>
      </c>
      <c r="G196" t="inlineStr">
        <is>
          <t>ÖVERKALIX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46234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46234</v>
      </c>
      <c r="F198" t="inlineStr">
        <is>
          <t>NORRBOTTENS LÄN</t>
        </is>
      </c>
      <c r="G198" t="inlineStr">
        <is>
          <t>ÖVERKALIX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45429</v>
      </c>
      <c r="E199" s="1" t="n">
        <v>46234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45588</v>
      </c>
      <c r="E200" s="1" t="n">
        <v>46234</v>
      </c>
      <c r="F200" t="inlineStr">
        <is>
          <t>NORRBOTTENS LÄN</t>
        </is>
      </c>
      <c r="G200" t="inlineStr">
        <is>
          <t>ÖVERKALIX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41706-2021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44424</v>
      </c>
      <c r="E201" s="1" t="n">
        <v>46234</v>
      </c>
      <c r="F201" t="inlineStr">
        <is>
          <t>NORRBOTTENS LÄN</t>
        </is>
      </c>
      <c r="G201" t="inlineStr">
        <is>
          <t>ÖVERKALIX</t>
        </is>
      </c>
      <c r="I201" t="n">
        <v>10.2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43173-2023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45180</v>
      </c>
      <c r="E202" s="1" t="n">
        <v>46234</v>
      </c>
      <c r="F202" t="inlineStr">
        <is>
          <t>NORRBOTTENS LÄN</t>
        </is>
      </c>
      <c r="G202" t="inlineStr">
        <is>
          <t>ÖVERKALIX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46234</v>
      </c>
      <c r="F203" t="inlineStr">
        <is>
          <t>NORRBOTTENS LÄN</t>
        </is>
      </c>
      <c r="G203" t="inlineStr">
        <is>
          <t>ÖVERKALIX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36501-2025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45869</v>
      </c>
      <c r="E204" s="1" t="n">
        <v>46234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45869</v>
      </c>
      <c r="E205" s="1" t="n">
        <v>46234</v>
      </c>
      <c r="F205" t="inlineStr">
        <is>
          <t>NORRBOTTENS LÄN</t>
        </is>
      </c>
      <c r="G205" t="inlineStr">
        <is>
          <t>ÖVERKALIX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45870</v>
      </c>
      <c r="E206" s="1" t="n">
        <v>46234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45870</v>
      </c>
      <c r="E207" s="1" t="n">
        <v>46234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72364-2021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44543</v>
      </c>
      <c r="E208" s="1" t="n">
        <v>46234</v>
      </c>
      <c r="F208" t="inlineStr">
        <is>
          <t>NORRBOTTENS LÄN</t>
        </is>
      </c>
      <c r="G208" t="inlineStr">
        <is>
          <t>ÖVERKALIX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45873</v>
      </c>
      <c r="E209" s="1" t="n">
        <v>46234</v>
      </c>
      <c r="F209" t="inlineStr">
        <is>
          <t>NORRBOTTENS LÄN</t>
        </is>
      </c>
      <c r="G209" t="inlineStr">
        <is>
          <t>ÖVERKALIX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46234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45882</v>
      </c>
      <c r="E211" s="1" t="n">
        <v>46234</v>
      </c>
      <c r="F211" t="inlineStr">
        <is>
          <t>NORRBOTTENS LÄN</t>
        </is>
      </c>
      <c r="G211" t="inlineStr">
        <is>
          <t>ÖVERKALIX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45005</v>
      </c>
      <c r="E212" s="1" t="n">
        <v>46234</v>
      </c>
      <c r="F212" t="inlineStr">
        <is>
          <t>NORRBOTTENS LÄN</t>
        </is>
      </c>
      <c r="G212" t="inlineStr">
        <is>
          <t>ÖVERKALIX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45882</v>
      </c>
      <c r="E213" s="1" t="n">
        <v>46234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46234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45372</v>
      </c>
      <c r="E215" s="1" t="n">
        <v>46234</v>
      </c>
      <c r="F215" t="inlineStr">
        <is>
          <t>NORRBOTTENS LÄN</t>
        </is>
      </c>
      <c r="G215" t="inlineStr">
        <is>
          <t>ÖVERKALIX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45882</v>
      </c>
      <c r="E216" s="1" t="n">
        <v>46234</v>
      </c>
      <c r="F216" t="inlineStr">
        <is>
          <t>NORRBOTTENS LÄN</t>
        </is>
      </c>
      <c r="G216" t="inlineStr">
        <is>
          <t>ÖVERKALIX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46234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45075</v>
      </c>
      <c r="E218" s="1" t="n">
        <v>46234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57744-2025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45981</v>
      </c>
      <c r="E219" s="1" t="n">
        <v>46234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45463</v>
      </c>
      <c r="E220" s="1" t="n">
        <v>46234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45086</v>
      </c>
      <c r="E221" s="1" t="n">
        <v>46234</v>
      </c>
      <c r="F221" t="inlineStr">
        <is>
          <t>NORRBOTTENS LÄN</t>
        </is>
      </c>
      <c r="G221" t="inlineStr">
        <is>
          <t>ÖVERKALIX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46234</v>
      </c>
      <c r="F222" t="inlineStr">
        <is>
          <t>NORRBOTTENS LÄN</t>
        </is>
      </c>
      <c r="G222" t="inlineStr">
        <is>
          <t>ÖVERKALIX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45141</v>
      </c>
      <c r="E223" s="1" t="n">
        <v>46234</v>
      </c>
      <c r="F223" t="inlineStr">
        <is>
          <t>NORRBOTTENS LÄN</t>
        </is>
      </c>
      <c r="G223" t="inlineStr">
        <is>
          <t>ÖVERKALIX</t>
        </is>
      </c>
      <c r="I223" t="n">
        <v>8.6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45986</v>
      </c>
      <c r="E224" s="1" t="n">
        <v>46234</v>
      </c>
      <c r="F224" t="inlineStr">
        <is>
          <t>NORRBOTTENS LÄN</t>
        </is>
      </c>
      <c r="G224" t="inlineStr">
        <is>
          <t>ÖVERKALIX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45986</v>
      </c>
      <c r="E225" s="1" t="n">
        <v>46234</v>
      </c>
      <c r="F225" t="inlineStr">
        <is>
          <t>NORRBOTTENS LÄN</t>
        </is>
      </c>
      <c r="G225" t="inlineStr">
        <is>
          <t>ÖVERKALIX</t>
        </is>
      </c>
      <c r="I225" t="n">
        <v>16.1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46234</v>
      </c>
      <c r="F226" t="inlineStr">
        <is>
          <t>NORRBOTTENS LÄN</t>
        </is>
      </c>
      <c r="G226" t="inlineStr">
        <is>
          <t>ÖVERKALIX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44823</v>
      </c>
      <c r="E227" s="1" t="n">
        <v>46234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40281-2022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44820</v>
      </c>
      <c r="E228" s="1" t="n">
        <v>46234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46234</v>
      </c>
      <c r="F229" t="inlineStr">
        <is>
          <t>NORRBOTTENS LÄN</t>
        </is>
      </c>
      <c r="G229" t="inlineStr">
        <is>
          <t>ÖVERKALIX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59829-2025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45992</v>
      </c>
      <c r="E230" s="1" t="n">
        <v>46234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13.3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45993</v>
      </c>
      <c r="E231" s="1" t="n">
        <v>46234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46234</v>
      </c>
      <c r="F232" t="inlineStr">
        <is>
          <t>NORRBOTTENS LÄN</t>
        </is>
      </c>
      <c r="G232" t="inlineStr">
        <is>
          <t>ÖVERKALIX</t>
        </is>
      </c>
      <c r="I232" t="n">
        <v>9.5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46234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46234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45996</v>
      </c>
      <c r="E235" s="1" t="n">
        <v>46234</v>
      </c>
      <c r="F235" t="inlineStr">
        <is>
          <t>NORRBOTTENS LÄN</t>
        </is>
      </c>
      <c r="G235" t="inlineStr">
        <is>
          <t>ÖVERKALIX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46234</v>
      </c>
      <c r="F236" t="inlineStr">
        <is>
          <t>NORRBOTTENS LÄN</t>
        </is>
      </c>
      <c r="G236" t="inlineStr">
        <is>
          <t>ÖVERKALIX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46234</v>
      </c>
      <c r="F237" t="inlineStr">
        <is>
          <t>NORRBOTTENS LÄN</t>
        </is>
      </c>
      <c r="G237" t="inlineStr">
        <is>
          <t>ÖVERKALIX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46234</v>
      </c>
      <c r="F238" t="inlineStr">
        <is>
          <t>NORRBOTTENS LÄN</t>
        </is>
      </c>
      <c r="G238" t="inlineStr">
        <is>
          <t>ÖVERKALIX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45428</v>
      </c>
      <c r="E239" s="1" t="n">
        <v>46234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55642-2023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46234</v>
      </c>
      <c r="F240" t="inlineStr">
        <is>
          <t>NORRBOTTENS LÄN</t>
        </is>
      </c>
      <c r="G240" t="inlineStr">
        <is>
          <t>ÖVERKALIX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60909-2025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46234</v>
      </c>
      <c r="F241" t="inlineStr">
        <is>
          <t>NORRBOTTENS LÄN</t>
        </is>
      </c>
      <c r="G241" t="inlineStr">
        <is>
          <t>ÖVERKALIX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46234</v>
      </c>
      <c r="F242" t="inlineStr">
        <is>
          <t>NORRBOTTENS LÄN</t>
        </is>
      </c>
      <c r="G242" t="inlineStr">
        <is>
          <t>ÖVERKALIX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45160</v>
      </c>
      <c r="E243" s="1" t="n">
        <v>46234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46234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46234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46234</v>
      </c>
      <c r="F246" t="inlineStr">
        <is>
          <t>NORRBOTTENS LÄN</t>
        </is>
      </c>
      <c r="G246" t="inlineStr">
        <is>
          <t>ÖVERKALIX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58764-2023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45251</v>
      </c>
      <c r="E247" s="1" t="n">
        <v>46234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26450-2025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45807</v>
      </c>
      <c r="E248" s="1" t="n">
        <v>46234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8.300000000000001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45671</v>
      </c>
      <c r="E249" s="1" t="n">
        <v>46234</v>
      </c>
      <c r="F249" t="inlineStr">
        <is>
          <t>NORRBOTTENS LÄN</t>
        </is>
      </c>
      <c r="G249" t="inlineStr">
        <is>
          <t>ÖVERKALIX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46234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63023-2025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46234</v>
      </c>
      <c r="F251" t="inlineStr">
        <is>
          <t>NORRBOTTENS LÄN</t>
        </is>
      </c>
      <c r="G251" t="inlineStr">
        <is>
          <t>ÖVERKALIX</t>
        </is>
      </c>
      <c r="I251" t="n">
        <v>9.800000000000001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45767-2023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45189</v>
      </c>
      <c r="E252" s="1" t="n">
        <v>46234</v>
      </c>
      <c r="F252" t="inlineStr">
        <is>
          <t>NORRBOTTENS LÄN</t>
        </is>
      </c>
      <c r="G252" t="inlineStr">
        <is>
          <t>ÖVERKALIX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63545-2025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46234</v>
      </c>
      <c r="F253" t="inlineStr">
        <is>
          <t>NORRBOTTENS LÄN</t>
        </is>
      </c>
      <c r="G253" t="inlineStr">
        <is>
          <t>ÖVERKALIX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46234</v>
      </c>
      <c r="F254" t="inlineStr">
        <is>
          <t>NORRBOTTENS LÄN</t>
        </is>
      </c>
      <c r="G254" t="inlineStr">
        <is>
          <t>ÖVERKALIX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63454-2025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46234</v>
      </c>
      <c r="F255" t="inlineStr">
        <is>
          <t>NORRBOTTENS LÄN</t>
        </is>
      </c>
      <c r="G255" t="inlineStr">
        <is>
          <t>ÖVERKALIX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45463</v>
      </c>
      <c r="E256" s="1" t="n">
        <v>46234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46234</v>
      </c>
      <c r="F257" t="inlineStr">
        <is>
          <t>NORRBOTTENS LÄN</t>
        </is>
      </c>
      <c r="G257" t="inlineStr">
        <is>
          <t>ÖVERKALIX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45133</v>
      </c>
      <c r="E258" s="1" t="n">
        <v>46234</v>
      </c>
      <c r="F258" t="inlineStr">
        <is>
          <t>NORRBOTTENS LÄN</t>
        </is>
      </c>
      <c r="G258" t="inlineStr">
        <is>
          <t>ÖVERKALIX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46234</v>
      </c>
      <c r="F259" t="inlineStr">
        <is>
          <t>NORRBOTTENS LÄN</t>
        </is>
      </c>
      <c r="G259" t="inlineStr">
        <is>
          <t>ÖVERKALIX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72809-2021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44546</v>
      </c>
      <c r="E260" s="1" t="n">
        <v>46234</v>
      </c>
      <c r="F260" t="inlineStr">
        <is>
          <t>NORRBOTTENS LÄN</t>
        </is>
      </c>
      <c r="G260" t="inlineStr">
        <is>
          <t>ÖVERKALIX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46234</v>
      </c>
      <c r="F261" t="inlineStr">
        <is>
          <t>NORRBOTTENS LÄN</t>
        </is>
      </c>
      <c r="G261" t="inlineStr">
        <is>
          <t>ÖVERKALIX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46234</v>
      </c>
      <c r="F262" t="inlineStr">
        <is>
          <t>NORRBOTTENS LÄN</t>
        </is>
      </c>
      <c r="G262" t="inlineStr">
        <is>
          <t>ÖVERKALIX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46234</v>
      </c>
      <c r="F263" t="inlineStr">
        <is>
          <t>NORRBOTTENS LÄN</t>
        </is>
      </c>
      <c r="G263" t="inlineStr">
        <is>
          <t>ÖVERKALIX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46234</v>
      </c>
      <c r="F264" t="inlineStr">
        <is>
          <t>NORRBOTTENS LÄN</t>
        </is>
      </c>
      <c r="G264" t="inlineStr">
        <is>
          <t>ÖVERKALIX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44993</v>
      </c>
      <c r="E265" s="1" t="n">
        <v>46234</v>
      </c>
      <c r="F265" t="inlineStr">
        <is>
          <t>NORRBOTTENS LÄN</t>
        </is>
      </c>
      <c r="G265" t="inlineStr">
        <is>
          <t>ÖVERKALIX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62269-2021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44502</v>
      </c>
      <c r="E266" s="1" t="n">
        <v>46234</v>
      </c>
      <c r="F266" t="inlineStr">
        <is>
          <t>NORRBOTTENS LÄN</t>
        </is>
      </c>
      <c r="G266" t="inlineStr">
        <is>
          <t>ÖVERKALIX</t>
        </is>
      </c>
      <c r="I266" t="n">
        <v>9.199999999999999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22470-2023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45070</v>
      </c>
      <c r="E267" s="1" t="n">
        <v>46234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5653-2022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44595</v>
      </c>
      <c r="E268" s="1" t="n">
        <v>46234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45747</v>
      </c>
      <c r="E269" s="1" t="n">
        <v>46234</v>
      </c>
      <c r="F269" t="inlineStr">
        <is>
          <t>NORRBOTTENS LÄN</t>
        </is>
      </c>
      <c r="G269" t="inlineStr">
        <is>
          <t>ÖVERKALIX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46234</v>
      </c>
      <c r="F270" t="inlineStr">
        <is>
          <t>NORRBOTTENS LÄN</t>
        </is>
      </c>
      <c r="G270" t="inlineStr">
        <is>
          <t>ÖVERKALIX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45315</v>
      </c>
      <c r="E271" s="1" t="n">
        <v>46234</v>
      </c>
      <c r="F271" t="inlineStr">
        <is>
          <t>NORRBOTTENS LÄN</t>
        </is>
      </c>
      <c r="G271" t="inlineStr">
        <is>
          <t>ÖVERKALIX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46234</v>
      </c>
      <c r="F272" t="inlineStr">
        <is>
          <t>NORRBOTTENS LÄN</t>
        </is>
      </c>
      <c r="G272" t="inlineStr">
        <is>
          <t>ÖVERKALIX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44601</v>
      </c>
      <c r="E273" s="1" t="n">
        <v>46234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26554-2023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45092</v>
      </c>
      <c r="E274" s="1" t="n">
        <v>46234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45712</v>
      </c>
      <c r="E275" s="1" t="n">
        <v>46234</v>
      </c>
      <c r="F275" t="inlineStr">
        <is>
          <t>NORRBOTTENS LÄN</t>
        </is>
      </c>
      <c r="G275" t="inlineStr">
        <is>
          <t>ÖVERKALIX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45308</v>
      </c>
      <c r="E276" s="1" t="n">
        <v>46234</v>
      </c>
      <c r="F276" t="inlineStr">
        <is>
          <t>NORRBOTTENS LÄN</t>
        </is>
      </c>
      <c r="G276" t="inlineStr">
        <is>
          <t>ÖVERKALIX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46234</v>
      </c>
      <c r="F277" t="inlineStr">
        <is>
          <t>NORRBOTTENS LÄN</t>
        </is>
      </c>
      <c r="G277" t="inlineStr">
        <is>
          <t>ÖVERKALIX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45321</v>
      </c>
      <c r="E278" s="1" t="n">
        <v>46234</v>
      </c>
      <c r="F278" t="inlineStr">
        <is>
          <t>NORRBOTTENS LÄN</t>
        </is>
      </c>
      <c r="G278" t="inlineStr">
        <is>
          <t>ÖVERKALIX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42407-2022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44830</v>
      </c>
      <c r="E279" s="1" t="n">
        <v>46234</v>
      </c>
      <c r="F279" t="inlineStr">
        <is>
          <t>NORRBOTTENS LÄN</t>
        </is>
      </c>
      <c r="G279" t="inlineStr">
        <is>
          <t>ÖVERKALIX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45463</v>
      </c>
      <c r="E280" s="1" t="n">
        <v>46234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46055</v>
      </c>
      <c r="E281" s="1" t="n">
        <v>46234</v>
      </c>
      <c r="F281" t="inlineStr">
        <is>
          <t>NORRBOTTENS LÄN</t>
        </is>
      </c>
      <c r="G281" t="inlineStr">
        <is>
          <t>ÖVERKALIX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73216-2021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44547</v>
      </c>
      <c r="E282" s="1" t="n">
        <v>46234</v>
      </c>
      <c r="F282" t="inlineStr">
        <is>
          <t>NORRBOTTENS LÄN</t>
        </is>
      </c>
      <c r="G282" t="inlineStr">
        <is>
          <t>ÖVERKALIX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46059</v>
      </c>
      <c r="E283" s="1" t="n">
        <v>46234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45594</v>
      </c>
      <c r="E284" s="1" t="n">
        <v>46234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46234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45471</v>
      </c>
      <c r="E286" s="1" t="n">
        <v>46234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27057-2024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45471</v>
      </c>
      <c r="E287" s="1" t="n">
        <v>46234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Sveaskog</t>
        </is>
      </c>
      <c r="I287" t="n">
        <v>32.6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52647-2024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46234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54143-2021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44469</v>
      </c>
      <c r="E289" s="1" t="n">
        <v>46234</v>
      </c>
      <c r="F289" t="inlineStr">
        <is>
          <t>NORRBOTTENS LÄN</t>
        </is>
      </c>
      <c r="G289" t="inlineStr">
        <is>
          <t>ÖVERKALIX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44950</v>
      </c>
      <c r="E290" s="1" t="n">
        <v>46234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45379</v>
      </c>
      <c r="E291" s="1" t="n">
        <v>46234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45218</v>
      </c>
      <c r="E292" s="1" t="n">
        <v>46234</v>
      </c>
      <c r="F292" t="inlineStr">
        <is>
          <t>NORRBOTTENS LÄN</t>
        </is>
      </c>
      <c r="G292" t="inlineStr">
        <is>
          <t>ÖVERKALIX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10292-2026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46234</v>
      </c>
      <c r="F293" t="inlineStr">
        <is>
          <t>NORRBOTTENS LÄN</t>
        </is>
      </c>
      <c r="G293" t="inlineStr">
        <is>
          <t>ÖVERKALIX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10293-2026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46076</v>
      </c>
      <c r="E294" s="1" t="n">
        <v>46234</v>
      </c>
      <c r="F294" t="inlineStr">
        <is>
          <t>NORRBOTTENS LÄN</t>
        </is>
      </c>
      <c r="G294" t="inlineStr">
        <is>
          <t>ÖVERKALIX</t>
        </is>
      </c>
      <c r="I294" t="n">
        <v>10.8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46234</v>
      </c>
      <c r="F295" t="inlineStr">
        <is>
          <t>NORRBOTTENS LÄN</t>
        </is>
      </c>
      <c r="G295" t="inlineStr">
        <is>
          <t>ÖVERKALIX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46080</v>
      </c>
      <c r="E296" s="1" t="n">
        <v>46234</v>
      </c>
      <c r="F296" t="inlineStr">
        <is>
          <t>NORRBOTTENS LÄN</t>
        </is>
      </c>
      <c r="G296" t="inlineStr">
        <is>
          <t>ÖVERKALIX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60400-2022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44910</v>
      </c>
      <c r="E297" s="1" t="n">
        <v>46234</v>
      </c>
      <c r="F297" t="inlineStr">
        <is>
          <t>NORRBOTTENS LÄN</t>
        </is>
      </c>
      <c r="G297" t="inlineStr">
        <is>
          <t>ÖVERKALIX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46080</v>
      </c>
      <c r="E298" s="1" t="n">
        <v>46234</v>
      </c>
      <c r="F298" t="inlineStr">
        <is>
          <t>NORRBOTTENS LÄN</t>
        </is>
      </c>
      <c r="G298" t="inlineStr">
        <is>
          <t>ÖVERKALIX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28343-2025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45818</v>
      </c>
      <c r="E299" s="1" t="n">
        <v>46234</v>
      </c>
      <c r="F299" t="inlineStr">
        <is>
          <t>NORRBOTTENS LÄN</t>
        </is>
      </c>
      <c r="G299" t="inlineStr">
        <is>
          <t>ÖVERKALIX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11685-2026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46234</v>
      </c>
      <c r="F300" t="inlineStr">
        <is>
          <t>NORRBOTTENS LÄN</t>
        </is>
      </c>
      <c r="G300" t="inlineStr">
        <is>
          <t>ÖVERKALIX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11770-2026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46234</v>
      </c>
      <c r="F301" t="inlineStr">
        <is>
          <t>NORRBOTTENS LÄN</t>
        </is>
      </c>
      <c r="G301" t="inlineStr">
        <is>
          <t>ÖVERKALIX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46234</v>
      </c>
      <c r="F302" t="inlineStr">
        <is>
          <t>NORRBOTTENS LÄN</t>
        </is>
      </c>
      <c r="G302" t="inlineStr">
        <is>
          <t>ÖVERKALIX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46234</v>
      </c>
      <c r="F303" t="inlineStr">
        <is>
          <t>NORRBOTTENS LÄN</t>
        </is>
      </c>
      <c r="G303" t="inlineStr">
        <is>
          <t>ÖVERKALIX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46234</v>
      </c>
      <c r="F304" t="inlineStr">
        <is>
          <t>NORRBOTTENS LÄN</t>
        </is>
      </c>
      <c r="G304" t="inlineStr">
        <is>
          <t>ÖVERKALIX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46234</v>
      </c>
      <c r="F305" t="inlineStr">
        <is>
          <t>NORRBOTTENS LÄN</t>
        </is>
      </c>
      <c r="G305" t="inlineStr">
        <is>
          <t>ÖVERKALIX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45631</v>
      </c>
      <c r="E306" s="1" t="n">
        <v>46234</v>
      </c>
      <c r="F306" t="inlineStr">
        <is>
          <t>NORRBOTTENS LÄN</t>
        </is>
      </c>
      <c r="G306" t="inlineStr">
        <is>
          <t>ÖVERKALIX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1944-2022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44575</v>
      </c>
      <c r="E307" s="1" t="n">
        <v>46234</v>
      </c>
      <c r="F307" t="inlineStr">
        <is>
          <t>NORRBOTTENS LÄN</t>
        </is>
      </c>
      <c r="G307" t="inlineStr">
        <is>
          <t>ÖVERKALIX</t>
        </is>
      </c>
      <c r="I307" t="n">
        <v>10.4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46087</v>
      </c>
      <c r="E308" s="1" t="n">
        <v>46234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46087</v>
      </c>
      <c r="E309" s="1" t="n">
        <v>46234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35169-2022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44797</v>
      </c>
      <c r="E310" s="1" t="n">
        <v>46234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32477-2024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45513</v>
      </c>
      <c r="E311" s="1" t="n">
        <v>46234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46234</v>
      </c>
      <c r="F312" t="inlineStr">
        <is>
          <t>NORRBOTTENS LÄN</t>
        </is>
      </c>
      <c r="G312" t="inlineStr">
        <is>
          <t>ÖVERKALIX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30881-2024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45498</v>
      </c>
      <c r="E313" s="1" t="n">
        <v>46234</v>
      </c>
      <c r="F313" t="inlineStr">
        <is>
          <t>NORRBOTTENS LÄN</t>
        </is>
      </c>
      <c r="G313" t="inlineStr">
        <is>
          <t>ÖVERKALIX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45308</v>
      </c>
      <c r="E314" s="1" t="n">
        <v>46234</v>
      </c>
      <c r="F314" t="inlineStr">
        <is>
          <t>NORRBOTTENS LÄN</t>
        </is>
      </c>
      <c r="G314" t="inlineStr">
        <is>
          <t>ÖVERKALIX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8026-2023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44973</v>
      </c>
      <c r="E315" s="1" t="n">
        <v>46234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45588</v>
      </c>
      <c r="E316" s="1" t="n">
        <v>46234</v>
      </c>
      <c r="F316" t="inlineStr">
        <is>
          <t>NORRBOTTENS LÄN</t>
        </is>
      </c>
      <c r="G316" t="inlineStr">
        <is>
          <t>ÖVERKALIX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46234</v>
      </c>
      <c r="F317" t="inlineStr">
        <is>
          <t>NORRBOTTENS LÄN</t>
        </is>
      </c>
      <c r="G317" t="inlineStr">
        <is>
          <t>ÖVERKALIX</t>
        </is>
      </c>
      <c r="I317" t="n">
        <v>9.4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12580-2024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45379</v>
      </c>
      <c r="E318" s="1" t="n">
        <v>46234</v>
      </c>
      <c r="F318" t="inlineStr">
        <is>
          <t>NORRBOTTENS LÄN</t>
        </is>
      </c>
      <c r="G318" t="inlineStr">
        <is>
          <t>ÖVERKALIX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15358-2026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46105</v>
      </c>
      <c r="E319" s="1" t="n">
        <v>46234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22.8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32616-2024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45513</v>
      </c>
      <c r="E320" s="1" t="n">
        <v>46234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Sveaskog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16487-2026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46112</v>
      </c>
      <c r="E321" s="1" t="n">
        <v>46234</v>
      </c>
      <c r="F321" t="inlineStr">
        <is>
          <t>NORRBOTTENS LÄN</t>
        </is>
      </c>
      <c r="G321" t="inlineStr">
        <is>
          <t>ÖVERKALIX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45709</v>
      </c>
      <c r="E322" s="1" t="n">
        <v>46234</v>
      </c>
      <c r="F322" t="inlineStr">
        <is>
          <t>NORRBOTTENS LÄN</t>
        </is>
      </c>
      <c r="G322" t="inlineStr">
        <is>
          <t>ÖVERKALIX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16794-2026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46113</v>
      </c>
      <c r="E323" s="1" t="n">
        <v>46234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45639</v>
      </c>
      <c r="E324" s="1" t="n">
        <v>46234</v>
      </c>
      <c r="F324" t="inlineStr">
        <is>
          <t>NORRBOTTENS LÄN</t>
        </is>
      </c>
      <c r="G324" t="inlineStr">
        <is>
          <t>ÖVERKALIX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46120</v>
      </c>
      <c r="E325" s="1" t="n">
        <v>46234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17469-2026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46234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17690-2026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46121</v>
      </c>
      <c r="E327" s="1" t="n">
        <v>46234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45622</v>
      </c>
      <c r="E328" s="1" t="n">
        <v>46234</v>
      </c>
      <c r="F328" t="inlineStr">
        <is>
          <t>NORRBOTTENS LÄN</t>
        </is>
      </c>
      <c r="G328" t="inlineStr">
        <is>
          <t>ÖVERKALIX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42721-2023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45181</v>
      </c>
      <c r="E329" s="1" t="n">
        <v>46234</v>
      </c>
      <c r="F329" t="inlineStr">
        <is>
          <t>NORRBOTTENS LÄN</t>
        </is>
      </c>
      <c r="G329" t="inlineStr">
        <is>
          <t>ÖVERKALIX</t>
        </is>
      </c>
      <c r="I329" t="n">
        <v>13.1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45693</v>
      </c>
      <c r="E330" s="1" t="n">
        <v>46234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18522-2026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46127</v>
      </c>
      <c r="E331" s="1" t="n">
        <v>46234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46127</v>
      </c>
      <c r="E332" s="1" t="n">
        <v>46234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19375-2026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46234</v>
      </c>
      <c r="F333" t="inlineStr">
        <is>
          <t>NORRBOTTENS LÄN</t>
        </is>
      </c>
      <c r="G333" t="inlineStr">
        <is>
          <t>ÖVERKALIX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46234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57870-2022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44899</v>
      </c>
      <c r="E335" s="1" t="n">
        <v>46234</v>
      </c>
      <c r="F335" t="inlineStr">
        <is>
          <t>NORRBOTTENS LÄN</t>
        </is>
      </c>
      <c r="G335" t="inlineStr">
        <is>
          <t>ÖVERKALIX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8417-2025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45709</v>
      </c>
      <c r="E336" s="1" t="n">
        <v>46234</v>
      </c>
      <c r="F336" t="inlineStr">
        <is>
          <t>NORRBOTTENS LÄN</t>
        </is>
      </c>
      <c r="G336" t="inlineStr">
        <is>
          <t>ÖVERKALIX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19410-2026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46234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45540</v>
      </c>
      <c r="E338" s="1" t="n">
        <v>46234</v>
      </c>
      <c r="F338" t="inlineStr">
        <is>
          <t>NORRBOTTENS LÄN</t>
        </is>
      </c>
      <c r="G338" t="inlineStr">
        <is>
          <t>ÖVERKALIX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64524-2023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45281</v>
      </c>
      <c r="E339" s="1" t="n">
        <v>46234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45154</v>
      </c>
      <c r="E340" s="1" t="n">
        <v>46234</v>
      </c>
      <c r="F340" t="inlineStr">
        <is>
          <t>NORRBOTTENS LÄN</t>
        </is>
      </c>
      <c r="G340" t="inlineStr">
        <is>
          <t>ÖVERKALIX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45643</v>
      </c>
      <c r="E341" s="1" t="n">
        <v>46234</v>
      </c>
      <c r="F341" t="inlineStr">
        <is>
          <t>NORRBOTTENS LÄN</t>
        </is>
      </c>
      <c r="G341" t="inlineStr">
        <is>
          <t>ÖVERKALIX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19805-2026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46135</v>
      </c>
      <c r="E342" s="1" t="n">
        <v>46234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9.199999999999999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42119-2024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45562</v>
      </c>
      <c r="E343" s="1" t="n">
        <v>46234</v>
      </c>
      <c r="F343" t="inlineStr">
        <is>
          <t>NORRBOTTENS LÄN</t>
        </is>
      </c>
      <c r="G343" t="inlineStr">
        <is>
          <t>ÖVERKALIX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19541-2024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45429</v>
      </c>
      <c r="E344" s="1" t="n">
        <v>46234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22.7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19616-2026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46134</v>
      </c>
      <c r="E345" s="1" t="n">
        <v>46234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45622</v>
      </c>
      <c r="E346" s="1" t="n">
        <v>46234</v>
      </c>
      <c r="F346" t="inlineStr">
        <is>
          <t>NORRBOTTENS LÄN</t>
        </is>
      </c>
      <c r="G346" t="inlineStr">
        <is>
          <t>ÖVERKALIX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15301-2022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46234</v>
      </c>
      <c r="F347" t="inlineStr">
        <is>
          <t>NORRBOTTENS LÄN</t>
        </is>
      </c>
      <c r="G347" t="inlineStr">
        <is>
          <t>ÖVERKALIX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45463</v>
      </c>
      <c r="E348" s="1" t="n">
        <v>46234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72623-2021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44546</v>
      </c>
      <c r="E349" s="1" t="n">
        <v>46234</v>
      </c>
      <c r="F349" t="inlineStr">
        <is>
          <t>NORRBOTTENS LÄN</t>
        </is>
      </c>
      <c r="G349" t="inlineStr">
        <is>
          <t>ÖVERKALIX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38940-2024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45548</v>
      </c>
      <c r="E350" s="1" t="n">
        <v>46234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32615-2024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45513</v>
      </c>
      <c r="E351" s="1" t="n">
        <v>46234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9.800000000000001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14255-2023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45009</v>
      </c>
      <c r="E352" s="1" t="n">
        <v>46234</v>
      </c>
      <c r="F352" t="inlineStr">
        <is>
          <t>NORRBOTTENS LÄN</t>
        </is>
      </c>
      <c r="G352" t="inlineStr">
        <is>
          <t>ÖVERKALIX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38975-2024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45548</v>
      </c>
      <c r="E353" s="1" t="n">
        <v>46234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51561-2024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45604</v>
      </c>
      <c r="E354" s="1" t="n">
        <v>46234</v>
      </c>
      <c r="F354" t="inlineStr">
        <is>
          <t>NORRBOTTENS LÄN</t>
        </is>
      </c>
      <c r="G354" t="inlineStr">
        <is>
          <t>ÖVERKALIX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44938</v>
      </c>
      <c r="E355" s="1" t="n">
        <v>46234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20171-2026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46234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45748-2023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45189</v>
      </c>
      <c r="E357" s="1" t="n">
        <v>46234</v>
      </c>
      <c r="F357" t="inlineStr">
        <is>
          <t>NORRBOTTENS LÄN</t>
        </is>
      </c>
      <c r="G357" t="inlineStr">
        <is>
          <t>ÖVERKALIX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46140</v>
      </c>
      <c r="E358" s="1" t="n">
        <v>46234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13717-2022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44648</v>
      </c>
      <c r="E359" s="1" t="n">
        <v>46234</v>
      </c>
      <c r="F359" t="inlineStr">
        <is>
          <t>NORRBOTTENS LÄN</t>
        </is>
      </c>
      <c r="G359" t="inlineStr">
        <is>
          <t>ÖVERKALIX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43042-2025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45909</v>
      </c>
      <c r="E360" s="1" t="n">
        <v>46234</v>
      </c>
      <c r="F360" t="inlineStr">
        <is>
          <t>NORRBOTTENS LÄN</t>
        </is>
      </c>
      <c r="G360" t="inlineStr">
        <is>
          <t>ÖVERKALIX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45818</v>
      </c>
      <c r="E361" s="1" t="n">
        <v>46234</v>
      </c>
      <c r="F361" t="inlineStr">
        <is>
          <t>NORRBOTTENS LÄN</t>
        </is>
      </c>
      <c r="G361" t="inlineStr">
        <is>
          <t>ÖVERKALIX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21299-2024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45440</v>
      </c>
      <c r="E362" s="1" t="n">
        <v>46234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33315-2024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45518</v>
      </c>
      <c r="E363" s="1" t="n">
        <v>46234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45747</v>
      </c>
      <c r="E364" s="1" t="n">
        <v>46234</v>
      </c>
      <c r="F364" t="inlineStr">
        <is>
          <t>NORRBOTTENS LÄN</t>
        </is>
      </c>
      <c r="G364" t="inlineStr">
        <is>
          <t>ÖVERKALIX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45699</v>
      </c>
      <c r="E365" s="1" t="n">
        <v>46234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28.8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46142</v>
      </c>
      <c r="E366" s="1" t="n">
        <v>46234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44966</v>
      </c>
      <c r="E367" s="1" t="n">
        <v>46234</v>
      </c>
      <c r="F367" t="inlineStr">
        <is>
          <t>NORRBOTTENS LÄN</t>
        </is>
      </c>
      <c r="G367" t="inlineStr">
        <is>
          <t>ÖVERKALIX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45205</v>
      </c>
      <c r="E368" s="1" t="n">
        <v>46234</v>
      </c>
      <c r="F368" t="inlineStr">
        <is>
          <t>NORRBOTTENS LÄN</t>
        </is>
      </c>
      <c r="G368" t="inlineStr">
        <is>
          <t>ÖVERKALIX</t>
        </is>
      </c>
      <c r="I368" t="n">
        <v>9.300000000000001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21417-2026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46148</v>
      </c>
      <c r="E369" s="1" t="n">
        <v>46234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46234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45334</v>
      </c>
      <c r="E371" s="1" t="n">
        <v>46234</v>
      </c>
      <c r="F371" t="inlineStr">
        <is>
          <t>NORRBOTTENS LÄN</t>
        </is>
      </c>
      <c r="G371" t="inlineStr">
        <is>
          <t>ÖVERKALIX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46234</v>
      </c>
      <c r="F372" t="inlineStr">
        <is>
          <t>NORRBOTTENS LÄN</t>
        </is>
      </c>
      <c r="G372" t="inlineStr">
        <is>
          <t>ÖVERKALIX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55227-2024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45621</v>
      </c>
      <c r="E373" s="1" t="n">
        <v>46234</v>
      </c>
      <c r="F373" t="inlineStr">
        <is>
          <t>NORRBOTTENS LÄN</t>
        </is>
      </c>
      <c r="G373" t="inlineStr">
        <is>
          <t>ÖVERKALIX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21411-2026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46234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21419-2026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46234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21423-2026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46148</v>
      </c>
      <c r="E376" s="1" t="n">
        <v>46234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21424-2026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46148</v>
      </c>
      <c r="E377" s="1" t="n">
        <v>46234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7.5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21425-2026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46148</v>
      </c>
      <c r="E378" s="1" t="n">
        <v>46234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21429-2026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46148</v>
      </c>
      <c r="E379" s="1" t="n">
        <v>46234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18.8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46234</v>
      </c>
      <c r="F380" t="inlineStr">
        <is>
          <t>NORRBOTTENS LÄN</t>
        </is>
      </c>
      <c r="G380" t="inlineStr">
        <is>
          <t>ÖVERKALIX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46234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11.5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45699</v>
      </c>
      <c r="E382" s="1" t="n">
        <v>46234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18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22163-2026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46234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23.2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6591-2023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44966</v>
      </c>
      <c r="E384" s="1" t="n">
        <v>46234</v>
      </c>
      <c r="F384" t="inlineStr">
        <is>
          <t>NORRBOTTENS LÄN</t>
        </is>
      </c>
      <c r="G384" t="inlineStr">
        <is>
          <t>ÖVERKALIX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45321</v>
      </c>
      <c r="E385" s="1" t="n">
        <v>46234</v>
      </c>
      <c r="F385" t="inlineStr">
        <is>
          <t>NORRBOTTENS LÄN</t>
        </is>
      </c>
      <c r="G385" t="inlineStr">
        <is>
          <t>ÖVERKALIX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46234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45107</v>
      </c>
      <c r="E387" s="1" t="n">
        <v>46234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72212-2021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44543</v>
      </c>
      <c r="E388" s="1" t="n">
        <v>46234</v>
      </c>
      <c r="F388" t="inlineStr">
        <is>
          <t>NORRBOTTENS LÄN</t>
        </is>
      </c>
      <c r="G388" t="inlineStr">
        <is>
          <t>ÖVERKALIX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15854-2024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45404</v>
      </c>
      <c r="E389" s="1" t="n">
        <v>46234</v>
      </c>
      <c r="F389" t="inlineStr">
        <is>
          <t>NORRBOTTENS LÄN</t>
        </is>
      </c>
      <c r="G389" t="inlineStr">
        <is>
          <t>ÖVERKALIX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20580-2024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45436</v>
      </c>
      <c r="E390" s="1" t="n">
        <v>46234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29.9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28210-2026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46196</v>
      </c>
      <c r="E391" s="1" t="n">
        <v>46234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45667</v>
      </c>
      <c r="E392" s="1" t="n">
        <v>46234</v>
      </c>
      <c r="F392" t="inlineStr">
        <is>
          <t>NORRBOTTENS LÄN</t>
        </is>
      </c>
      <c r="G392" t="inlineStr">
        <is>
          <t>ÖVERKALIX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48221-2025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45933</v>
      </c>
      <c r="E393" s="1" t="n">
        <v>46234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15546-2024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45401</v>
      </c>
      <c r="E394" s="1" t="n">
        <v>46234</v>
      </c>
      <c r="F394" t="inlineStr">
        <is>
          <t>NORRBOTTENS LÄN</t>
        </is>
      </c>
      <c r="G394" t="inlineStr">
        <is>
          <t>ÖVERKALIX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46234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46234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22742-2026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46157</v>
      </c>
      <c r="E397" s="1" t="n">
        <v>46234</v>
      </c>
      <c r="F397" t="inlineStr">
        <is>
          <t>NORRBOTTENS LÄN</t>
        </is>
      </c>
      <c r="G397" t="inlineStr">
        <is>
          <t>ÖVERKALIX</t>
        </is>
      </c>
      <c r="I397" t="n">
        <v>10.6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46234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39405-2022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44817</v>
      </c>
      <c r="E399" s="1" t="n">
        <v>46234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46160</v>
      </c>
      <c r="E400" s="1" t="n">
        <v>46234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46160</v>
      </c>
      <c r="E401" s="1" t="n">
        <v>46234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37085-2024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46234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46945-2021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44446</v>
      </c>
      <c r="E403" s="1" t="n">
        <v>46234</v>
      </c>
      <c r="F403" t="inlineStr">
        <is>
          <t>NORRBOTTENS LÄN</t>
        </is>
      </c>
      <c r="G403" t="inlineStr">
        <is>
          <t>ÖVERKALIX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23353-2026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46234</v>
      </c>
      <c r="F404" t="inlineStr">
        <is>
          <t>NORRBOTTENS LÄN</t>
        </is>
      </c>
      <c r="G404" t="inlineStr">
        <is>
          <t>ÖVERKALIX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23364-2026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46234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17.6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45223</v>
      </c>
      <c r="E406" s="1" t="n">
        <v>46234</v>
      </c>
      <c r="F406" t="inlineStr">
        <is>
          <t>NORRBOTTENS LÄN</t>
        </is>
      </c>
      <c r="G406" t="inlineStr">
        <is>
          <t>ÖVERKALIX</t>
        </is>
      </c>
      <c r="I406" t="n">
        <v>8.6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46234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9.9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46234</v>
      </c>
      <c r="F408" t="inlineStr">
        <is>
          <t>NORRBOTTENS LÄN</t>
        </is>
      </c>
      <c r="G408" t="inlineStr">
        <is>
          <t>ÖVERKALIX</t>
        </is>
      </c>
      <c r="I408" t="n">
        <v>6.1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46234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43673-2021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44433</v>
      </c>
      <c r="E410" s="1" t="n">
        <v>46234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45693</v>
      </c>
      <c r="E411" s="1" t="n">
        <v>46234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46234</v>
      </c>
      <c r="F412" t="inlineStr">
        <is>
          <t>NORRBOTTENS LÄN</t>
        </is>
      </c>
      <c r="G412" t="inlineStr">
        <is>
          <t>ÖVERKALIX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46162</v>
      </c>
      <c r="E413" s="1" t="n">
        <v>46234</v>
      </c>
      <c r="F413" t="inlineStr">
        <is>
          <t>NORRBOTTENS LÄN</t>
        </is>
      </c>
      <c r="G413" t="inlineStr">
        <is>
          <t>ÖVERKALIX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29937-2026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46205</v>
      </c>
      <c r="E414" s="1" t="n">
        <v>46234</v>
      </c>
      <c r="F414" t="inlineStr">
        <is>
          <t>NORRBOTTENS LÄN</t>
        </is>
      </c>
      <c r="G414" t="inlineStr">
        <is>
          <t>ÖVERKALIX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29927-2026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46205</v>
      </c>
      <c r="E415" s="1" t="n">
        <v>46234</v>
      </c>
      <c r="F415" t="inlineStr">
        <is>
          <t>NORRBOTTENS LÄN</t>
        </is>
      </c>
      <c r="G415" t="inlineStr">
        <is>
          <t>ÖVERKALIX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46234</v>
      </c>
      <c r="F416" t="inlineStr">
        <is>
          <t>NORRBOTTENS LÄN</t>
        </is>
      </c>
      <c r="G416" t="inlineStr">
        <is>
          <t>ÖVERKALIX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45315</v>
      </c>
      <c r="E417" s="1" t="n">
        <v>46234</v>
      </c>
      <c r="F417" t="inlineStr">
        <is>
          <t>NORRBOTTENS LÄN</t>
        </is>
      </c>
      <c r="G417" t="inlineStr">
        <is>
          <t>ÖVERKALIX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46234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55226-2024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45621</v>
      </c>
      <c r="E419" s="1" t="n">
        <v>46234</v>
      </c>
      <c r="F419" t="inlineStr">
        <is>
          <t>NORRBOTTENS LÄN</t>
        </is>
      </c>
      <c r="G419" t="inlineStr">
        <is>
          <t>ÖVERKALIX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46234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46234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28372-2025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45818</v>
      </c>
      <c r="E422" s="1" t="n">
        <v>46234</v>
      </c>
      <c r="F422" t="inlineStr">
        <is>
          <t>NORRBOTTENS LÄN</t>
        </is>
      </c>
      <c r="G422" t="inlineStr">
        <is>
          <t>ÖVERKALIX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46234</v>
      </c>
      <c r="F423" t="inlineStr">
        <is>
          <t>NORRBOTTENS LÄN</t>
        </is>
      </c>
      <c r="G423" t="inlineStr">
        <is>
          <t>ÖVERKALIX</t>
        </is>
      </c>
      <c r="I423" t="n">
        <v>22.3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46234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30039-2026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46234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23942-2026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46234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30328-2026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46207</v>
      </c>
      <c r="E427" s="1" t="n">
        <v>46234</v>
      </c>
      <c r="F427" t="inlineStr">
        <is>
          <t>NORRBOTTENS LÄN</t>
        </is>
      </c>
      <c r="G427" t="inlineStr">
        <is>
          <t>ÖVERKALIX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15153-2025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45744</v>
      </c>
      <c r="E428" s="1" t="n">
        <v>46234</v>
      </c>
      <c r="F428" t="inlineStr">
        <is>
          <t>NORRBOTTENS LÄN</t>
        </is>
      </c>
      <c r="G428" t="inlineStr">
        <is>
          <t>ÖVERKALIX</t>
        </is>
      </c>
      <c r="I428" t="n">
        <v>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30241-2026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46206</v>
      </c>
      <c r="E429" s="1" t="n">
        <v>46234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30329-2026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46207</v>
      </c>
      <c r="E430" s="1" t="n">
        <v>46234</v>
      </c>
      <c r="F430" t="inlineStr">
        <is>
          <t>NORRBOTTENS LÄN</t>
        </is>
      </c>
      <c r="G430" t="inlineStr">
        <is>
          <t>ÖVERKALIX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30327-2026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46207</v>
      </c>
      <c r="E431" s="1" t="n">
        <v>46234</v>
      </c>
      <c r="F431" t="inlineStr">
        <is>
          <t>NORRBOTTENS LÄN</t>
        </is>
      </c>
      <c r="G431" t="inlineStr">
        <is>
          <t>ÖVERKALIX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51354-2025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46234</v>
      </c>
      <c r="F432" t="inlineStr">
        <is>
          <t>NORRBOTTENS LÄN</t>
        </is>
      </c>
      <c r="G432" t="inlineStr">
        <is>
          <t>ÖVERKALIX</t>
        </is>
      </c>
      <c r="I432" t="n">
        <v>8.199999999999999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23949-2026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46234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23953-2026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46234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46234</v>
      </c>
      <c r="F435" t="inlineStr">
        <is>
          <t>NORRBOTTENS LÄN</t>
        </is>
      </c>
      <c r="G435" t="inlineStr">
        <is>
          <t>ÖVERKALIX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58037-2024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45631</v>
      </c>
      <c r="E436" s="1" t="n">
        <v>46234</v>
      </c>
      <c r="F436" t="inlineStr">
        <is>
          <t>NORRBOTTENS LÄN</t>
        </is>
      </c>
      <c r="G436" t="inlineStr">
        <is>
          <t>ÖVERKALIX</t>
        </is>
      </c>
      <c r="I436" t="n">
        <v>7.4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46234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30326-2026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46207</v>
      </c>
      <c r="E438" s="1" t="n">
        <v>46234</v>
      </c>
      <c r="F438" t="inlineStr">
        <is>
          <t>NORRBOTTENS LÄN</t>
        </is>
      </c>
      <c r="G438" t="inlineStr">
        <is>
          <t>ÖVERKALIX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62561-2023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45268</v>
      </c>
      <c r="E439" s="1" t="n">
        <v>46234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24128-2026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46234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18.6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48577-2023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45208</v>
      </c>
      <c r="E441" s="1" t="n">
        <v>46234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38941-2024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45548</v>
      </c>
      <c r="E442" s="1" t="n">
        <v>46234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46168</v>
      </c>
      <c r="E443" s="1" t="n">
        <v>46234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40329-2023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45169</v>
      </c>
      <c r="E444" s="1" t="n">
        <v>46234</v>
      </c>
      <c r="F444" t="inlineStr">
        <is>
          <t>NORRBOTTENS LÄN</t>
        </is>
      </c>
      <c r="G444" t="inlineStr">
        <is>
          <t>ÖVERKALIX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24129-2026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46234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45153</v>
      </c>
      <c r="E446" s="1" t="n">
        <v>46234</v>
      </c>
      <c r="F446" t="inlineStr">
        <is>
          <t>NORRBOTTENS LÄN</t>
        </is>
      </c>
      <c r="G446" t="inlineStr">
        <is>
          <t>ÖVERKALIX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52976-2024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46234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24587-2026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46234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29960-2023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46234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45076</v>
      </c>
      <c r="E450" s="1" t="n">
        <v>46234</v>
      </c>
      <c r="F450" t="inlineStr">
        <is>
          <t>NORRBOTTENS LÄN</t>
        </is>
      </c>
      <c r="G450" t="inlineStr">
        <is>
          <t>ÖVERKALIX</t>
        </is>
      </c>
      <c r="H450" t="inlineStr">
        <is>
          <t>Övriga statliga verk och myndigheter</t>
        </is>
      </c>
      <c r="I450" t="n">
        <v>38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50392-2025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45944</v>
      </c>
      <c r="E451" s="1" t="n">
        <v>46234</v>
      </c>
      <c r="F451" t="inlineStr">
        <is>
          <t>NORRBOTTENS LÄN</t>
        </is>
      </c>
      <c r="G451" t="inlineStr">
        <is>
          <t>ÖVERKALIX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19529-2024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45429</v>
      </c>
      <c r="E452" s="1" t="n">
        <v>46234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48561-2024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45593</v>
      </c>
      <c r="E453" s="1" t="n">
        <v>46234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8.199999999999999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45692</v>
      </c>
      <c r="E454" s="1" t="n">
        <v>46234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25180-2026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46175</v>
      </c>
      <c r="E455" s="1" t="n">
        <v>46234</v>
      </c>
      <c r="F455" t="inlineStr">
        <is>
          <t>NORRBOTTENS LÄN</t>
        </is>
      </c>
      <c r="G455" t="inlineStr">
        <is>
          <t>ÖVERKALIX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25545-2026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46234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45693</v>
      </c>
      <c r="E457" s="1" t="n">
        <v>46234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46234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46234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25822-2026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46178</v>
      </c>
      <c r="E460" s="1" t="n">
        <v>46234</v>
      </c>
      <c r="F460" t="inlineStr">
        <is>
          <t>NORRBOTTENS LÄN</t>
        </is>
      </c>
      <c r="G460" t="inlineStr">
        <is>
          <t>ÖVERKALIX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25965-2026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46234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25970-2026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46234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46225</v>
      </c>
      <c r="E463" s="1" t="n">
        <v>46234</v>
      </c>
      <c r="F463" t="inlineStr">
        <is>
          <t>NORRBOTTENS LÄN</t>
        </is>
      </c>
      <c r="G463" t="inlineStr">
        <is>
          <t>ÖVERKALIX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26426-2026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46183</v>
      </c>
      <c r="E464" s="1" t="n">
        <v>46234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13.8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26427-2026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46183</v>
      </c>
      <c r="E465" s="1" t="n">
        <v>46234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17.7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26429-2026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46183</v>
      </c>
      <c r="E466" s="1" t="n">
        <v>46234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27087-2026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46187</v>
      </c>
      <c r="E467" s="1" t="n">
        <v>46234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46230</v>
      </c>
      <c r="E468" s="1" t="n">
        <v>46234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27681-2026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46234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46234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46234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46234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46234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46234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46234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46234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2026-07-31T01:53:37Z</dcterms:created>
  <dcterms:modified xmlns:dcterms="http://purl.org/dc/terms/" xmlns:xsi="http://www.w3.org/2001/XMLSchema-instance" xsi:type="dcterms:W3CDTF">2026-07-31T01:53:38Z</dcterms:modified>
</cp:coreProperties>
</file>