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45845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45845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45845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45845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45845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45845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45845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45845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45845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45845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45845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45845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45845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45845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45845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45845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45845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45845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45845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30532-2025</t>
        </is>
      </c>
      <c r="B62" s="1" t="n">
        <v>45831</v>
      </c>
      <c r="C62" s="1" t="n">
        <v>45845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HYPERLINK("https://klasma.github.io/Logging_252513/artfynd/A 30532-2025 artfynd.xlsx", "A 30532-2025")</f>
        <v/>
      </c>
      <c r="T62">
        <f>HYPERLINK("https://klasma.github.io/Logging_252513/kartor/A 30532-2025 karta.png", "A 30532-2025")</f>
        <v/>
      </c>
      <c r="V62">
        <f>HYPERLINK("https://klasma.github.io/Logging_252513/klagomål/A 30532-2025 FSC-klagomål.docx", "A 30532-2025")</f>
        <v/>
      </c>
      <c r="W62">
        <f>HYPERLINK("https://klasma.github.io/Logging_252513/klagomålsmail/A 30532-2025 FSC-klagomål mail.docx", "A 30532-2025")</f>
        <v/>
      </c>
      <c r="X62">
        <f>HYPERLINK("https://klasma.github.io/Logging_252513/tillsyn/A 30532-2025 tillsynsbegäran.docx", "A 30532-2025")</f>
        <v/>
      </c>
      <c r="Y62">
        <f>HYPERLINK("https://klasma.github.io/Logging_252513/tillsynsmail/A 30532-2025 tillsynsbegäran mail.docx", "A 30532-2025")</f>
        <v/>
      </c>
    </row>
    <row r="63" ht="15" customHeight="1">
      <c r="A63" t="inlineStr">
        <is>
          <t>A 30525-2025</t>
        </is>
      </c>
      <c r="B63" s="1" t="n">
        <v>45831</v>
      </c>
      <c r="C63" s="1" t="n">
        <v>45845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HYPERLINK("https://klasma.github.io/Logging_252513/artfynd/A 30525-2025 artfynd.xlsx", "A 30525-2025")</f>
        <v/>
      </c>
      <c r="T63">
        <f>HYPERLINK("https://klasma.github.io/Logging_252513/kartor/A 30525-2025 karta.png", "A 30525-2025")</f>
        <v/>
      </c>
      <c r="V63">
        <f>HYPERLINK("https://klasma.github.io/Logging_252513/klagomål/A 30525-2025 FSC-klagomål.docx", "A 30525-2025")</f>
        <v/>
      </c>
      <c r="W63">
        <f>HYPERLINK("https://klasma.github.io/Logging_252513/klagomålsmail/A 30525-2025 FSC-klagomål mail.docx", "A 30525-2025")</f>
        <v/>
      </c>
      <c r="X63">
        <f>HYPERLINK("https://klasma.github.io/Logging_252513/tillsyn/A 30525-2025 tillsynsbegäran.docx", "A 30525-2025")</f>
        <v/>
      </c>
      <c r="Y63">
        <f>HYPERLINK("https://klasma.github.io/Logging_252513/tillsynsmail/A 30525-2025 tillsynsbegäran mail.docx", "A 30525-2025")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45845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45845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45845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45845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45845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45845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45845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45845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45845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45845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45845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45845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45845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45845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45845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45845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45845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45845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45845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45845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45845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45845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45845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45845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45845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45845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45845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45845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45845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45845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45845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45845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45845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45845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45845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45845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45845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45845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45845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45845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45845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45845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45845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45845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45845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45845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45845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45845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45845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45845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45845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45845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45845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45845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45845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45845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45845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45845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45845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45845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45845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45845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45845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45845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45845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45845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45845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45845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45845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45845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45845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45845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45845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45845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45845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45845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45845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45845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45845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45845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45845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45845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45845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45845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45845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45845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45845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45845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45845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45845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45845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45845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45845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45845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45845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45845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45845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45845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45845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45845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45845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45845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45845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45845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45845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45845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45845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45845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45845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45845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45845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45845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45845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45845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45845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45845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45845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45845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45845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45845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45845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45845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45845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45845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45845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45845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45845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45845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45845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45845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45845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45845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45845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45845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45845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45845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45845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45845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45845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45845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45845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45845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45845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45845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45845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45845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45845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45845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45845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45845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45845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45845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45845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45845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45845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45845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45845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45845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45845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45845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45845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45845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45845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45845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45845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45845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45845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45845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45845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45845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45845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45845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45845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45845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45845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45845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45845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45845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45845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45845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45845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45845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45845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45845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45845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45845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45845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45845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45845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45845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45845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45845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45845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45845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45845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45845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45845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45845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45845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45845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45845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45845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45845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45845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45845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45845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45845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45845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45845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45845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45845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45845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45845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45845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45845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45845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45845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45845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45845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45845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45845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45845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45845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45845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45845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45845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45845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45845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45845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45845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45845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45845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45845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45845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45845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45845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45845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45845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45845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45845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45845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45845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45845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45845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45845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45845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45845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45845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45845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45845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45845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45845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45845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45845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45845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45845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45845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45845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45845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45845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45845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45845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45845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45845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45845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45845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45845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45845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45845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45845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45845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45845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45845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45845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45845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45845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45845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45845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45845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45845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45845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45845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45845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45845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45845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45845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45845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45845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45845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45845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45845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45845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45845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45845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45845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45845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45845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45845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45845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45845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45845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45845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45845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45845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45845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45845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45845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45845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45845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45845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45845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45845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45845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45845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45845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45845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45845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45845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45845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45845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45845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45845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45845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45845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45845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45845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45845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45845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45845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45845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45845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45845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45845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45845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45845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45845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45845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45845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45845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45845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45845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45845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45845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45845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45845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45845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45845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45845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45845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45845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45845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45845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45845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45845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45845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45845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45845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45845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45845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45845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45845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45845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45845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45845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45845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45845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45845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45845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45845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45845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45845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45845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45845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45845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45845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28208-2025</t>
        </is>
      </c>
      <c r="B689" s="1" t="n">
        <v>45818</v>
      </c>
      <c r="C689" s="1" t="n">
        <v>45845</v>
      </c>
      <c r="D689" t="inlineStr">
        <is>
          <t>NORRBOTTENS LÄN</t>
        </is>
      </c>
      <c r="E689" t="inlineStr">
        <is>
          <t>ÖVERKALIX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45845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45845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45845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45845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45845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28893-2025</t>
        </is>
      </c>
      <c r="B695" s="1" t="n">
        <v>45820</v>
      </c>
      <c r="C695" s="1" t="n">
        <v>45845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28912-2025</t>
        </is>
      </c>
      <c r="B696" s="1" t="n">
        <v>45820</v>
      </c>
      <c r="C696" s="1" t="n">
        <v>45845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45845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28935-2025</t>
        </is>
      </c>
      <c r="B698" s="1" t="n">
        <v>45820</v>
      </c>
      <c r="C698" s="1" t="n">
        <v>45845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29150-2025</t>
        </is>
      </c>
      <c r="B699" s="1" t="n">
        <v>45821</v>
      </c>
      <c r="C699" s="1" t="n">
        <v>45845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17.2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29147-2025</t>
        </is>
      </c>
      <c r="B700" s="1" t="n">
        <v>45821</v>
      </c>
      <c r="C700" s="1" t="n">
        <v>45845</v>
      </c>
      <c r="D700" t="inlineStr">
        <is>
          <t>NORRBOTTENS LÄN</t>
        </is>
      </c>
      <c r="E700" t="inlineStr">
        <is>
          <t>ÖVERKALIX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29463-2025</t>
        </is>
      </c>
      <c r="B701" s="1" t="n">
        <v>45824</v>
      </c>
      <c r="C701" s="1" t="n">
        <v>45845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45845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29213-2025</t>
        </is>
      </c>
      <c r="B703" s="1" t="n">
        <v>45824</v>
      </c>
      <c r="C703" s="1" t="n">
        <v>45845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29212-2025</t>
        </is>
      </c>
      <c r="B704" s="1" t="n">
        <v>45824</v>
      </c>
      <c r="C704" s="1" t="n">
        <v>45845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24.4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45845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30086-2025</t>
        </is>
      </c>
      <c r="B706" s="1" t="n">
        <v>45826</v>
      </c>
      <c r="C706" s="1" t="n">
        <v>45845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30038-2025</t>
        </is>
      </c>
      <c r="B707" s="1" t="n">
        <v>45826</v>
      </c>
      <c r="C707" s="1" t="n">
        <v>45845</v>
      </c>
      <c r="D707" t="inlineStr">
        <is>
          <t>NORRBOTTENS LÄN</t>
        </is>
      </c>
      <c r="E707" t="inlineStr">
        <is>
          <t>ÖVERKALIX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30099-2025</t>
        </is>
      </c>
      <c r="B708" s="1" t="n">
        <v>45826</v>
      </c>
      <c r="C708" s="1" t="n">
        <v>45845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45845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45845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45845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30776-2025</t>
        </is>
      </c>
      <c r="B712" s="1" t="n">
        <v>45831</v>
      </c>
      <c r="C712" s="1" t="n">
        <v>45845</v>
      </c>
      <c r="D712" t="inlineStr">
        <is>
          <t>NORRBOTTENS LÄN</t>
        </is>
      </c>
      <c r="E712" t="inlineStr">
        <is>
          <t>ÖVERKALIX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45845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45845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30987-2025</t>
        </is>
      </c>
      <c r="B715" s="1" t="n">
        <v>45831</v>
      </c>
      <c r="C715" s="1" t="n">
        <v>45845</v>
      </c>
      <c r="D715" t="inlineStr">
        <is>
          <t>NORRBOTTENS LÄN</t>
        </is>
      </c>
      <c r="E715" t="inlineStr">
        <is>
          <t>ÖVERKALIX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30990-2025</t>
        </is>
      </c>
      <c r="B716" s="1" t="n">
        <v>45831</v>
      </c>
      <c r="C716" s="1" t="n">
        <v>45845</v>
      </c>
      <c r="D716" t="inlineStr">
        <is>
          <t>NORRBOTTENS LÄN</t>
        </is>
      </c>
      <c r="E716" t="inlineStr">
        <is>
          <t>ÖVERKALIX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45845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45845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31645-2025</t>
        </is>
      </c>
      <c r="B719" s="1" t="n">
        <v>45834</v>
      </c>
      <c r="C719" s="1" t="n">
        <v>45845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31640-2025</t>
        </is>
      </c>
      <c r="B720" s="1" t="n">
        <v>45834</v>
      </c>
      <c r="C720" s="1" t="n">
        <v>45845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45845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45845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45845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32173-2025</t>
        </is>
      </c>
      <c r="B724" s="1" t="n">
        <v>45835</v>
      </c>
      <c r="C724" s="1" t="n">
        <v>45845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Sveaskog</t>
        </is>
      </c>
      <c r="G724" t="n">
        <v>16.3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45845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45845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45845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32634-2025</t>
        </is>
      </c>
      <c r="B728" s="1" t="n">
        <v>45838</v>
      </c>
      <c r="C728" s="1" t="n">
        <v>45845</v>
      </c>
      <c r="D728" t="inlineStr">
        <is>
          <t>NORRBOTTENS LÄN</t>
        </is>
      </c>
      <c r="E728" t="inlineStr">
        <is>
          <t>ÖVERKALIX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45845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45845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45845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32715-2025</t>
        </is>
      </c>
      <c r="B732" s="1" t="n">
        <v>45839</v>
      </c>
      <c r="C732" s="1" t="n">
        <v>45845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24.5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32892-2025</t>
        </is>
      </c>
      <c r="B733" s="1" t="n">
        <v>45839</v>
      </c>
      <c r="C733" s="1" t="n">
        <v>45845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45845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45845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33939-2025</t>
        </is>
      </c>
      <c r="B736" s="1" t="n">
        <v>45842</v>
      </c>
      <c r="C736" s="1" t="n">
        <v>45845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2025-07-07T19:39:32Z</dcterms:created>
  <dcterms:modified xmlns:dcterms="http://purl.org/dc/terms/" xmlns:xsi="http://www.w3.org/2001/XMLSchema-instance" xsi:type="dcterms:W3CDTF">2025-07-07T19:39:33Z</dcterms:modified>
</cp:coreProperties>
</file>