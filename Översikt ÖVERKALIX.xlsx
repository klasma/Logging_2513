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46299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46299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46299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46299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46299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46299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46299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46299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46299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46299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46299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46299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46299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46299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46299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17802-2025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46299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Hökuggla
Älg
Tjäder</t>
        </is>
      </c>
      <c r="W21">
        <f>HYPERLINK("https://klasma.github.io/Logging_2513/artfynd/A 17802-2025 artfynd.xlsx", "A 17802-2025")</f>
        <v/>
      </c>
      <c r="X21">
        <f>HYPERLINK("https://klasma.github.io/Logging_2513/kartor/A 17802-2025 karta.png", "A 17802-2025")</f>
        <v/>
      </c>
      <c r="Y21">
        <f>HYPERLINK("https://klasma.github.io/Logging_2513/kartor_geotiff/A 17802-2025 georefererad karta.tif", "A 17802-2025")</f>
        <v/>
      </c>
      <c r="AA21">
        <f>HYPERLINK("https://klasma.github.io/Logging_2513/klagomål/A 17802-2025 FSC-klagomål.docx", "A 17802-2025")</f>
        <v/>
      </c>
      <c r="AB21">
        <f>HYPERLINK("https://klasma.github.io/Logging_2513/klagomålsmail/A 17802-2025 FSC-klagomål mail.docx", "A 17802-2025")</f>
        <v/>
      </c>
      <c r="AC21">
        <f>HYPERLINK("https://klasma.github.io/Logging_2513/tillsyn/A 17802-2025 tillsynsbegäran.docx", "A 17802-2025")</f>
        <v/>
      </c>
      <c r="AD21">
        <f>HYPERLINK("https://klasma.github.io/Logging_2513/tillsynsmail/A 17802-2025 tillsynsbegäran mail.docx", "A 17802-2025")</f>
        <v/>
      </c>
      <c r="AE21">
        <f>HYPERLINK("https://klasma.github.io/Logging_2513/fåglar/A 17802-2025 prioriterade fågelarter.docx", "A 17802-2025")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46299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46299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16.3</v>
      </c>
      <c r="J23" t="n">
        <v>2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5</v>
      </c>
      <c r="U23" t="n">
        <v>3</v>
      </c>
      <c r="V23" s="2" t="inlineStr">
        <is>
          <t>Fläckporing
Knärot
Plattlummer</t>
        </is>
      </c>
      <c r="W23">
        <f>HYPERLINK("https://klasma.github.io/Logging_2513/artfynd/A 19275-2025 artfynd.xlsx", "A 19275-2025")</f>
        <v/>
      </c>
      <c r="X23">
        <f>HYPERLINK("https://klasma.github.io/Logging_2513/kartor/A 19275-2025 karta.png", "A 19275-2025")</f>
        <v/>
      </c>
      <c r="Y23">
        <f>HYPERLINK("https://klasma.github.io/Logging_2513/kartor_geotiff/A 19275-2025 georefererad karta.tif", "A 19275-2025")</f>
        <v/>
      </c>
      <c r="Z23">
        <f>HYPERLINK("https://klasma.github.io/Logging_2513/knärot/A 19275-2025 karta knärot.png", "A 19275-2025")</f>
        <v/>
      </c>
      <c r="AA23">
        <f>HYPERLINK("https://klasma.github.io/Logging_2513/klagomål/A 19275-2025 FSC-klagomål.docx", "A 19275-2025")</f>
        <v/>
      </c>
      <c r="AB23">
        <f>HYPERLINK("https://klasma.github.io/Logging_2513/klagomålsmail/A 19275-2025 FSC-klagomål mail.docx", "A 19275-2025")</f>
        <v/>
      </c>
      <c r="AC23">
        <f>HYPERLINK("https://klasma.github.io/Logging_2513/tillsyn/A 19275-2025 tillsynsbegäran.docx", "A 19275-2025")</f>
        <v/>
      </c>
      <c r="AD23">
        <f>HYPERLINK("https://klasma.github.io/Logging_2513/tillsynsmail/A 19275-2025 tillsynsbegäran mail.docx", "A 19275-2025")</f>
        <v/>
      </c>
    </row>
    <row r="24" ht="15" customHeight="1">
      <c r="A24" t="inlineStr">
        <is>
          <t>A 30525-2025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45831</v>
      </c>
      <c r="E24" s="1" t="n">
        <v>46299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5.3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Gammelgransskål
Bollvitmossa
Järpe</t>
        </is>
      </c>
      <c r="W24">
        <f>HYPERLINK("https://klasma.github.io/Logging_2513/artfynd/A 30525-2025 artfynd.xlsx", "A 30525-2025")</f>
        <v/>
      </c>
      <c r="X24">
        <f>HYPERLINK("https://klasma.github.io/Logging_2513/kartor/A 30525-2025 karta.png", "A 30525-2025")</f>
        <v/>
      </c>
      <c r="Y24">
        <f>HYPERLINK("https://klasma.github.io/Logging_2513/kartor_geotiff/A 30525-2025 georefererad karta.tif", "A 30525-2025")</f>
        <v/>
      </c>
      <c r="AA24">
        <f>HYPERLINK("https://klasma.github.io/Logging_2513/klagomål/A 30525-2025 FSC-klagomål.docx", "A 30525-2025")</f>
        <v/>
      </c>
      <c r="AB24">
        <f>HYPERLINK("https://klasma.github.io/Logging_2513/klagomålsmail/A 30525-2025 FSC-klagomål mail.docx", "A 30525-2025")</f>
        <v/>
      </c>
      <c r="AC24">
        <f>HYPERLINK("https://klasma.github.io/Logging_2513/tillsyn/A 30525-2025 tillsynsbegäran.docx", "A 30525-2025")</f>
        <v/>
      </c>
      <c r="AD24">
        <f>HYPERLINK("https://klasma.github.io/Logging_2513/tillsynsmail/A 30525-2025 tillsynsbegäran mail.docx", "A 30525-2025")</f>
        <v/>
      </c>
      <c r="AE24">
        <f>HYPERLINK("https://klasma.github.io/Logging_2513/fåglar/A 30525-2025 prioriterade fågelarter.docx", "A 30525-2025")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46299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46299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46299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60509-2021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44496</v>
      </c>
      <c r="E31" s="1" t="n">
        <v>46299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13.5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Stor aspticka
Vedticka</t>
        </is>
      </c>
      <c r="W31">
        <f>HYPERLINK("https://klasma.github.io/Logging_2513/artfynd/A 60509-2021 artfynd.xlsx", "A 60509-2021")</f>
        <v/>
      </c>
      <c r="X31">
        <f>HYPERLINK("https://klasma.github.io/Logging_2513/kartor/A 60509-2021 karta.png", "A 60509-2021")</f>
        <v/>
      </c>
      <c r="Y31">
        <f>HYPERLINK("https://klasma.github.io/Logging_2513/kartor_geotiff/A 60509-2021 georefererad karta.tif", "A 60509-2021")</f>
        <v/>
      </c>
      <c r="AA31">
        <f>HYPERLINK("https://klasma.github.io/Logging_2513/klagomål/A 60509-2021 FSC-klagomål.docx", "A 60509-2021")</f>
        <v/>
      </c>
      <c r="AB31">
        <f>HYPERLINK("https://klasma.github.io/Logging_2513/klagomålsmail/A 60509-2021 FSC-klagomål mail.docx", "A 60509-2021")</f>
        <v/>
      </c>
      <c r="AC31">
        <f>HYPERLINK("https://klasma.github.io/Logging_2513/tillsyn/A 60509-2021 tillsynsbegäran.docx", "A 60509-2021")</f>
        <v/>
      </c>
      <c r="AD31">
        <f>HYPERLINK("https://klasma.github.io/Logging_2513/tillsynsmail/A 60509-2021 tillsynsbegäran mail.docx", "A 60509-2021")</f>
        <v/>
      </c>
    </row>
    <row r="32" ht="15" customHeight="1">
      <c r="A32" t="inlineStr">
        <is>
          <t>A 62951-2025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46299</v>
      </c>
      <c r="F32" t="inlineStr">
        <is>
          <t>NORRBOTTENS LÄN</t>
        </is>
      </c>
      <c r="G32" t="inlineStr">
        <is>
          <t>ÖVERKALIX</t>
        </is>
      </c>
      <c r="H32" t="inlineStr">
        <is>
          <t>SCA</t>
        </is>
      </c>
      <c r="I32" t="n">
        <v>4.2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Ullticka</t>
        </is>
      </c>
      <c r="W32">
        <f>HYPERLINK("https://klasma.github.io/Logging_2513/artfynd/A 62951-2025 artfynd.xlsx", "A 62951-2025")</f>
        <v/>
      </c>
      <c r="X32">
        <f>HYPERLINK("https://klasma.github.io/Logging_2513/kartor/A 62951-2025 karta.png", "A 62951-2025")</f>
        <v/>
      </c>
      <c r="Y32">
        <f>HYPERLINK("https://klasma.github.io/Logging_2513/kartor_geotiff/A 62951-2025 georefererad karta.tif", "A 62951-2025")</f>
        <v/>
      </c>
      <c r="AA32">
        <f>HYPERLINK("https://klasma.github.io/Logging_2513/klagomål/A 62951-2025 FSC-klagomål.docx", "A 62951-2025")</f>
        <v/>
      </c>
      <c r="AB32">
        <f>HYPERLINK("https://klasma.github.io/Logging_2513/klagomålsmail/A 62951-2025 FSC-klagomål mail.docx", "A 62951-2025")</f>
        <v/>
      </c>
      <c r="AC32">
        <f>HYPERLINK("https://klasma.github.io/Logging_2513/tillsyn/A 62951-2025 tillsynsbegäran.docx", "A 62951-2025")</f>
        <v/>
      </c>
      <c r="AD32">
        <f>HYPERLINK("https://klasma.github.io/Logging_2513/tillsynsmail/A 62951-2025 tillsynsbegäran mail.docx", "A 62951-2025")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46299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46299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26452-2025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45807</v>
      </c>
      <c r="E35" s="1" t="n">
        <v>46299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Stor aspticka</t>
        </is>
      </c>
      <c r="W35">
        <f>HYPERLINK("https://klasma.github.io/Logging_2513/artfynd/A 26452-2025 artfynd.xlsx", "A 26452-2025")</f>
        <v/>
      </c>
      <c r="X35">
        <f>HYPERLINK("https://klasma.github.io/Logging_2513/kartor/A 26452-2025 karta.png", "A 26452-2025")</f>
        <v/>
      </c>
      <c r="Y35">
        <f>HYPERLINK("https://klasma.github.io/Logging_2513/kartor_geotiff/A 26452-2025 georefererad karta.tif", "A 26452-2025")</f>
        <v/>
      </c>
      <c r="AA35">
        <f>HYPERLINK("https://klasma.github.io/Logging_2513/klagomål/A 26452-2025 FSC-klagomål.docx", "A 26452-2025")</f>
        <v/>
      </c>
      <c r="AB35">
        <f>HYPERLINK("https://klasma.github.io/Logging_2513/klagomålsmail/A 26452-2025 FSC-klagomål mail.docx", "A 26452-2025")</f>
        <v/>
      </c>
      <c r="AC35">
        <f>HYPERLINK("https://klasma.github.io/Logging_2513/tillsyn/A 26452-2025 tillsynsbegäran.docx", "A 26452-2025")</f>
        <v/>
      </c>
      <c r="AD35">
        <f>HYPERLINK("https://klasma.github.io/Logging_2513/tillsynsmail/A 26452-2025 tillsynsbegäran mail.docx", "A 26452-2025")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46299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46299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7477-2023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46299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Motaggsvamp
Skarp dropptaggsvamp</t>
        </is>
      </c>
      <c r="W39">
        <f>HYPERLINK("https://klasma.github.io/Logging_2513/artfynd/A 7477-2023 artfynd.xlsx", "A 7477-2023")</f>
        <v/>
      </c>
      <c r="X39">
        <f>HYPERLINK("https://klasma.github.io/Logging_2513/kartor/A 7477-2023 karta.png", "A 7477-2023")</f>
        <v/>
      </c>
      <c r="Y39">
        <f>HYPERLINK("https://klasma.github.io/Logging_2513/kartor_geotiff/A 7477-2023 georefererad karta.tif", "A 7477-2023")</f>
        <v/>
      </c>
      <c r="AA39">
        <f>HYPERLINK("https://klasma.github.io/Logging_2513/klagomål/A 7477-2023 FSC-klagomål.docx", "A 7477-2023")</f>
        <v/>
      </c>
      <c r="AB39">
        <f>HYPERLINK("https://klasma.github.io/Logging_2513/klagomålsmail/A 7477-2023 FSC-klagomål mail.docx", "A 7477-2023")</f>
        <v/>
      </c>
      <c r="AC39">
        <f>HYPERLINK("https://klasma.github.io/Logging_2513/tillsyn/A 7477-2023 tillsynsbegäran.docx", "A 7477-2023")</f>
        <v/>
      </c>
      <c r="AD39">
        <f>HYPERLINK("https://klasma.github.io/Logging_2513/tillsynsmail/A 7477-2023 tillsynsbegäran mail.docx", "A 7477-2023")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46299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Blå taggsvamp
Skarp dropptaggsvamp</t>
        </is>
      </c>
      <c r="W40">
        <f>HYPERLINK("https://klasma.github.io/Logging_2513/artfynd/A 47680-2024 artfynd.xlsx", "A 47680-2024")</f>
        <v/>
      </c>
      <c r="X40">
        <f>HYPERLINK("https://klasma.github.io/Logging_2513/kartor/A 47680-2024 karta.png", "A 47680-2024")</f>
        <v/>
      </c>
      <c r="Y40">
        <f>HYPERLINK("https://klasma.github.io/Logging_2513/kartor_geotiff/A 47680-2024 georefererad karta.tif", "A 47680-2024")</f>
        <v/>
      </c>
      <c r="AA40">
        <f>HYPERLINK("https://klasma.github.io/Logging_2513/klagomål/A 47680-2024 FSC-klagomål.docx", "A 47680-2024")</f>
        <v/>
      </c>
      <c r="AB40">
        <f>HYPERLINK("https://klasma.github.io/Logging_2513/klagomålsmail/A 47680-2024 FSC-klagomål mail.docx", "A 47680-2024")</f>
        <v/>
      </c>
      <c r="AC40">
        <f>HYPERLINK("https://klasma.github.io/Logging_2513/tillsyn/A 47680-2024 tillsynsbegäran.docx", "A 47680-2024")</f>
        <v/>
      </c>
      <c r="AD40">
        <f>HYPERLINK("https://klasma.github.io/Logging_2513/tillsynsmail/A 47680-2024 tillsynsbegäran mail.docx", "A 47680-2024")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46299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46299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46299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46299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46299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36378-2024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46299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21.5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Lunglav
Fläcknycklar</t>
        </is>
      </c>
      <c r="W46">
        <f>HYPERLINK("https://klasma.github.io/Logging_2513/artfynd/A 36378-2024 artfynd.xlsx", "A 36378-2024")</f>
        <v/>
      </c>
      <c r="X46">
        <f>HYPERLINK("https://klasma.github.io/Logging_2513/kartor/A 36378-2024 karta.png", "A 36378-2024")</f>
        <v/>
      </c>
      <c r="Y46">
        <f>HYPERLINK("https://klasma.github.io/Logging_2513/kartor_geotiff/A 36378-2024 georefererad karta.tif", "A 36378-2024")</f>
        <v/>
      </c>
      <c r="AA46">
        <f>HYPERLINK("https://klasma.github.io/Logging_2513/klagomål/A 36378-2024 FSC-klagomål.docx", "A 36378-2024")</f>
        <v/>
      </c>
      <c r="AB46">
        <f>HYPERLINK("https://klasma.github.io/Logging_2513/klagomålsmail/A 36378-2024 FSC-klagomål mail.docx", "A 36378-2024")</f>
        <v/>
      </c>
      <c r="AC46">
        <f>HYPERLINK("https://klasma.github.io/Logging_2513/tillsyn/A 36378-2024 tillsynsbegäran.docx", "A 36378-2024")</f>
        <v/>
      </c>
      <c r="AD46">
        <f>HYPERLINK("https://klasma.github.io/Logging_2513/tillsynsmail/A 36378-2024 tillsynsbegäran mail.docx", "A 36378-2024")</f>
        <v/>
      </c>
    </row>
    <row r="47" ht="15" customHeight="1">
      <c r="A47" t="inlineStr">
        <is>
          <t>A 36381-2024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46299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26.7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Gammelgransskål
Orre</t>
        </is>
      </c>
      <c r="W47">
        <f>HYPERLINK("https://klasma.github.io/Logging_2513/artfynd/A 36381-2024 artfynd.xlsx", "A 36381-2024")</f>
        <v/>
      </c>
      <c r="X47">
        <f>HYPERLINK("https://klasma.github.io/Logging_2513/kartor/A 36381-2024 karta.png", "A 36381-2024")</f>
        <v/>
      </c>
      <c r="Y47">
        <f>HYPERLINK("https://klasma.github.io/Logging_2513/kartor_geotiff/A 36381-2024 georefererad karta.tif", "A 36381-2024")</f>
        <v/>
      </c>
      <c r="AA47">
        <f>HYPERLINK("https://klasma.github.io/Logging_2513/klagomål/A 36381-2024 FSC-klagomål.docx", "A 36381-2024")</f>
        <v/>
      </c>
      <c r="AB47">
        <f>HYPERLINK("https://klasma.github.io/Logging_2513/klagomålsmail/A 36381-2024 FSC-klagomål mail.docx", "A 36381-2024")</f>
        <v/>
      </c>
      <c r="AC47">
        <f>HYPERLINK("https://klasma.github.io/Logging_2513/tillsyn/A 36381-2024 tillsynsbegäran.docx", "A 36381-2024")</f>
        <v/>
      </c>
      <c r="AD47">
        <f>HYPERLINK("https://klasma.github.io/Logging_2513/tillsynsmail/A 36381-2024 tillsynsbegäran mail.docx", "A 36381-2024")</f>
        <v/>
      </c>
      <c r="AE47">
        <f>HYPERLINK("https://klasma.github.io/Logging_2513/fåglar/A 36381-2024 prioriterade fågelarter.docx", "A 36381-2024")</f>
        <v/>
      </c>
    </row>
    <row r="48" ht="15" customHeight="1">
      <c r="A48" t="inlineStr">
        <is>
          <t>A 50691-2024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46299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4.2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Vedticka</t>
        </is>
      </c>
      <c r="W48">
        <f>HYPERLINK("https://klasma.github.io/Logging_2513/artfynd/A 50691-2024 artfynd.xlsx", "A 50691-2024")</f>
        <v/>
      </c>
      <c r="X48">
        <f>HYPERLINK("https://klasma.github.io/Logging_2513/kartor/A 50691-2024 karta.png", "A 50691-2024")</f>
        <v/>
      </c>
      <c r="Y48">
        <f>HYPERLINK("https://klasma.github.io/Logging_2513/kartor_geotiff/A 50691-2024 georefererad karta.tif", "A 50691-2024")</f>
        <v/>
      </c>
      <c r="AA48">
        <f>HYPERLINK("https://klasma.github.io/Logging_2513/klagomål/A 50691-2024 FSC-klagomål.docx", "A 50691-2024")</f>
        <v/>
      </c>
      <c r="AB48">
        <f>HYPERLINK("https://klasma.github.io/Logging_2513/klagomålsmail/A 50691-2024 FSC-klagomål mail.docx", "A 50691-2024")</f>
        <v/>
      </c>
      <c r="AC48">
        <f>HYPERLINK("https://klasma.github.io/Logging_2513/tillsyn/A 50691-2024 tillsynsbegäran.docx", "A 50691-2024")</f>
        <v/>
      </c>
      <c r="AD48">
        <f>HYPERLINK("https://klasma.github.io/Logging_2513/tillsynsmail/A 50691-2024 tillsynsbegäran mail.docx", "A 50691-2024")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46299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46299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26305-2025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46299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Luddlav</t>
        </is>
      </c>
      <c r="W51">
        <f>HYPERLINK("https://klasma.github.io/Logging_2513/artfynd/A 26305-2025 artfynd.xlsx", "A 26305-2025")</f>
        <v/>
      </c>
      <c r="X51">
        <f>HYPERLINK("https://klasma.github.io/Logging_2513/kartor/A 26305-2025 karta.png", "A 26305-2025")</f>
        <v/>
      </c>
      <c r="Y51">
        <f>HYPERLINK("https://klasma.github.io/Logging_2513/kartor_geotiff/A 26305-2025 georefererad karta.tif", "A 26305-2025")</f>
        <v/>
      </c>
      <c r="AA51">
        <f>HYPERLINK("https://klasma.github.io/Logging_2513/klagomål/A 26305-2025 FSC-klagomål.docx", "A 26305-2025")</f>
        <v/>
      </c>
      <c r="AB51">
        <f>HYPERLINK("https://klasma.github.io/Logging_2513/klagomålsmail/A 26305-2025 FSC-klagomål mail.docx", "A 26305-2025")</f>
        <v/>
      </c>
      <c r="AC51">
        <f>HYPERLINK("https://klasma.github.io/Logging_2513/tillsyn/A 26305-2025 tillsynsbegäran.docx", "A 26305-2025")</f>
        <v/>
      </c>
      <c r="AD51">
        <f>HYPERLINK("https://klasma.github.io/Logging_2513/tillsynsmail/A 26305-2025 tillsynsbegäran mail.docx", "A 26305-2025")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46299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46299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46299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46299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46299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46299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46299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46299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8407-2025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46299</v>
      </c>
      <c r="F60" t="inlineStr">
        <is>
          <t>NORRBOTTENS LÄN</t>
        </is>
      </c>
      <c r="G60" t="inlineStr">
        <is>
          <t>ÖVERKALIX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Tallbit</t>
        </is>
      </c>
      <c r="W60">
        <f>HYPERLINK("https://klasma.github.io/Logging_2513/artfynd/A 8407-2025 artfynd.xlsx", "A 8407-2025")</f>
        <v/>
      </c>
      <c r="X60">
        <f>HYPERLINK("https://klasma.github.io/Logging_2513/kartor/A 8407-2025 karta.png", "A 8407-2025")</f>
        <v/>
      </c>
      <c r="Y60">
        <f>HYPERLINK("https://klasma.github.io/Logging_2513/kartor_geotiff/A 8407-2025 georefererad karta.tif", "A 8407-2025")</f>
        <v/>
      </c>
      <c r="AA60">
        <f>HYPERLINK("https://klasma.github.io/Logging_2513/klagomål/A 8407-2025 FSC-klagomål.docx", "A 8407-2025")</f>
        <v/>
      </c>
      <c r="AB60">
        <f>HYPERLINK("https://klasma.github.io/Logging_2513/klagomålsmail/A 8407-2025 FSC-klagomål mail.docx", "A 8407-2025")</f>
        <v/>
      </c>
      <c r="AC60">
        <f>HYPERLINK("https://klasma.github.io/Logging_2513/tillsyn/A 8407-2025 tillsynsbegäran.docx", "A 8407-2025")</f>
        <v/>
      </c>
      <c r="AD60">
        <f>HYPERLINK("https://klasma.github.io/Logging_2513/tillsynsmail/A 8407-2025 tillsynsbegäran mail.docx", "A 8407-2025")</f>
        <v/>
      </c>
      <c r="AE60">
        <f>HYPERLINK("https://klasma.github.io/Logging_2513/fåglar/A 8407-2025 prioriterade fågelarter.docx", "A 8407-2025")</f>
        <v/>
      </c>
    </row>
    <row r="61" ht="15" customHeight="1">
      <c r="A61" t="inlineStr">
        <is>
          <t>A 27087-2026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46187</v>
      </c>
      <c r="E61" s="1" t="n">
        <v>46299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5.1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HYPERLINK("https://klasma.github.io/Logging_2513/artfynd/A 27087-2026 artfynd.xlsx", "A 27087-2026")</f>
        <v/>
      </c>
      <c r="X61">
        <f>HYPERLINK("https://klasma.github.io/Logging_2513/kartor/A 27087-2026 karta.png", "A 27087-2026")</f>
        <v/>
      </c>
      <c r="Y61">
        <f>HYPERLINK("https://klasma.github.io/Logging_2513/kartor_geotiff/A 27087-2026 georefererad karta.tif", "A 27087-2026")</f>
        <v/>
      </c>
      <c r="AA61">
        <f>HYPERLINK("https://klasma.github.io/Logging_2513/klagomål/A 27087-2026 FSC-klagomål.docx", "A 27087-2026")</f>
        <v/>
      </c>
      <c r="AB61">
        <f>HYPERLINK("https://klasma.github.io/Logging_2513/klagomålsmail/A 27087-2026 FSC-klagomål mail.docx", "A 27087-2026")</f>
        <v/>
      </c>
      <c r="AC61">
        <f>HYPERLINK("https://klasma.github.io/Logging_2513/tillsyn/A 27087-2026 tillsynsbegäran.docx", "A 27087-2026")</f>
        <v/>
      </c>
      <c r="AD61">
        <f>HYPERLINK("https://klasma.github.io/Logging_2513/tillsynsmail/A 27087-2026 tillsynsbegäran mail.docx", "A 27087-2026")</f>
        <v/>
      </c>
      <c r="AE61">
        <f>HYPERLINK("https://klasma.github.io/Logging_2513/fåglar/A 27087-2026 prioriterade fågelarter.docx", "A 27087-2026")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46299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46299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A 21777-2024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45442</v>
      </c>
      <c r="E65" s="1" t="n">
        <v>46299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30.5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HYPERLINK("https://klasma.github.io/Logging_2513/artfynd/A 21777-2024 artfynd.xlsx", "A 21777-2024")</f>
        <v/>
      </c>
      <c r="X65">
        <f>HYPERLINK("https://klasma.github.io/Logging_2513/kartor/A 21777-2024 karta.png", "A 21777-2024")</f>
        <v/>
      </c>
      <c r="Y65">
        <f>HYPERLINK("https://klasma.github.io/Logging_2513/kartor_geotiff/A 21777-2024 georefererad karta.tif", "A 21777-2024")</f>
        <v/>
      </c>
      <c r="AA65">
        <f>HYPERLINK("https://klasma.github.io/Logging_2513/klagomål/A 21777-2024 FSC-klagomål.docx", "A 21777-2024")</f>
        <v/>
      </c>
      <c r="AB65">
        <f>HYPERLINK("https://klasma.github.io/Logging_2513/klagomålsmail/A 21777-2024 FSC-klagomål mail.docx", "A 21777-2024")</f>
        <v/>
      </c>
      <c r="AC65">
        <f>HYPERLINK("https://klasma.github.io/Logging_2513/tillsyn/A 21777-2024 tillsynsbegäran.docx", "A 21777-2024")</f>
        <v/>
      </c>
      <c r="AD65">
        <f>HYPERLINK("https://klasma.github.io/Logging_2513/tillsynsmail/A 21777-2024 tillsynsbegäran mail.docx", "A 21777-2024")</f>
        <v/>
      </c>
    </row>
    <row r="66" ht="15" customHeight="1">
      <c r="A66" t="inlineStr">
        <is>
          <t>S 4190-2024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45579</v>
      </c>
      <c r="E66" s="1" t="n">
        <v>46299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14</v>
      </c>
      <c r="U66" t="n">
        <v>0</v>
      </c>
      <c r="V66" s="2" t="inlineStr">
        <is>
          <t>Lunglav</t>
        </is>
      </c>
      <c r="W66">
        <f>HYPERLINK("https://klasma.github.io/Logging_2513/artfynd/S 4190-2024 artfynd.xlsx", "S 4190-2024")</f>
        <v/>
      </c>
      <c r="X66">
        <f>HYPERLINK("https://klasma.github.io/Logging_2513/kartor/S 4190-2024 karta.png", "S 4190-2024")</f>
        <v/>
      </c>
      <c r="Y66">
        <f>HYPERLINK("https://klasma.github.io/Logging_2513/kartor_geotiff/S 4190-2024 georefererad karta.tif", "S 4190-2024")</f>
        <v/>
      </c>
      <c r="AA66">
        <f>HYPERLINK("https://klasma.github.io/Logging_2513/klagomål/S 4190-2024 FSC-klagomål.docx", "S 4190-2024")</f>
        <v/>
      </c>
      <c r="AB66">
        <f>HYPERLINK("https://klasma.github.io/Logging_2513/klagomålsmail/S 4190-2024 FSC-klagomål mail.docx", "S 4190-2024")</f>
        <v/>
      </c>
      <c r="AC66">
        <f>HYPERLINK("https://klasma.github.io/Logging_2513/tillsyn/S 4190-2024 tillsynsbegäran.docx", "S 4190-2024")</f>
        <v/>
      </c>
      <c r="AD66">
        <f>HYPERLINK("https://klasma.github.io/Logging_2513/tillsynsmail/S 4190-2024 tillsynsbegäran mail.docx", "S 4190-2024")</f>
        <v/>
      </c>
    </row>
    <row r="67" ht="15" customHeight="1">
      <c r="A67" t="inlineStr">
        <is>
          <t>S 1156-2024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45394</v>
      </c>
      <c r="E67" s="1" t="n">
        <v>46299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491.9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Sävsparv</t>
        </is>
      </c>
      <c r="W67">
        <f>HYPERLINK("https://klasma.github.io/Logging_2513/artfynd/S 1156-2024 artfynd.xlsx", "S 1156-2024")</f>
        <v/>
      </c>
      <c r="X67">
        <f>HYPERLINK("https://klasma.github.io/Logging_2513/kartor/S 1156-2024 karta.png", "S 1156-2024")</f>
        <v/>
      </c>
      <c r="Y67">
        <f>HYPERLINK("https://klasma.github.io/Logging_2513/kartor_geotiff/S 1156-2024 georefererad karta.tif", "S 1156-2024")</f>
        <v/>
      </c>
      <c r="AA67">
        <f>HYPERLINK("https://klasma.github.io/Logging_2513/klagomål/S 1156-2024 FSC-klagomål.docx", "S 1156-2024")</f>
        <v/>
      </c>
      <c r="AB67">
        <f>HYPERLINK("https://klasma.github.io/Logging_2513/klagomålsmail/S 1156-2024 FSC-klagomål mail.docx", "S 1156-2024")</f>
        <v/>
      </c>
      <c r="AC67">
        <f>HYPERLINK("https://klasma.github.io/Logging_2513/tillsyn/S 1156-2024 tillsynsbegäran.docx", "S 1156-2024")</f>
        <v/>
      </c>
      <c r="AD67">
        <f>HYPERLINK("https://klasma.github.io/Logging_2513/tillsynsmail/S 1156-2024 tillsynsbegäran mail.docx", "S 1156-2024")</f>
        <v/>
      </c>
      <c r="AE67">
        <f>HYPERLINK("https://klasma.github.io/Logging_2513/fåglar/S 1156-2024 prioriterade fågelarter.docx", "S 1156-2024")</f>
        <v/>
      </c>
    </row>
    <row r="68" ht="15" customHeight="1">
      <c r="A68" t="inlineStr">
        <is>
          <t>A 3174-2022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46299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46299</v>
      </c>
      <c r="F69" t="inlineStr">
        <is>
          <t>NORRBOTTENS LÄN</t>
        </is>
      </c>
      <c r="G69" t="inlineStr">
        <is>
          <t>ÖVERKALIX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46299</v>
      </c>
      <c r="F70" t="inlineStr">
        <is>
          <t>NORRBOTTENS LÄN</t>
        </is>
      </c>
      <c r="G70" t="inlineStr">
        <is>
          <t>ÖVERKALIX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73757-2021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46299</v>
      </c>
      <c r="F71" t="inlineStr">
        <is>
          <t>NORRBOTTENS LÄN</t>
        </is>
      </c>
      <c r="G71" t="inlineStr">
        <is>
          <t>ÖVERKALIX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21847-2022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46299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44717</v>
      </c>
      <c r="E73" s="1" t="n">
        <v>46299</v>
      </c>
      <c r="F73" t="inlineStr">
        <is>
          <t>NORRBOTTENS LÄN</t>
        </is>
      </c>
      <c r="G73" t="inlineStr">
        <is>
          <t>ÖVERKALIX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46299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  <c r="Z74">
        <f>HYPERLINK("https://klasma.github.io/Logging_2513/knärot/A 29706-2022 karta knärot.png", "A 29706-2022")</f>
        <v/>
      </c>
      <c r="AA74">
        <f>HYPERLINK("https://klasma.github.io/Logging_2513/klagomål/A 29706-2022 FSC-klagomål.docx", "A 29706-2022")</f>
        <v/>
      </c>
      <c r="AB74">
        <f>HYPERLINK("https://klasma.github.io/Logging_2513/klagomålsmail/A 29706-2022 FSC-klagomål mail.docx", "A 29706-2022")</f>
        <v/>
      </c>
      <c r="AC74">
        <f>HYPERLINK("https://klasma.github.io/Logging_2513/tillsyn/A 29706-2022 tillsynsbegäran.docx", "A 29706-2022")</f>
        <v/>
      </c>
      <c r="AD74">
        <f>HYPERLINK("https://klasma.github.io/Logging_2513/tillsynsmail/A 29706-2022 tillsynsbegäran mail.docx", "A 29706-2022")</f>
        <v/>
      </c>
    </row>
    <row r="75" ht="15" customHeight="1">
      <c r="A75" t="inlineStr">
        <is>
          <t>A 6907-2022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46299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46299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46299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46299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46299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46299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46299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46299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46299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46299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46299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46299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46299</v>
      </c>
      <c r="F87" t="inlineStr">
        <is>
          <t>NORRBOTTENS LÄN</t>
        </is>
      </c>
      <c r="G87" t="inlineStr">
        <is>
          <t>ÖVERKALIX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46299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46299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45622</v>
      </c>
      <c r="E90" s="1" t="n">
        <v>46299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46299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46299</v>
      </c>
      <c r="F92" t="inlineStr">
        <is>
          <t>NORRBOTTENS LÄN</t>
        </is>
      </c>
      <c r="G92" t="inlineStr">
        <is>
          <t>ÖVERKALIX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46299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46299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46299</v>
      </c>
      <c r="F95" t="inlineStr">
        <is>
          <t>NORRBOTTENS LÄN</t>
        </is>
      </c>
      <c r="G95" t="inlineStr">
        <is>
          <t>ÖVERKALIX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60417-2024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46299</v>
      </c>
      <c r="F96" t="inlineStr">
        <is>
          <t>NORRBOTTENS LÄN</t>
        </is>
      </c>
      <c r="G96" t="inlineStr">
        <is>
          <t>ÖVERKALIX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46299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46299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46299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46299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46299</v>
      </c>
      <c r="F101" t="inlineStr">
        <is>
          <t>NORRBOTTENS LÄN</t>
        </is>
      </c>
      <c r="G101" t="inlineStr">
        <is>
          <t>ÖVERKALIX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45518</v>
      </c>
      <c r="E102" s="1" t="n">
        <v>46299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46299</v>
      </c>
      <c r="F103" t="inlineStr">
        <is>
          <t>NORRBOTTENS LÄN</t>
        </is>
      </c>
      <c r="G103" t="inlineStr">
        <is>
          <t>ÖVERKALIX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46299</v>
      </c>
      <c r="F104" t="inlineStr">
        <is>
          <t>NORRBOTTENS LÄN</t>
        </is>
      </c>
      <c r="G104" t="inlineStr">
        <is>
          <t>ÖVERKALIX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46299</v>
      </c>
      <c r="F105" t="inlineStr">
        <is>
          <t>NORRBOTTENS LÄN</t>
        </is>
      </c>
      <c r="G105" t="inlineStr">
        <is>
          <t>ÖVERKALIX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46299</v>
      </c>
      <c r="F106" t="inlineStr">
        <is>
          <t>NORRBOTTENS LÄN</t>
        </is>
      </c>
      <c r="G106" t="inlineStr">
        <is>
          <t>ÖVERKALIX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46299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46299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46299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25510-2024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46299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46299</v>
      </c>
      <c r="F111" t="inlineStr">
        <is>
          <t>NORRBOTTENS LÄN</t>
        </is>
      </c>
      <c r="G111" t="inlineStr">
        <is>
          <t>ÖVERKALIX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46299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46299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46299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37.4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46299</v>
      </c>
      <c r="F115" t="inlineStr">
        <is>
          <t>NORRBOTTENS LÄN</t>
        </is>
      </c>
      <c r="G115" t="inlineStr">
        <is>
          <t>ÖVERKALIX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46299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45793</v>
      </c>
      <c r="E117" s="1" t="n">
        <v>46299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45793</v>
      </c>
      <c r="E118" s="1" t="n">
        <v>46299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46299</v>
      </c>
      <c r="F119" t="inlineStr">
        <is>
          <t>NORRBOTTENS LÄN</t>
        </is>
      </c>
      <c r="G119" t="inlineStr">
        <is>
          <t>ÖVERKALIX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46299</v>
      </c>
      <c r="F120" t="inlineStr">
        <is>
          <t>NORRBOTTENS LÄN</t>
        </is>
      </c>
      <c r="G120" t="inlineStr">
        <is>
          <t>ÖVERKALIX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46299</v>
      </c>
      <c r="F121" t="inlineStr">
        <is>
          <t>NORRBOTTENS LÄN</t>
        </is>
      </c>
      <c r="G121" t="inlineStr">
        <is>
          <t>ÖVERKALIX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46299</v>
      </c>
      <c r="F122" t="inlineStr">
        <is>
          <t>NORRBOTTENS LÄN</t>
        </is>
      </c>
      <c r="G122" t="inlineStr">
        <is>
          <t>ÖVERKALIX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46299</v>
      </c>
      <c r="F123" t="inlineStr">
        <is>
          <t>NORRBOTTENS LÄN</t>
        </is>
      </c>
      <c r="G123" t="inlineStr">
        <is>
          <t>ÖVERKALIX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46299</v>
      </c>
      <c r="F124" t="inlineStr">
        <is>
          <t>NORRBOTTENS LÄN</t>
        </is>
      </c>
      <c r="G124" t="inlineStr">
        <is>
          <t>ÖVERKALIX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46299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46299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46299</v>
      </c>
      <c r="F127" t="inlineStr">
        <is>
          <t>NORRBOTTENS LÄN</t>
        </is>
      </c>
      <c r="G127" t="inlineStr">
        <is>
          <t>ÖVERKALIX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46299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46299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46299</v>
      </c>
      <c r="F130" t="inlineStr">
        <is>
          <t>NORRBOTTENS LÄN</t>
        </is>
      </c>
      <c r="G130" t="inlineStr">
        <is>
          <t>ÖVERKALIX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46299</v>
      </c>
      <c r="F131" t="inlineStr">
        <is>
          <t>NORRBOTTENS LÄN</t>
        </is>
      </c>
      <c r="G131" t="inlineStr">
        <is>
          <t>ÖVERKALIX</t>
        </is>
      </c>
      <c r="I131" t="n">
        <v>21.7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46299</v>
      </c>
      <c r="F132" t="inlineStr">
        <is>
          <t>NORRBOTTENS LÄN</t>
        </is>
      </c>
      <c r="G132" t="inlineStr">
        <is>
          <t>ÖVERKALIX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44754-2025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45917</v>
      </c>
      <c r="E133" s="1" t="n">
        <v>46299</v>
      </c>
      <c r="F133" t="inlineStr">
        <is>
          <t>NORRBOTTENS LÄN</t>
        </is>
      </c>
      <c r="G133" t="inlineStr">
        <is>
          <t>ÖVERKALIX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46299</v>
      </c>
      <c r="F134" t="inlineStr">
        <is>
          <t>NORRBOTTENS LÄN</t>
        </is>
      </c>
      <c r="G134" t="inlineStr">
        <is>
          <t>ÖVERKALIX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46299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46299</v>
      </c>
      <c r="F136" t="inlineStr">
        <is>
          <t>NORRBOTTENS LÄN</t>
        </is>
      </c>
      <c r="G136" t="inlineStr">
        <is>
          <t>ÖVERKALIX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46299</v>
      </c>
      <c r="F137" t="inlineStr">
        <is>
          <t>NORRBOTTENS LÄN</t>
        </is>
      </c>
      <c r="G137" t="inlineStr">
        <is>
          <t>ÖVERKALIX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45535-2025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45922</v>
      </c>
      <c r="E138" s="1" t="n">
        <v>46299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46299</v>
      </c>
      <c r="F139" t="inlineStr">
        <is>
          <t>NORRBOTTENS LÄN</t>
        </is>
      </c>
      <c r="G139" t="inlineStr">
        <is>
          <t>ÖVERKALIX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46299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46299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46299</v>
      </c>
      <c r="F142" t="inlineStr">
        <is>
          <t>NORRBOTTENS LÄN</t>
        </is>
      </c>
      <c r="G142" t="inlineStr">
        <is>
          <t>ÖVERKALIX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46299</v>
      </c>
      <c r="F143" t="inlineStr">
        <is>
          <t>NORRBOTTENS LÄN</t>
        </is>
      </c>
      <c r="G143" t="inlineStr">
        <is>
          <t>ÖVERKALIX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46299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46299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46299</v>
      </c>
      <c r="F146" t="inlineStr">
        <is>
          <t>NORRBOTTENS LÄN</t>
        </is>
      </c>
      <c r="G146" t="inlineStr">
        <is>
          <t>ÖVERKALIX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46299</v>
      </c>
      <c r="F147" t="inlineStr">
        <is>
          <t>NORRBOTTENS LÄN</t>
        </is>
      </c>
      <c r="G147" t="inlineStr">
        <is>
          <t>ÖVERKALIX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45429</v>
      </c>
      <c r="E148" s="1" t="n">
        <v>46299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46299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46299</v>
      </c>
      <c r="F150" t="inlineStr">
        <is>
          <t>NORRBOTTENS LÄN</t>
        </is>
      </c>
      <c r="G150" t="inlineStr">
        <is>
          <t>ÖVERKALIX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46299</v>
      </c>
      <c r="F151" t="inlineStr">
        <is>
          <t>NORRBOTTENS LÄN</t>
        </is>
      </c>
      <c r="G151" t="inlineStr">
        <is>
          <t>ÖVERKALIX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46299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46299</v>
      </c>
      <c r="F153" t="inlineStr">
        <is>
          <t>NORRBOTTENS LÄN</t>
        </is>
      </c>
      <c r="G153" t="inlineStr">
        <is>
          <t>ÖVERKALIX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46299</v>
      </c>
      <c r="F154" t="inlineStr">
        <is>
          <t>NORRBOTTENS LÄN</t>
        </is>
      </c>
      <c r="G154" t="inlineStr">
        <is>
          <t>ÖVERKALIX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46299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46299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46299</v>
      </c>
      <c r="F157" t="inlineStr">
        <is>
          <t>NORRBOTTENS LÄN</t>
        </is>
      </c>
      <c r="G157" t="inlineStr">
        <is>
          <t>ÖVERKALIX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46299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46299</v>
      </c>
      <c r="F159" t="inlineStr">
        <is>
          <t>NORRBOTTENS LÄN</t>
        </is>
      </c>
      <c r="G159" t="inlineStr">
        <is>
          <t>ÖVERKALIX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46080</v>
      </c>
      <c r="E160" s="1" t="n">
        <v>46299</v>
      </c>
      <c r="F160" t="inlineStr">
        <is>
          <t>NORRBOTTENS LÄN</t>
        </is>
      </c>
      <c r="G160" t="inlineStr">
        <is>
          <t>ÖVERKALIX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46299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51634-2025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45951</v>
      </c>
      <c r="E162" s="1" t="n">
        <v>46299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28343-2025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45818</v>
      </c>
      <c r="E163" s="1" t="n">
        <v>46299</v>
      </c>
      <c r="F163" t="inlineStr">
        <is>
          <t>NORRBOTTENS LÄN</t>
        </is>
      </c>
      <c r="G163" t="inlineStr">
        <is>
          <t>ÖVERKALIX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45949</v>
      </c>
      <c r="E164" s="1" t="n">
        <v>46299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46299</v>
      </c>
      <c r="F165" t="inlineStr">
        <is>
          <t>NORRBOTTENS LÄN</t>
        </is>
      </c>
      <c r="G165" t="inlineStr">
        <is>
          <t>ÖVERKALIX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46299</v>
      </c>
      <c r="F166" t="inlineStr">
        <is>
          <t>NORRBOTTENS LÄN</t>
        </is>
      </c>
      <c r="G166" t="inlineStr">
        <is>
          <t>ÖVERKALIX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46299</v>
      </c>
      <c r="F167" t="inlineStr">
        <is>
          <t>NORRBOTTENS LÄN</t>
        </is>
      </c>
      <c r="G167" t="inlineStr">
        <is>
          <t>ÖVERKALIX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72364-2021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46299</v>
      </c>
      <c r="F168" t="inlineStr">
        <is>
          <t>NORRBOTTENS LÄN</t>
        </is>
      </c>
      <c r="G168" t="inlineStr">
        <is>
          <t>ÖVERKALIX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46299</v>
      </c>
      <c r="F169" t="inlineStr">
        <is>
          <t>NORRBOTTENS LÄN</t>
        </is>
      </c>
      <c r="G169" t="inlineStr">
        <is>
          <t>ÖVERKALIX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46299</v>
      </c>
      <c r="F170" t="inlineStr">
        <is>
          <t>NORRBOTTENS LÄN</t>
        </is>
      </c>
      <c r="G170" t="inlineStr">
        <is>
          <t>ÖVERKALIX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46299</v>
      </c>
      <c r="F171" t="inlineStr">
        <is>
          <t>NORRBOTTENS LÄN</t>
        </is>
      </c>
      <c r="G171" t="inlineStr">
        <is>
          <t>ÖVERKALIX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46299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46299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46299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46299</v>
      </c>
      <c r="F175" t="inlineStr">
        <is>
          <t>NORRBOTTENS LÄN</t>
        </is>
      </c>
      <c r="G175" t="inlineStr">
        <is>
          <t>ÖVERKALIX</t>
        </is>
      </c>
      <c r="I175" t="n">
        <v>11.9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46299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45954</v>
      </c>
      <c r="E177" s="1" t="n">
        <v>46299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46299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46299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46299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46087</v>
      </c>
      <c r="E181" s="1" t="n">
        <v>46299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46299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46299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46299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46299</v>
      </c>
      <c r="F185" t="inlineStr">
        <is>
          <t>NORRBOTTENS LÄN</t>
        </is>
      </c>
      <c r="G185" t="inlineStr">
        <is>
          <t>ÖVERKALIX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46299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46299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46299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46299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46299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46299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46299</v>
      </c>
      <c r="F192" t="inlineStr">
        <is>
          <t>NORRBOTTENS LÄN</t>
        </is>
      </c>
      <c r="G192" t="inlineStr">
        <is>
          <t>ÖVERKALIX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46299</v>
      </c>
      <c r="F193" t="inlineStr">
        <is>
          <t>NORRBOTTENS LÄN</t>
        </is>
      </c>
      <c r="G193" t="inlineStr">
        <is>
          <t>ÖVERKALIX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45141</v>
      </c>
      <c r="E194" s="1" t="n">
        <v>46299</v>
      </c>
      <c r="F194" t="inlineStr">
        <is>
          <t>NORRBOTTENS LÄN</t>
        </is>
      </c>
      <c r="G194" t="inlineStr">
        <is>
          <t>ÖVERKALIX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46299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46299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22.8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57744-2025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45981</v>
      </c>
      <c r="E197" s="1" t="n">
        <v>46299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46299</v>
      </c>
      <c r="F198" t="inlineStr">
        <is>
          <t>NORRBOTTENS LÄN</t>
        </is>
      </c>
      <c r="G198" t="inlineStr">
        <is>
          <t>ÖVERKALIX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46299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17.2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46299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46299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46299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46299</v>
      </c>
      <c r="F203" t="inlineStr">
        <is>
          <t>NORRBOTTENS LÄN</t>
        </is>
      </c>
      <c r="G203" t="inlineStr">
        <is>
          <t>ÖVERKALIX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46299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46299</v>
      </c>
      <c r="F205" t="inlineStr">
        <is>
          <t>NORRBOTTENS LÄN</t>
        </is>
      </c>
      <c r="G205" t="inlineStr">
        <is>
          <t>ÖVERKALIX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46299</v>
      </c>
      <c r="F206" t="inlineStr">
        <is>
          <t>NORRBOTTENS LÄN</t>
        </is>
      </c>
      <c r="G206" t="inlineStr">
        <is>
          <t>ÖVERKALIX</t>
        </is>
      </c>
      <c r="I206" t="n">
        <v>16.1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46299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46299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46299</v>
      </c>
      <c r="F209" t="inlineStr">
        <is>
          <t>NORRBOTTENS LÄN</t>
        </is>
      </c>
      <c r="G209" t="inlineStr">
        <is>
          <t>ÖVERKALIX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46299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46299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46299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44823</v>
      </c>
      <c r="E213" s="1" t="n">
        <v>46299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46299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46299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46299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46299</v>
      </c>
      <c r="F217" t="inlineStr">
        <is>
          <t>NORRBOTTENS LÄN</t>
        </is>
      </c>
      <c r="G217" t="inlineStr">
        <is>
          <t>ÖVERKALIX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46299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46299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46299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46299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46299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45428</v>
      </c>
      <c r="E223" s="1" t="n">
        <v>46299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46299</v>
      </c>
      <c r="F224" t="inlineStr">
        <is>
          <t>NORRBOTTENS LÄN</t>
        </is>
      </c>
      <c r="G224" t="inlineStr">
        <is>
          <t>ÖVERKALIX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46299</v>
      </c>
      <c r="F225" t="inlineStr">
        <is>
          <t>NORRBOTTENS LÄN</t>
        </is>
      </c>
      <c r="G225" t="inlineStr">
        <is>
          <t>ÖVERKALIX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46299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46299</v>
      </c>
      <c r="F227" t="inlineStr">
        <is>
          <t>NORRBOTTENS LÄN</t>
        </is>
      </c>
      <c r="G227" t="inlineStr">
        <is>
          <t>ÖVERKALIX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46299</v>
      </c>
      <c r="F228" t="inlineStr">
        <is>
          <t>NORRBOTTENS LÄN</t>
        </is>
      </c>
      <c r="G228" t="inlineStr">
        <is>
          <t>ÖVERKALIX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46299</v>
      </c>
      <c r="F229" t="inlineStr">
        <is>
          <t>NORRBOTTENS LÄN</t>
        </is>
      </c>
      <c r="G229" t="inlineStr">
        <is>
          <t>ÖVERKALIX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46299</v>
      </c>
      <c r="F230" t="inlineStr">
        <is>
          <t>NORRBOTTENS LÄN</t>
        </is>
      </c>
      <c r="G230" t="inlineStr">
        <is>
          <t>ÖVERKALIX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46299</v>
      </c>
      <c r="F231" t="inlineStr">
        <is>
          <t>NORRBOTTENS LÄN</t>
        </is>
      </c>
      <c r="G231" t="inlineStr">
        <is>
          <t>ÖVERKALIX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46299</v>
      </c>
      <c r="F232" t="inlineStr">
        <is>
          <t>NORRBOTTENS LÄN</t>
        </is>
      </c>
      <c r="G232" t="inlineStr">
        <is>
          <t>ÖVERKALIX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46299</v>
      </c>
      <c r="F233" t="inlineStr">
        <is>
          <t>NORRBOTTENS LÄN</t>
        </is>
      </c>
      <c r="G233" t="inlineStr">
        <is>
          <t>ÖVERKALIX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46299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46299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46299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46299</v>
      </c>
      <c r="F237" t="inlineStr">
        <is>
          <t>NORRBOTTENS LÄN</t>
        </is>
      </c>
      <c r="G237" t="inlineStr">
        <is>
          <t>ÖVERKALIX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46299</v>
      </c>
      <c r="F238" t="inlineStr">
        <is>
          <t>NORRBOTTENS LÄN</t>
        </is>
      </c>
      <c r="G238" t="inlineStr">
        <is>
          <t>ÖVERKALIX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46299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58764-2023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45251</v>
      </c>
      <c r="E240" s="1" t="n">
        <v>46299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46299</v>
      </c>
      <c r="F241" t="inlineStr">
        <is>
          <t>NORRBOTTENS LÄN</t>
        </is>
      </c>
      <c r="G241" t="inlineStr">
        <is>
          <t>ÖVERKALIX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46299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46299</v>
      </c>
      <c r="F243" t="inlineStr">
        <is>
          <t>NORRBOTTENS LÄN</t>
        </is>
      </c>
      <c r="G243" t="inlineStr">
        <is>
          <t>ÖVERKALIX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46299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46299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46299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46299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45834</v>
      </c>
      <c r="E248" s="1" t="n">
        <v>46299</v>
      </c>
      <c r="F248" t="inlineStr">
        <is>
          <t>NORRBOTTENS LÄN</t>
        </is>
      </c>
      <c r="G248" t="inlineStr">
        <is>
          <t>ÖVERKALIX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44659</v>
      </c>
      <c r="E249" s="1" t="n">
        <v>46299</v>
      </c>
      <c r="F249" t="inlineStr">
        <is>
          <t>NORRBOTTENS LÄN</t>
        </is>
      </c>
      <c r="G249" t="inlineStr">
        <is>
          <t>ÖVERKALIX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46299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46299</v>
      </c>
      <c r="F251" t="inlineStr">
        <is>
          <t>NORRBOTTENS LÄN</t>
        </is>
      </c>
      <c r="G251" t="inlineStr">
        <is>
          <t>ÖVERKALIX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46299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46299</v>
      </c>
      <c r="F253" t="inlineStr">
        <is>
          <t>NORRBOTTENS LÄN</t>
        </is>
      </c>
      <c r="G253" t="inlineStr">
        <is>
          <t>ÖVERKALIX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45133</v>
      </c>
      <c r="E254" s="1" t="n">
        <v>46299</v>
      </c>
      <c r="F254" t="inlineStr">
        <is>
          <t>NORRBOTTENS LÄN</t>
        </is>
      </c>
      <c r="G254" t="inlineStr">
        <is>
          <t>ÖVERKALIX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45839</v>
      </c>
      <c r="E255" s="1" t="n">
        <v>46299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46299</v>
      </c>
      <c r="F256" t="inlineStr">
        <is>
          <t>NORRBOTTENS LÄN</t>
        </is>
      </c>
      <c r="G256" t="inlineStr">
        <is>
          <t>ÖVERKALIX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46299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45837</v>
      </c>
      <c r="E258" s="1" t="n">
        <v>46299</v>
      </c>
      <c r="F258" t="inlineStr">
        <is>
          <t>NORRBOTTENS LÄN</t>
        </is>
      </c>
      <c r="G258" t="inlineStr">
        <is>
          <t>ÖVERKALIX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46299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46299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72809-2021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44546</v>
      </c>
      <c r="E261" s="1" t="n">
        <v>46299</v>
      </c>
      <c r="F261" t="inlineStr">
        <is>
          <t>NORRBOTTENS LÄN</t>
        </is>
      </c>
      <c r="G261" t="inlineStr">
        <is>
          <t>ÖVERKALIX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34128-2025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45845</v>
      </c>
      <c r="E262" s="1" t="n">
        <v>46299</v>
      </c>
      <c r="F262" t="inlineStr">
        <is>
          <t>NORRBOTTENS LÄN</t>
        </is>
      </c>
      <c r="G262" t="inlineStr">
        <is>
          <t>ÖVERKALIX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46299</v>
      </c>
      <c r="F263" t="inlineStr">
        <is>
          <t>NORRBOTTENS LÄN</t>
        </is>
      </c>
      <c r="G263" t="inlineStr">
        <is>
          <t>ÖVERKALIX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44993</v>
      </c>
      <c r="E264" s="1" t="n">
        <v>46299</v>
      </c>
      <c r="F264" t="inlineStr">
        <is>
          <t>NORRBOTTENS LÄN</t>
        </is>
      </c>
      <c r="G264" t="inlineStr">
        <is>
          <t>ÖVERKALIX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62269-2021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46299</v>
      </c>
      <c r="F265" t="inlineStr">
        <is>
          <t>NORRBOTTENS LÄN</t>
        </is>
      </c>
      <c r="G265" t="inlineStr">
        <is>
          <t>ÖVERKALIX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46299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5653-2022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44595</v>
      </c>
      <c r="E267" s="1" t="n">
        <v>46299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45315</v>
      </c>
      <c r="E268" s="1" t="n">
        <v>46299</v>
      </c>
      <c r="F268" t="inlineStr">
        <is>
          <t>NORRBOTTENS LÄN</t>
        </is>
      </c>
      <c r="G268" t="inlineStr">
        <is>
          <t>ÖVERKALIX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44601</v>
      </c>
      <c r="E269" s="1" t="n">
        <v>46299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45092</v>
      </c>
      <c r="E270" s="1" t="n">
        <v>46299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46299</v>
      </c>
      <c r="F271" t="inlineStr">
        <is>
          <t>NORRBOTTENS LÄN</t>
        </is>
      </c>
      <c r="G271" t="inlineStr">
        <is>
          <t>ÖVERKALIX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46299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46299</v>
      </c>
      <c r="F273" t="inlineStr">
        <is>
          <t>NORRBOTTENS LÄN</t>
        </is>
      </c>
      <c r="G273" t="inlineStr">
        <is>
          <t>ÖVERKALIX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46299</v>
      </c>
      <c r="F274" t="inlineStr">
        <is>
          <t>NORRBOTTENS LÄN</t>
        </is>
      </c>
      <c r="G274" t="inlineStr">
        <is>
          <t>ÖVERKALIX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46299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46299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44648</v>
      </c>
      <c r="E277" s="1" t="n">
        <v>46299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46299</v>
      </c>
      <c r="F278" t="inlineStr">
        <is>
          <t>NORRBOTTENS LÄN</t>
        </is>
      </c>
      <c r="G278" t="inlineStr">
        <is>
          <t>ÖVERKALIX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46299</v>
      </c>
      <c r="F279" t="inlineStr">
        <is>
          <t>NORRBOTTENS LÄN</t>
        </is>
      </c>
      <c r="G279" t="inlineStr">
        <is>
          <t>ÖVERKALIX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45869</v>
      </c>
      <c r="E280" s="1" t="n">
        <v>46299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73216-2021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46299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46299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46299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45869</v>
      </c>
      <c r="E284" s="1" t="n">
        <v>46299</v>
      </c>
      <c r="F284" t="inlineStr">
        <is>
          <t>NORRBOTTENS LÄN</t>
        </is>
      </c>
      <c r="G284" t="inlineStr">
        <is>
          <t>ÖVERKALIX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46299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45471</v>
      </c>
      <c r="E286" s="1" t="n">
        <v>46299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45870</v>
      </c>
      <c r="E287" s="1" t="n">
        <v>46299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45870</v>
      </c>
      <c r="E288" s="1" t="n">
        <v>46299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46299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46299</v>
      </c>
      <c r="F290" t="inlineStr">
        <is>
          <t>NORRBOTTENS LÄN</t>
        </is>
      </c>
      <c r="G290" t="inlineStr">
        <is>
          <t>ÖVERKALIX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46299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46299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46299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46299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46299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46299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46299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46299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46299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46299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18.8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46299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46299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23.2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45218</v>
      </c>
      <c r="E303" s="1" t="n">
        <v>46299</v>
      </c>
      <c r="F303" t="inlineStr">
        <is>
          <t>NORRBOTTENS LÄN</t>
        </is>
      </c>
      <c r="G303" t="inlineStr">
        <is>
          <t>ÖVERKALIX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46299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44910</v>
      </c>
      <c r="E305" s="1" t="n">
        <v>46299</v>
      </c>
      <c r="F305" t="inlineStr">
        <is>
          <t>NORRBOTTENS LÄN</t>
        </is>
      </c>
      <c r="G305" t="inlineStr">
        <is>
          <t>ÖVERKALIX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46299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46299</v>
      </c>
      <c r="F307" t="inlineStr">
        <is>
          <t>NORRBOTTENS LÄN</t>
        </is>
      </c>
      <c r="G307" t="inlineStr">
        <is>
          <t>ÖVERKALIX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44575</v>
      </c>
      <c r="E308" s="1" t="n">
        <v>46299</v>
      </c>
      <c r="F308" t="inlineStr">
        <is>
          <t>NORRBOTTENS LÄN</t>
        </is>
      </c>
      <c r="G308" t="inlineStr">
        <is>
          <t>ÖVERKALIX</t>
        </is>
      </c>
      <c r="I308" t="n">
        <v>10.4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46299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46299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46299</v>
      </c>
      <c r="F311" t="inlineStr">
        <is>
          <t>NORRBOTTENS LÄN</t>
        </is>
      </c>
      <c r="G311" t="inlineStr">
        <is>
          <t>ÖVERKALIX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46299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46299</v>
      </c>
      <c r="F313" t="inlineStr">
        <is>
          <t>NORRBOTTENS LÄN</t>
        </is>
      </c>
      <c r="G313" t="inlineStr">
        <is>
          <t>ÖVERKALIX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46299</v>
      </c>
      <c r="F314" t="inlineStr">
        <is>
          <t>NORRBOTTENS LÄN</t>
        </is>
      </c>
      <c r="G314" t="inlineStr">
        <is>
          <t>ÖVERKALIX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46299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46299</v>
      </c>
      <c r="F316" t="inlineStr">
        <is>
          <t>NORRBOTTENS LÄN</t>
        </is>
      </c>
      <c r="G316" t="inlineStr">
        <is>
          <t>ÖVERKALIX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46299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46299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46299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28372-2025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45818</v>
      </c>
      <c r="E320" s="1" t="n">
        <v>46299</v>
      </c>
      <c r="F320" t="inlineStr">
        <is>
          <t>NORRBOTTENS LÄN</t>
        </is>
      </c>
      <c r="G320" t="inlineStr">
        <is>
          <t>ÖVERKALIX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32477-2024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45513</v>
      </c>
      <c r="E321" s="1" t="n">
        <v>46299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46299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30881-2024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45498</v>
      </c>
      <c r="E323" s="1" t="n">
        <v>46299</v>
      </c>
      <c r="F323" t="inlineStr">
        <is>
          <t>NORRBOTTENS LÄN</t>
        </is>
      </c>
      <c r="G323" t="inlineStr">
        <is>
          <t>ÖVERKALIX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46299</v>
      </c>
      <c r="F324" t="inlineStr">
        <is>
          <t>NORRBOTTENS LÄN</t>
        </is>
      </c>
      <c r="G324" t="inlineStr">
        <is>
          <t>ÖVERKALIX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46299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46299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46299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46168</v>
      </c>
      <c r="E328" s="1" t="n">
        <v>46299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46299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46299</v>
      </c>
      <c r="F330" t="inlineStr">
        <is>
          <t>NORRBOTTENS LÄN</t>
        </is>
      </c>
      <c r="G330" t="inlineStr">
        <is>
          <t>ÖVERKALIX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46299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46299</v>
      </c>
      <c r="F332" t="inlineStr">
        <is>
          <t>NORRBOTTENS LÄN</t>
        </is>
      </c>
      <c r="G332" t="inlineStr">
        <is>
          <t>ÖVERKALIX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46299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46299</v>
      </c>
      <c r="F334" t="inlineStr">
        <is>
          <t>NORRBOTTENS LÄN</t>
        </is>
      </c>
      <c r="G334" t="inlineStr">
        <is>
          <t>ÖVERKALIX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46299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45379</v>
      </c>
      <c r="E336" s="1" t="n">
        <v>46299</v>
      </c>
      <c r="F336" t="inlineStr">
        <is>
          <t>NORRBOTTENS LÄN</t>
        </is>
      </c>
      <c r="G336" t="inlineStr">
        <is>
          <t>ÖVERKALIX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46299</v>
      </c>
      <c r="F337" t="inlineStr">
        <is>
          <t>NORRBOTTENS LÄN</t>
        </is>
      </c>
      <c r="G337" t="inlineStr">
        <is>
          <t>ÖVERKALIX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46299</v>
      </c>
      <c r="F338" t="inlineStr">
        <is>
          <t>NORRBOTTENS LÄN</t>
        </is>
      </c>
      <c r="G338" t="inlineStr">
        <is>
          <t>ÖVERKALIX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46177</v>
      </c>
      <c r="E339" s="1" t="n">
        <v>46299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46299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46299</v>
      </c>
      <c r="F341" t="inlineStr">
        <is>
          <t>NORRBOTTENS LÄN</t>
        </is>
      </c>
      <c r="G341" t="inlineStr">
        <is>
          <t>ÖVERKALIX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46299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46299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45513</v>
      </c>
      <c r="E344" s="1" t="n">
        <v>46299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46299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46299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46299</v>
      </c>
      <c r="F347" t="inlineStr">
        <is>
          <t>NORRBOTTENS LÄN</t>
        </is>
      </c>
      <c r="G347" t="inlineStr">
        <is>
          <t>ÖVERKALIX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46299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8.5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46299</v>
      </c>
      <c r="F349" t="inlineStr">
        <is>
          <t>NORRBOTTENS LÄN</t>
        </is>
      </c>
      <c r="G349" t="inlineStr">
        <is>
          <t>ÖVERKALIX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45622</v>
      </c>
      <c r="E350" s="1" t="n">
        <v>46299</v>
      </c>
      <c r="F350" t="inlineStr">
        <is>
          <t>NORRBOTTENS LÄN</t>
        </is>
      </c>
      <c r="G350" t="inlineStr">
        <is>
          <t>ÖVERKALIX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46299</v>
      </c>
      <c r="F351" t="inlineStr">
        <is>
          <t>NORRBOTTENS LÄN</t>
        </is>
      </c>
      <c r="G351" t="inlineStr">
        <is>
          <t>ÖVERKALIX</t>
        </is>
      </c>
      <c r="I351" t="n">
        <v>13.1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46299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28210-2026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46196</v>
      </c>
      <c r="E353" s="1" t="n">
        <v>46299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45693</v>
      </c>
      <c r="E354" s="1" t="n">
        <v>46299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44899</v>
      </c>
      <c r="E355" s="1" t="n">
        <v>46299</v>
      </c>
      <c r="F355" t="inlineStr">
        <is>
          <t>NORRBOTTENS LÄN</t>
        </is>
      </c>
      <c r="G355" t="inlineStr">
        <is>
          <t>ÖVERKALIX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46299</v>
      </c>
      <c r="F356" t="inlineStr">
        <is>
          <t>NORRBOTTENS LÄN</t>
        </is>
      </c>
      <c r="G356" t="inlineStr">
        <is>
          <t>ÖVERKALIX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46299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46299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45540</v>
      </c>
      <c r="E359" s="1" t="n">
        <v>46299</v>
      </c>
      <c r="F359" t="inlineStr">
        <is>
          <t>NORRBOTTENS LÄN</t>
        </is>
      </c>
      <c r="G359" t="inlineStr">
        <is>
          <t>ÖVERKALIX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64524-2023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45281</v>
      </c>
      <c r="E360" s="1" t="n">
        <v>46299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46299</v>
      </c>
      <c r="F361" t="inlineStr">
        <is>
          <t>NORRBOTTENS LÄN</t>
        </is>
      </c>
      <c r="G361" t="inlineStr">
        <is>
          <t>ÖVERKALIX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46299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45643</v>
      </c>
      <c r="E363" s="1" t="n">
        <v>46299</v>
      </c>
      <c r="F363" t="inlineStr">
        <is>
          <t>NORRBOTTENS LÄN</t>
        </is>
      </c>
      <c r="G363" t="inlineStr">
        <is>
          <t>ÖVERKALIX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42119-2024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45562</v>
      </c>
      <c r="E364" s="1" t="n">
        <v>46299</v>
      </c>
      <c r="F364" t="inlineStr">
        <is>
          <t>NORRBOTTENS LÄN</t>
        </is>
      </c>
      <c r="G364" t="inlineStr">
        <is>
          <t>ÖVERKALIX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45429</v>
      </c>
      <c r="E365" s="1" t="n">
        <v>46299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22.7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46299</v>
      </c>
      <c r="F366" t="inlineStr">
        <is>
          <t>NORRBOTTENS LÄN</t>
        </is>
      </c>
      <c r="G366" t="inlineStr">
        <is>
          <t>ÖVERKALIX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46299</v>
      </c>
      <c r="F367" t="inlineStr">
        <is>
          <t>NORRBOTTENS LÄN</t>
        </is>
      </c>
      <c r="G367" t="inlineStr">
        <is>
          <t>ÖVERKALIX</t>
        </is>
      </c>
      <c r="I367" t="n">
        <v>22.3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46299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46299</v>
      </c>
      <c r="F369" t="inlineStr">
        <is>
          <t>NORRBOTTENS LÄN</t>
        </is>
      </c>
      <c r="G369" t="inlineStr">
        <is>
          <t>ÖVERKALIX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46299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29927-2026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46205</v>
      </c>
      <c r="E371" s="1" t="n">
        <v>46299</v>
      </c>
      <c r="F371" t="inlineStr">
        <is>
          <t>NORRBOTTENS LÄN</t>
        </is>
      </c>
      <c r="G371" t="inlineStr">
        <is>
          <t>ÖVERKALIX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29937-2026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46205</v>
      </c>
      <c r="E372" s="1" t="n">
        <v>46299</v>
      </c>
      <c r="F372" t="inlineStr">
        <is>
          <t>NORRBOTTENS LÄN</t>
        </is>
      </c>
      <c r="G372" t="inlineStr">
        <is>
          <t>ÖVERKALIX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30326-2026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46207</v>
      </c>
      <c r="E373" s="1" t="n">
        <v>46299</v>
      </c>
      <c r="F373" t="inlineStr">
        <is>
          <t>NORRBOTTENS LÄN</t>
        </is>
      </c>
      <c r="G373" t="inlineStr">
        <is>
          <t>ÖVERKALIX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30327-2026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46207</v>
      </c>
      <c r="E374" s="1" t="n">
        <v>46299</v>
      </c>
      <c r="F374" t="inlineStr">
        <is>
          <t>NORRBOTTENS LÄN</t>
        </is>
      </c>
      <c r="G374" t="inlineStr">
        <is>
          <t>ÖVERKALIX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30328-2026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46207</v>
      </c>
      <c r="E375" s="1" t="n">
        <v>46299</v>
      </c>
      <c r="F375" t="inlineStr">
        <is>
          <t>NORRBOTTENS LÄN</t>
        </is>
      </c>
      <c r="G375" t="inlineStr">
        <is>
          <t>ÖVERKALIX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46299</v>
      </c>
      <c r="F376" t="inlineStr">
        <is>
          <t>NORRBOTTENS LÄN</t>
        </is>
      </c>
      <c r="G376" t="inlineStr">
        <is>
          <t>ÖVERKALIX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46299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30241-2026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46206</v>
      </c>
      <c r="E378" s="1" t="n">
        <v>46299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46299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72623-2021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44546</v>
      </c>
      <c r="E380" s="1" t="n">
        <v>46299</v>
      </c>
      <c r="F380" t="inlineStr">
        <is>
          <t>NORRBOTTENS LÄN</t>
        </is>
      </c>
      <c r="G380" t="inlineStr">
        <is>
          <t>ÖVERKALIX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46299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46299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45513</v>
      </c>
      <c r="E383" s="1" t="n">
        <v>46299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46258</v>
      </c>
      <c r="E384" s="1" t="n">
        <v>46299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46299</v>
      </c>
      <c r="F385" t="inlineStr">
        <is>
          <t>NORRBOTTENS LÄN</t>
        </is>
      </c>
      <c r="G385" t="inlineStr">
        <is>
          <t>ÖVERKALIX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46299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45548</v>
      </c>
      <c r="E387" s="1" t="n">
        <v>46299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46299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46299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45604</v>
      </c>
      <c r="E390" s="1" t="n">
        <v>46299</v>
      </c>
      <c r="F390" t="inlineStr">
        <is>
          <t>NORRBOTTENS LÄN</t>
        </is>
      </c>
      <c r="G390" t="inlineStr">
        <is>
          <t>ÖVERKALIX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46299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35191-2026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46260</v>
      </c>
      <c r="E392" s="1" t="n">
        <v>46299</v>
      </c>
      <c r="F392" t="inlineStr">
        <is>
          <t>NORRBOTTENS LÄN</t>
        </is>
      </c>
      <c r="G392" t="inlineStr">
        <is>
          <t>ÖVERKALIX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45641</v>
      </c>
      <c r="E393" s="1" t="n">
        <v>46299</v>
      </c>
      <c r="F393" t="inlineStr">
        <is>
          <t>NORRBOTTENS LÄN</t>
        </is>
      </c>
      <c r="G393" t="inlineStr">
        <is>
          <t>ÖVERKALIX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46266</v>
      </c>
      <c r="E394" s="1" t="n">
        <v>46299</v>
      </c>
      <c r="F394" t="inlineStr">
        <is>
          <t>NORRBOTTENS LÄN</t>
        </is>
      </c>
      <c r="G394" t="inlineStr">
        <is>
          <t>ÖVERKALIX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45748-2023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46299</v>
      </c>
      <c r="F395" t="inlineStr">
        <is>
          <t>NORRBOTTENS LÄN</t>
        </is>
      </c>
      <c r="G395" t="inlineStr">
        <is>
          <t>ÖVERKALIX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46299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46299</v>
      </c>
      <c r="F397" t="inlineStr">
        <is>
          <t>NORRBOTTENS LÄN</t>
        </is>
      </c>
      <c r="G397" t="inlineStr">
        <is>
          <t>ÖVERKALIX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46299</v>
      </c>
      <c r="F398" t="inlineStr">
        <is>
          <t>NORRBOTTENS LÄN</t>
        </is>
      </c>
      <c r="G398" t="inlineStr">
        <is>
          <t>ÖVERKALIX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46299</v>
      </c>
      <c r="F399" t="inlineStr">
        <is>
          <t>NORRBOTTENS LÄN</t>
        </is>
      </c>
      <c r="G399" t="inlineStr">
        <is>
          <t>ÖVERKALIX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46299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46230</v>
      </c>
      <c r="E401" s="1" t="n">
        <v>46299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46299</v>
      </c>
      <c r="F402" t="inlineStr">
        <is>
          <t>NORRBOTTENS LÄN</t>
        </is>
      </c>
      <c r="G402" t="inlineStr">
        <is>
          <t>ÖVERKALIX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37683-2026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46278</v>
      </c>
      <c r="E403" s="1" t="n">
        <v>46299</v>
      </c>
      <c r="F403" t="inlineStr">
        <is>
          <t>NORRBOTTENS LÄN</t>
        </is>
      </c>
      <c r="G403" t="inlineStr">
        <is>
          <t>ÖVERKALIX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46299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20.1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46281</v>
      </c>
      <c r="E405" s="1" t="n">
        <v>46299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46299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33315-2024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45518</v>
      </c>
      <c r="E407" s="1" t="n">
        <v>46299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46299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46299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46299</v>
      </c>
      <c r="F410" t="inlineStr">
        <is>
          <t>NORRBOTTENS LÄN</t>
        </is>
      </c>
      <c r="G410" t="inlineStr">
        <is>
          <t>ÖVERKALIX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46299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28.8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44966</v>
      </c>
      <c r="E412" s="1" t="n">
        <v>46299</v>
      </c>
      <c r="F412" t="inlineStr">
        <is>
          <t>NORRBOTTENS LÄN</t>
        </is>
      </c>
      <c r="G412" t="inlineStr">
        <is>
          <t>ÖVERKALIX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46299</v>
      </c>
      <c r="F413" t="inlineStr">
        <is>
          <t>NORRBOTTENS LÄN</t>
        </is>
      </c>
      <c r="G413" t="inlineStr">
        <is>
          <t>ÖVERKALIX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45334</v>
      </c>
      <c r="E414" s="1" t="n">
        <v>46299</v>
      </c>
      <c r="F414" t="inlineStr">
        <is>
          <t>NORRBOTTENS LÄN</t>
        </is>
      </c>
      <c r="G414" t="inlineStr">
        <is>
          <t>ÖVERKALIX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46299</v>
      </c>
      <c r="F415" t="inlineStr">
        <is>
          <t>NORRBOTTENS LÄN</t>
        </is>
      </c>
      <c r="G415" t="inlineStr">
        <is>
          <t>ÖVERKALIX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45699</v>
      </c>
      <c r="E416" s="1" t="n">
        <v>46299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46299</v>
      </c>
      <c r="F417" t="inlineStr">
        <is>
          <t>NORRBOTTENS LÄN</t>
        </is>
      </c>
      <c r="G417" t="inlineStr">
        <is>
          <t>ÖVERKALIX</t>
        </is>
      </c>
      <c r="I417" t="n">
        <v>12.9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46299</v>
      </c>
      <c r="F418" t="inlineStr">
        <is>
          <t>NORRBOTTENS LÄN</t>
        </is>
      </c>
      <c r="G418" t="inlineStr">
        <is>
          <t>ÖVERKALIX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46299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46299</v>
      </c>
      <c r="F420" t="inlineStr">
        <is>
          <t>NORRBOTTENS LÄN</t>
        </is>
      </c>
      <c r="G420" t="inlineStr">
        <is>
          <t>ÖVERKALIX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46299</v>
      </c>
      <c r="F421" t="inlineStr">
        <is>
          <t>NORRBOTTENS LÄN</t>
        </is>
      </c>
      <c r="G421" t="inlineStr">
        <is>
          <t>ÖVERKALIX</t>
        </is>
      </c>
      <c r="I421" t="n">
        <v>12.5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46299</v>
      </c>
      <c r="F422" t="inlineStr">
        <is>
          <t>NORRBOTTENS LÄN</t>
        </is>
      </c>
      <c r="G422" t="inlineStr">
        <is>
          <t>ÖVERKALIX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46299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46299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46288</v>
      </c>
      <c r="E425" s="1" t="n">
        <v>46299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46299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72212-2021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44543</v>
      </c>
      <c r="E427" s="1" t="n">
        <v>46299</v>
      </c>
      <c r="F427" t="inlineStr">
        <is>
          <t>NORRBOTTENS LÄN</t>
        </is>
      </c>
      <c r="G427" t="inlineStr">
        <is>
          <t>ÖVERKALIX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33284-2026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46246</v>
      </c>
      <c r="E428" s="1" t="n">
        <v>46299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45404</v>
      </c>
      <c r="E429" s="1" t="n">
        <v>46299</v>
      </c>
      <c r="F429" t="inlineStr">
        <is>
          <t>NORRBOTTENS LÄN</t>
        </is>
      </c>
      <c r="G429" t="inlineStr">
        <is>
          <t>ÖVERKALIX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46299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29.9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46299</v>
      </c>
      <c r="F431" t="inlineStr">
        <is>
          <t>NORRBOTTENS LÄN</t>
        </is>
      </c>
      <c r="G431" t="inlineStr">
        <is>
          <t>ÖVERKALIX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45401</v>
      </c>
      <c r="E432" s="1" t="n">
        <v>46299</v>
      </c>
      <c r="F432" t="inlineStr">
        <is>
          <t>NORRBOTTENS LÄN</t>
        </is>
      </c>
      <c r="G432" t="inlineStr">
        <is>
          <t>ÖVERKALIX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46299</v>
      </c>
      <c r="F433" t="inlineStr">
        <is>
          <t>NORRBOTTENS LÄN</t>
        </is>
      </c>
      <c r="G433" t="inlineStr">
        <is>
          <t>ÖVERKALIX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46293</v>
      </c>
      <c r="E434" s="1" t="n">
        <v>46299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46299</v>
      </c>
      <c r="F435" t="inlineStr">
        <is>
          <t>NORRBOTTENS LÄN</t>
        </is>
      </c>
      <c r="G435" t="inlineStr">
        <is>
          <t>ÖVERKALIX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39710-2026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46299</v>
      </c>
      <c r="F436" t="inlineStr">
        <is>
          <t>NORRBOTTENS LÄN</t>
        </is>
      </c>
      <c r="G436" t="inlineStr">
        <is>
          <t>ÖVERKALIX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44817</v>
      </c>
      <c r="E437" s="1" t="n">
        <v>46299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46299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13.4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45539</v>
      </c>
      <c r="E439" s="1" t="n">
        <v>46299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46295</v>
      </c>
      <c r="E440" s="1" t="n">
        <v>46299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46299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46299</v>
      </c>
      <c r="F442" t="inlineStr">
        <is>
          <t>NORRBOTTENS LÄN</t>
        </is>
      </c>
      <c r="G442" t="inlineStr">
        <is>
          <t>ÖVERKALIX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46299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46299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46299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46296</v>
      </c>
      <c r="E446" s="1" t="n">
        <v>46299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27.1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40726-2026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46296</v>
      </c>
      <c r="E447" s="1" t="n">
        <v>46299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46244</v>
      </c>
      <c r="E448" s="1" t="n">
        <v>46299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45315</v>
      </c>
      <c r="E449" s="1" t="n">
        <v>46299</v>
      </c>
      <c r="F449" t="inlineStr">
        <is>
          <t>NORRBOTTENS LÄN</t>
        </is>
      </c>
      <c r="G449" t="inlineStr">
        <is>
          <t>ÖVERKALIX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45621</v>
      </c>
      <c r="E450" s="1" t="n">
        <v>46299</v>
      </c>
      <c r="F450" t="inlineStr">
        <is>
          <t>NORRBOTTENS LÄN</t>
        </is>
      </c>
      <c r="G450" t="inlineStr">
        <is>
          <t>ÖVERKALIX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46299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46299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9.199999999999999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46299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45744</v>
      </c>
      <c r="E455" s="1" t="n">
        <v>46299</v>
      </c>
      <c r="F455" t="inlineStr">
        <is>
          <t>NORRBOTTENS LÄN</t>
        </is>
      </c>
      <c r="G455" t="inlineStr">
        <is>
          <t>ÖVERKALIX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46299</v>
      </c>
      <c r="F456" t="inlineStr">
        <is>
          <t>NORRBOTTENS LÄN</t>
        </is>
      </c>
      <c r="G456" t="inlineStr">
        <is>
          <t>ÖVERKALIX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46299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45268</v>
      </c>
      <c r="E458" s="1" t="n">
        <v>46299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45208</v>
      </c>
      <c r="E459" s="1" t="n">
        <v>46299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45548</v>
      </c>
      <c r="E460" s="1" t="n">
        <v>46299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46299</v>
      </c>
      <c r="F461" t="inlineStr">
        <is>
          <t>NORRBOTTENS LÄN</t>
        </is>
      </c>
      <c r="G461" t="inlineStr">
        <is>
          <t>ÖVERKALIX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46299</v>
      </c>
      <c r="F462" t="inlineStr">
        <is>
          <t>NORRBOTTENS LÄN</t>
        </is>
      </c>
      <c r="G462" t="inlineStr">
        <is>
          <t>ÖVERKALIX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45611</v>
      </c>
      <c r="E463" s="1" t="n">
        <v>46299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46299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46299</v>
      </c>
      <c r="F465" t="inlineStr">
        <is>
          <t>NORRBOTTENS LÄN</t>
        </is>
      </c>
      <c r="G465" t="inlineStr">
        <is>
          <t>ÖVERKALIX</t>
        </is>
      </c>
      <c r="H465" t="inlineStr">
        <is>
          <t>Övriga statliga verk och myndigheter</t>
        </is>
      </c>
      <c r="I465" t="n">
        <v>38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45429</v>
      </c>
      <c r="E466" s="1" t="n">
        <v>46299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48561-2024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46299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45692</v>
      </c>
      <c r="E468" s="1" t="n">
        <v>46299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45693</v>
      </c>
      <c r="E469" s="1" t="n">
        <v>46299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46299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45785</v>
      </c>
      <c r="E471" s="1" t="n">
        <v>46299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46299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46299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46299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46299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46299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46299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46299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2026-10-04T01:59:25Z</dcterms:created>
  <dcterms:modified xmlns:dcterms="http://purl.org/dc/terms/" xmlns:xsi="http://www.w3.org/2001/XMLSchema-instance" xsi:type="dcterms:W3CDTF">2026-10-04T01:59:26Z</dcterms:modified>
</cp:coreProperties>
</file>