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46223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V2">
        <f>HYPERLINK("https://klasma.github.io/Logging_2513/artfynd/A 50837-2025 artfynd.xlsx", "A 50837-2025")</f>
        <v/>
      </c>
      <c r="W2">
        <f>HYPERLINK("https://klasma.github.io/Logging_2513/kartor/A 50837-2025 karta.png", "A 50837-2025")</f>
        <v/>
      </c>
      <c r="X2">
        <f>HYPERLINK("https://klasma.github.io/Logging_2513/kartor_geotiff/A 50837-2025 georefererad karta.tif", "A 50837-2025")</f>
        <v/>
      </c>
      <c r="Z2">
        <f>HYPERLINK("https://klasma.github.io/Logging_2513/klagomål/A 50837-2025 FSC-klagomål.docx", "A 50837-2025")</f>
        <v/>
      </c>
      <c r="AA2">
        <f>HYPERLINK("https://klasma.github.io/Logging_2513/klagomålsmail/A 50837-2025 FSC-klagomål mail.docx", "A 50837-2025")</f>
        <v/>
      </c>
      <c r="AB2">
        <f>HYPERLINK("https://klasma.github.io/Logging_2513/tillsyn/A 50837-2025 tillsynsbegäran.docx", "A 50837-2025")</f>
        <v/>
      </c>
      <c r="AC2">
        <f>HYPERLINK("https://klasma.github.io/Logging_2513/tillsynsmail/A 50837-2025 tillsynsbegäran mail.docx", "A 50837-2025")</f>
        <v/>
      </c>
      <c r="AD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46223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s="2" t="inlineStr">
        <is>
          <t>Garnlav
Gränsticka
Björktrast
Gammelgransskål
Harticka
Lunglav
Talltita
Ullticka
Bårdlav
Spindelblomster
Stuplav
Vedticka
Spillkråka
Tjäder
Fläcknycklar</t>
        </is>
      </c>
      <c r="V3">
        <f>HYPERLINK("https://klasma.github.io/Logging_2513/artfynd/A 53082-2025 artfynd.xlsx", "A 53082-2025")</f>
        <v/>
      </c>
      <c r="W3">
        <f>HYPERLINK("https://klasma.github.io/Logging_2513/kartor/A 53082-2025 karta.png", "A 53082-2025")</f>
        <v/>
      </c>
      <c r="X3">
        <f>HYPERLINK("https://klasma.github.io/Logging_2513/kartor_geotiff/A 53082-2025 georefererad karta.tif", "A 53082-2025")</f>
        <v/>
      </c>
      <c r="Z3">
        <f>HYPERLINK("https://klasma.github.io/Logging_2513/klagomål/A 53082-2025 FSC-klagomål.docx", "A 53082-2025")</f>
        <v/>
      </c>
      <c r="AA3">
        <f>HYPERLINK("https://klasma.github.io/Logging_2513/klagomålsmail/A 53082-2025 FSC-klagomål mail.docx", "A 53082-2025")</f>
        <v/>
      </c>
      <c r="AB3">
        <f>HYPERLINK("https://klasma.github.io/Logging_2513/tillsyn/A 53082-2025 tillsynsbegäran.docx", "A 53082-2025")</f>
        <v/>
      </c>
      <c r="AC3">
        <f>HYPERLINK("https://klasma.github.io/Logging_2513/tillsynsmail/A 53082-2025 tillsynsbegäran mail.docx", "A 53082-2025")</f>
        <v/>
      </c>
      <c r="AD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46223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s="2" t="inlineStr">
        <is>
          <t>Garnlav
Gammelgransskål
Knottrig blåslav
Kolflarnlav
Mörk kolflarnlav
Orange taggsvamp
Tretåig hackspett
Vedflamlav
Spindelblomster
Vedticka
Spillkråka
Orre
Fläcknycklar</t>
        </is>
      </c>
      <c r="V4">
        <f>HYPERLINK("https://klasma.github.io/Logging_2513/artfynd/A 36383-2024 artfynd.xlsx", "A 36383-2024")</f>
        <v/>
      </c>
      <c r="W4">
        <f>HYPERLINK("https://klasma.github.io/Logging_2513/kartor/A 36383-2024 karta.png", "A 36383-2024")</f>
        <v/>
      </c>
      <c r="X4">
        <f>HYPERLINK("https://klasma.github.io/Logging_2513/kartor_geotiff/A 36383-2024 georefererad karta.tif", "A 36383-2024")</f>
        <v/>
      </c>
      <c r="Z4">
        <f>HYPERLINK("https://klasma.github.io/Logging_2513/klagomål/A 36383-2024 FSC-klagomål.docx", "A 36383-2024")</f>
        <v/>
      </c>
      <c r="AA4">
        <f>HYPERLINK("https://klasma.github.io/Logging_2513/klagomålsmail/A 36383-2024 FSC-klagomål mail.docx", "A 36383-2024")</f>
        <v/>
      </c>
      <c r="AB4">
        <f>HYPERLINK("https://klasma.github.io/Logging_2513/tillsyn/A 36383-2024 tillsynsbegäran.docx", "A 36383-2024")</f>
        <v/>
      </c>
      <c r="AC4">
        <f>HYPERLINK("https://klasma.github.io/Logging_2513/tillsynsmail/A 36383-2024 tillsynsbegäran mail.docx", "A 36383-2024")</f>
        <v/>
      </c>
      <c r="AD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46223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s="2" t="inlineStr">
        <is>
          <t>Garnlav
Tornseglare
Dropptaggsvamp
Dvärgbägarlav
Lunglav
Mörk kolflarnlav
Reliktbock
Tretåig hackspett
Vaddporing
Grönpyrola
Nattviol</t>
        </is>
      </c>
      <c r="V5">
        <f>HYPERLINK("https://klasma.github.io/Logging_2513/artfynd/A 2344-2024 artfynd.xlsx", "A 2344-2024")</f>
        <v/>
      </c>
      <c r="W5">
        <f>HYPERLINK("https://klasma.github.io/Logging_2513/kartor/A 2344-2024 karta.png", "A 2344-2024")</f>
        <v/>
      </c>
      <c r="X5">
        <f>HYPERLINK("https://klasma.github.io/Logging_2513/kartor_geotiff/A 2344-2024 georefererad karta.tif", "A 2344-2024")</f>
        <v/>
      </c>
      <c r="Y5">
        <f>HYPERLINK("https://klasma.github.io/Logging_2513/knärot/A 2344-2024 karta knärot.png", "A 2344-2024")</f>
        <v/>
      </c>
      <c r="Z5">
        <f>HYPERLINK("https://klasma.github.io/Logging_2513/klagomål/A 2344-2024 FSC-klagomål.docx", "A 2344-2024")</f>
        <v/>
      </c>
      <c r="AA5">
        <f>HYPERLINK("https://klasma.github.io/Logging_2513/klagomålsmail/A 2344-2024 FSC-klagomål mail.docx", "A 2344-2024")</f>
        <v/>
      </c>
      <c r="AB5">
        <f>HYPERLINK("https://klasma.github.io/Logging_2513/tillsyn/A 2344-2024 tillsynsbegäran.docx", "A 2344-2024")</f>
        <v/>
      </c>
      <c r="AC5">
        <f>HYPERLINK("https://klasma.github.io/Logging_2513/tillsynsmail/A 2344-2024 tillsynsbegäran mail.docx", "A 2344-2024")</f>
        <v/>
      </c>
      <c r="AD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46223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s="2" t="inlineStr">
        <is>
          <t>Garnlav
Gammelgransskål
Lunglav
Bollvitmossa
Korallrot
Lappranunkel
Spindelblomster
Ögonpyrola</t>
        </is>
      </c>
      <c r="V6">
        <f>HYPERLINK("https://klasma.github.io/Logging_2513/artfynd/S 3227-2025 artfynd.xlsx", "S 3227-2025")</f>
        <v/>
      </c>
      <c r="W6">
        <f>HYPERLINK("https://klasma.github.io/Logging_2513/kartor/S 3227-2025 karta.png", "S 3227-2025")</f>
        <v/>
      </c>
      <c r="X6">
        <f>HYPERLINK("https://klasma.github.io/Logging_2513/kartor_geotiff/S 3227-2025 georefererad karta.tif", "S 3227-2025")</f>
        <v/>
      </c>
      <c r="Z6">
        <f>HYPERLINK("https://klasma.github.io/Logging_2513/klagomål/S 3227-2025 FSC-klagomål.docx", "S 3227-2025")</f>
        <v/>
      </c>
      <c r="AA6">
        <f>HYPERLINK("https://klasma.github.io/Logging_2513/klagomålsmail/S 3227-2025 FSC-klagomål mail.docx", "S 3227-2025")</f>
        <v/>
      </c>
      <c r="AB6">
        <f>HYPERLINK("https://klasma.github.io/Logging_2513/tillsyn/S 3227-2025 tillsynsbegäran.docx", "S 3227-2025")</f>
        <v/>
      </c>
      <c r="AC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46223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s="2" t="inlineStr">
        <is>
          <t>Knärot
Gammelgransskål
Kolflarnlav
Lunglav
Motaggsvamp
Spindelblomster
Fläcknycklar</t>
        </is>
      </c>
      <c r="V7">
        <f>HYPERLINK("https://klasma.github.io/Logging_2513/artfynd/A 37997-2024 artfynd.xlsx", "A 37997-2024")</f>
        <v/>
      </c>
      <c r="W7">
        <f>HYPERLINK("https://klasma.github.io/Logging_2513/kartor/A 37997-2024 karta.png", "A 37997-2024")</f>
        <v/>
      </c>
      <c r="X7">
        <f>HYPERLINK("https://klasma.github.io/Logging_2513/kartor_geotiff/A 37997-2024 georefererad karta.tif", "A 37997-2024")</f>
        <v/>
      </c>
      <c r="Y7">
        <f>HYPERLINK("https://klasma.github.io/Logging_2513/knärot/A 37997-2024 karta knärot.png", "A 37997-2024")</f>
        <v/>
      </c>
      <c r="Z7">
        <f>HYPERLINK("https://klasma.github.io/Logging_2513/klagomål/A 37997-2024 FSC-klagomål.docx", "A 37997-2024")</f>
        <v/>
      </c>
      <c r="AA7">
        <f>HYPERLINK("https://klasma.github.io/Logging_2513/klagomålsmail/A 37997-2024 FSC-klagomål mail.docx", "A 37997-2024")</f>
        <v/>
      </c>
      <c r="AB7">
        <f>HYPERLINK("https://klasma.github.io/Logging_2513/tillsyn/A 37997-2024 tillsynsbegäran.docx", "A 37997-2024")</f>
        <v/>
      </c>
      <c r="AC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46223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s="2" t="inlineStr">
        <is>
          <t>Hökuggla
Knärot
Skrovlig taggsvamp
Tallmusseron
Brunklöver
Lavskrika
Smålom</t>
        </is>
      </c>
      <c r="V8">
        <f>HYPERLINK("https://klasma.github.io/Logging_2513/artfynd/S 177-2023 artfynd.xlsx", "S 177-2023")</f>
        <v/>
      </c>
      <c r="W8">
        <f>HYPERLINK("https://klasma.github.io/Logging_2513/kartor/S 177-2023 karta.png", "S 177-2023")</f>
        <v/>
      </c>
      <c r="X8">
        <f>HYPERLINK("https://klasma.github.io/Logging_2513/kartor_geotiff/S 177-2023 georefererad karta.tif", "S 177-2023")</f>
        <v/>
      </c>
      <c r="Y8">
        <f>HYPERLINK("https://klasma.github.io/Logging_2513/knärot/S 177-2023 karta knärot.png", "S 177-2023")</f>
        <v/>
      </c>
      <c r="Z8">
        <f>HYPERLINK("https://klasma.github.io/Logging_2513/klagomål/S 177-2023 FSC-klagomål.docx", "S 177-2023")</f>
        <v/>
      </c>
      <c r="AA8">
        <f>HYPERLINK("https://klasma.github.io/Logging_2513/klagomålsmail/S 177-2023 FSC-klagomål mail.docx", "S 177-2023")</f>
        <v/>
      </c>
      <c r="AB8">
        <f>HYPERLINK("https://klasma.github.io/Logging_2513/tillsyn/S 177-2023 tillsynsbegäran.docx", "S 177-2023")</f>
        <v/>
      </c>
      <c r="AC8">
        <f>HYPERLINK("https://klasma.github.io/Logging_2513/tillsynsmail/S 177-2023 tillsynsbegäran mail.docx", "S 177-2023")</f>
        <v/>
      </c>
      <c r="AD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46223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s="2" t="inlineStr">
        <is>
          <t>Tallgråticka
Blå taggsvamp
Dropptaggsvamp
Orange taggsvamp
Svartvit taggsvamp</t>
        </is>
      </c>
      <c r="V9">
        <f>HYPERLINK("https://klasma.github.io/Logging_2513/artfynd/A 49422-2023 artfynd.xlsx", "A 49422-2023")</f>
        <v/>
      </c>
      <c r="W9">
        <f>HYPERLINK("https://klasma.github.io/Logging_2513/kartor/A 49422-2023 karta.png", "A 49422-2023")</f>
        <v/>
      </c>
      <c r="X9">
        <f>HYPERLINK("https://klasma.github.io/Logging_2513/kartor_geotiff/A 49422-2023 georefererad karta.tif", "A 49422-2023")</f>
        <v/>
      </c>
      <c r="Z9">
        <f>HYPERLINK("https://klasma.github.io/Logging_2513/klagomål/A 49422-2023 FSC-klagomål.docx", "A 49422-2023")</f>
        <v/>
      </c>
      <c r="AA9">
        <f>HYPERLINK("https://klasma.github.io/Logging_2513/klagomålsmail/A 49422-2023 FSC-klagomål mail.docx", "A 49422-2023")</f>
        <v/>
      </c>
      <c r="AB9">
        <f>HYPERLINK("https://klasma.github.io/Logging_2513/tillsyn/A 49422-2023 tillsynsbegäran.docx", "A 49422-2023")</f>
        <v/>
      </c>
      <c r="AC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45834</v>
      </c>
      <c r="E10" s="1" t="n">
        <v>46223</v>
      </c>
      <c r="F10" t="inlineStr">
        <is>
          <t>NORRBOTTENS LÄN</t>
        </is>
      </c>
      <c r="G10" t="inlineStr">
        <is>
          <t>ÖVERKALIX</t>
        </is>
      </c>
      <c r="I10" t="n">
        <v>0.9</v>
      </c>
      <c r="J10" t="n">
        <v>0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5</v>
      </c>
      <c r="T10" t="n">
        <v>5</v>
      </c>
      <c r="U10" s="2" t="inlineStr">
        <is>
          <t>Blå taggsvamp
Orange taggsvamp
Skarp dropptaggsvamp
Tallfingersvamp
Vaxspindling</t>
        </is>
      </c>
      <c r="V10">
        <f>HYPERLINK("https://klasma.github.io/Logging_2513/artfynd/A 31751-2025 artfynd.xlsx", "A 31751-2025")</f>
        <v/>
      </c>
      <c r="W10">
        <f>HYPERLINK("https://klasma.github.io/Logging_2513/kartor/A 31751-2025 karta.png", "A 31751-2025")</f>
        <v/>
      </c>
      <c r="X10">
        <f>HYPERLINK("https://klasma.github.io/Logging_2513/kartor_geotiff/A 31751-2025 georefererad karta.tif", "A 31751-2025")</f>
        <v/>
      </c>
      <c r="Z10">
        <f>HYPERLINK("https://klasma.github.io/Logging_2513/klagomål/A 31751-2025 FSC-klagomål.docx", "A 31751-2025")</f>
        <v/>
      </c>
      <c r="AA10">
        <f>HYPERLINK("https://klasma.github.io/Logging_2513/klagomålsmail/A 31751-2025 FSC-klagomål mail.docx", "A 31751-2025")</f>
        <v/>
      </c>
      <c r="AB10">
        <f>HYPERLINK("https://klasma.github.io/Logging_2513/tillsyn/A 31751-2025 tillsynsbegäran.docx", "A 31751-2025")</f>
        <v/>
      </c>
      <c r="AC10">
        <f>HYPERLINK("https://klasma.github.io/Logging_2513/tillsynsmail/A 31751-2025 tillsynsbegäran mail.docx", "A 31751-2025")</f>
        <v/>
      </c>
    </row>
    <row r="11" ht="15" customHeight="1">
      <c r="A11" t="inlineStr">
        <is>
          <t>A 38989-2023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46223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2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9</v>
      </c>
      <c r="U11" s="2" t="inlineStr">
        <is>
          <t>Goliatmusseron
Blå taggsvamp
Dropptaggsvamp
Motaggsvamp
Orange taggsvamp</t>
        </is>
      </c>
      <c r="V11">
        <f>HYPERLINK("https://klasma.github.io/Logging_2513/artfynd/A 38989-2023 artfynd.xlsx", "A 38989-2023")</f>
        <v/>
      </c>
      <c r="W11">
        <f>HYPERLINK("https://klasma.github.io/Logging_2513/kartor/A 38989-2023 karta.png", "A 38989-2023")</f>
        <v/>
      </c>
      <c r="X11">
        <f>HYPERLINK("https://klasma.github.io/Logging_2513/kartor_geotiff/A 38989-2023 georefererad karta.tif", "A 38989-2023")</f>
        <v/>
      </c>
      <c r="Z11">
        <f>HYPERLINK("https://klasma.github.io/Logging_2513/klagomål/A 38989-2023 FSC-klagomål.docx", "A 38989-2023")</f>
        <v/>
      </c>
      <c r="AA11">
        <f>HYPERLINK("https://klasma.github.io/Logging_2513/klagomålsmail/A 38989-2023 FSC-klagomål mail.docx", "A 38989-2023")</f>
        <v/>
      </c>
      <c r="AB11">
        <f>HYPERLINK("https://klasma.github.io/Logging_2513/tillsyn/A 38989-2023 tillsynsbegäran.docx", "A 38989-2023")</f>
        <v/>
      </c>
      <c r="AC11">
        <f>HYPERLINK("https://klasma.github.io/Logging_2513/tillsynsmail/A 38989-2023 tillsynsbegäran mail.docx", "A 38989-2023")</f>
        <v/>
      </c>
    </row>
    <row r="12" ht="15" customHeight="1">
      <c r="A12" t="inlineStr">
        <is>
          <t>A 23383-2026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46223</v>
      </c>
      <c r="F12" t="inlineStr">
        <is>
          <t>NORRBOTTENS LÄN</t>
        </is>
      </c>
      <c r="G12" t="inlineStr">
        <is>
          <t>ÖVERKALIX</t>
        </is>
      </c>
      <c r="I12" t="n">
        <v>2.6</v>
      </c>
      <c r="J12" t="n">
        <v>2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4</v>
      </c>
      <c r="T12" t="n">
        <v>10</v>
      </c>
      <c r="U12" s="2" t="inlineStr">
        <is>
          <t>Garnlav
Knärot
Myskmåra
Tretåig hackspett</t>
        </is>
      </c>
      <c r="V12">
        <f>HYPERLINK("https://klasma.github.io/Logging_2513/artfynd/A 23383-2026 artfynd.xlsx", "A 23383-2026")</f>
        <v/>
      </c>
      <c r="W12">
        <f>HYPERLINK("https://klasma.github.io/Logging_2513/kartor/A 23383-2026 karta.png", "A 23383-2026")</f>
        <v/>
      </c>
      <c r="X12">
        <f>HYPERLINK("https://klasma.github.io/Logging_2513/kartor_geotiff/A 23383-2026 georefererad karta.tif", "A 23383-2026")</f>
        <v/>
      </c>
      <c r="Y12">
        <f>HYPERLINK("https://klasma.github.io/Logging_2513/knärot/A 23383-2026 karta knärot.png", "A 23383-2026")</f>
        <v/>
      </c>
      <c r="Z12">
        <f>HYPERLINK("https://klasma.github.io/Logging_2513/klagomål/A 23383-2026 FSC-klagomål.docx", "A 23383-2026")</f>
        <v/>
      </c>
      <c r="AA12">
        <f>HYPERLINK("https://klasma.github.io/Logging_2513/klagomålsmail/A 23383-2026 FSC-klagomål mail.docx", "A 23383-2026")</f>
        <v/>
      </c>
      <c r="AB12">
        <f>HYPERLINK("https://klasma.github.io/Logging_2513/tillsyn/A 23383-2026 tillsynsbegäran.docx", "A 23383-2026")</f>
        <v/>
      </c>
      <c r="AC12">
        <f>HYPERLINK("https://klasma.github.io/Logging_2513/tillsynsmail/A 23383-2026 tillsynsbegäran mail.docx", "A 23383-2026")</f>
        <v/>
      </c>
      <c r="AD12">
        <f>HYPERLINK("https://klasma.github.io/Logging_2513/fåglar/A 23383-2026 prioriterade fågelarter.docx", "A 23383-2026")</f>
        <v/>
      </c>
    </row>
    <row r="13" ht="15" customHeight="1">
      <c r="A13" t="inlineStr">
        <is>
          <t>A 1827-2025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45671</v>
      </c>
      <c r="E13" s="1" t="n">
        <v>46223</v>
      </c>
      <c r="F13" t="inlineStr">
        <is>
          <t>NORRBOTTENS LÄN</t>
        </is>
      </c>
      <c r="G13" t="inlineStr">
        <is>
          <t>ÖVERKALIX</t>
        </is>
      </c>
      <c r="I13" t="n">
        <v>7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s="2" t="inlineStr">
        <is>
          <t>Garnlav
Stuplav
Spillkråka
Tjäder</t>
        </is>
      </c>
      <c r="V13">
        <f>HYPERLINK("https://klasma.github.io/Logging_2513/artfynd/A 1827-2025 artfynd.xlsx", "A 1827-2025")</f>
        <v/>
      </c>
      <c r="W13">
        <f>HYPERLINK("https://klasma.github.io/Logging_2513/kartor/A 1827-2025 karta.png", "A 1827-2025")</f>
        <v/>
      </c>
      <c r="X13">
        <f>HYPERLINK("https://klasma.github.io/Logging_2513/kartor_geotiff/A 1827-2025 georefererad karta.tif", "A 1827-2025")</f>
        <v/>
      </c>
      <c r="Z13">
        <f>HYPERLINK("https://klasma.github.io/Logging_2513/klagomål/A 1827-2025 FSC-klagomål.docx", "A 1827-2025")</f>
        <v/>
      </c>
      <c r="AA13">
        <f>HYPERLINK("https://klasma.github.io/Logging_2513/klagomålsmail/A 1827-2025 FSC-klagomål mail.docx", "A 1827-2025")</f>
        <v/>
      </c>
      <c r="AB13">
        <f>HYPERLINK("https://klasma.github.io/Logging_2513/tillsyn/A 1827-2025 tillsynsbegäran.docx", "A 1827-2025")</f>
        <v/>
      </c>
      <c r="AC13">
        <f>HYPERLINK("https://klasma.github.io/Logging_2513/tillsynsmail/A 1827-2025 tillsynsbegäran mail.docx", "A 1827-2025")</f>
        <v/>
      </c>
      <c r="AD13">
        <f>HYPERLINK("https://klasma.github.io/Logging_2513/fåglar/A 1827-2025 prioriterade fågelarter.docx", "A 1827-2025")</f>
        <v/>
      </c>
    </row>
    <row r="14" ht="15" customHeight="1">
      <c r="A14" t="inlineStr">
        <is>
          <t>S 440-2023</t>
        </is>
      </c>
      <c r="B14" t="inlineStr">
        <is>
          <t>samrådsanmälan</t>
        </is>
      </c>
      <c r="C14" t="inlineStr">
        <is>
          <t>Skogsgödsling</t>
        </is>
      </c>
      <c r="D14" s="1" t="n">
        <v>44960</v>
      </c>
      <c r="E14" s="1" t="n">
        <v>46223</v>
      </c>
      <c r="F14" t="inlineStr">
        <is>
          <t>NORRBOTTENS LÄN</t>
        </is>
      </c>
      <c r="G14" t="inlineStr">
        <is>
          <t>ÖVERKALIX</t>
        </is>
      </c>
      <c r="H14" t="inlineStr">
        <is>
          <t>SCA</t>
        </is>
      </c>
      <c r="I14" t="n">
        <v>164.8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s="2" t="inlineStr">
        <is>
          <t>Älg
Järpe
Spillkråka
Tallbit</t>
        </is>
      </c>
      <c r="V14">
        <f>HYPERLINK("https://klasma.github.io/Logging_2513/artfynd/S 440-2023 artfynd.xlsx", "S 440-2023")</f>
        <v/>
      </c>
      <c r="W14">
        <f>HYPERLINK("https://klasma.github.io/Logging_2513/kartor/S 440-2023 karta.png", "S 440-2023")</f>
        <v/>
      </c>
      <c r="X14">
        <f>HYPERLINK("https://klasma.github.io/Logging_2513/kartor_geotiff/S 440-2023 georefererad karta.tif", "S 440-2023")</f>
        <v/>
      </c>
      <c r="Z14">
        <f>HYPERLINK("https://klasma.github.io/Logging_2513/klagomål/S 440-2023 FSC-klagomål.docx", "S 440-2023")</f>
        <v/>
      </c>
      <c r="AA14">
        <f>HYPERLINK("https://klasma.github.io/Logging_2513/klagomålsmail/S 440-2023 FSC-klagomål mail.docx", "S 440-2023")</f>
        <v/>
      </c>
      <c r="AB14">
        <f>HYPERLINK("https://klasma.github.io/Logging_2513/tillsyn/S 440-2023 tillsynsbegäran.docx", "S 440-2023")</f>
        <v/>
      </c>
      <c r="AC14">
        <f>HYPERLINK("https://klasma.github.io/Logging_2513/tillsynsmail/S 440-2023 tillsynsbegäran mail.docx", "S 440-2023")</f>
        <v/>
      </c>
      <c r="AD14">
        <f>HYPERLINK("https://klasma.github.io/Logging_2513/fåglar/S 440-2023 prioriterade fågelarter.docx", "S 440-2023")</f>
        <v/>
      </c>
    </row>
    <row r="15" ht="15" customHeight="1">
      <c r="A15" t="inlineStr">
        <is>
          <t>S 2267-2025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45874</v>
      </c>
      <c r="E15" s="1" t="n">
        <v>46223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1.7</v>
      </c>
      <c r="J15" t="n">
        <v>1</v>
      </c>
      <c r="K15" t="n">
        <v>0</v>
      </c>
      <c r="L15" t="n">
        <v>2</v>
      </c>
      <c r="M15" t="n">
        <v>1</v>
      </c>
      <c r="N15" t="n">
        <v>1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4</v>
      </c>
      <c r="U15" s="2" t="inlineStr">
        <is>
          <t>Djupsvart brunbagge
Tornseglare
Rosenticka
Ullticka</t>
        </is>
      </c>
      <c r="V15">
        <f>HYPERLINK("https://klasma.github.io/Logging_2513/artfynd/S 2267-2025 artfynd.xlsx", "S 2267-2025")</f>
        <v/>
      </c>
      <c r="W15">
        <f>HYPERLINK("https://klasma.github.io/Logging_2513/kartor/S 2267-2025 karta.png", "S 2267-2025")</f>
        <v/>
      </c>
      <c r="X15">
        <f>HYPERLINK("https://klasma.github.io/Logging_2513/kartor_geotiff/S 2267-2025 georefererad karta.tif", "S 2267-2025")</f>
        <v/>
      </c>
      <c r="Z15">
        <f>HYPERLINK("https://klasma.github.io/Logging_2513/klagomål/S 2267-2025 FSC-klagomål.docx", "S 2267-2025")</f>
        <v/>
      </c>
      <c r="AA15">
        <f>HYPERLINK("https://klasma.github.io/Logging_2513/klagomålsmail/S 2267-2025 FSC-klagomål mail.docx", "S 2267-2025")</f>
        <v/>
      </c>
      <c r="AB15">
        <f>HYPERLINK("https://klasma.github.io/Logging_2513/tillsyn/S 2267-2025 tillsynsbegäran.docx", "S 2267-2025")</f>
        <v/>
      </c>
      <c r="AC15">
        <f>HYPERLINK("https://klasma.github.io/Logging_2513/tillsynsmail/S 2267-2025 tillsynsbegäran mail.docx", "S 2267-2025")</f>
        <v/>
      </c>
      <c r="AD15">
        <f>HYPERLINK("https://klasma.github.io/Logging_2513/fåglar/S 2267-2025 prioriterade fågelarter.docx", "S 2267-2025")</f>
        <v/>
      </c>
    </row>
    <row r="16" ht="15" customHeight="1">
      <c r="A16" t="inlineStr">
        <is>
          <t>A 13467-2022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46223</v>
      </c>
      <c r="F16" t="inlineStr">
        <is>
          <t>NORRBOTTENS LÄN</t>
        </is>
      </c>
      <c r="G16" t="inlineStr">
        <is>
          <t>ÖVERKALIX</t>
        </is>
      </c>
      <c r="I16" t="n">
        <v>6.8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Jorduggla
Järpe
Revlummer</t>
        </is>
      </c>
      <c r="V16">
        <f>HYPERLINK("https://klasma.github.io/Logging_2513/artfynd/A 13467-2022 artfynd.xlsx", "A 13467-2022")</f>
        <v/>
      </c>
      <c r="W16">
        <f>HYPERLINK("https://klasma.github.io/Logging_2513/kartor/A 13467-2022 karta.png", "A 13467-2022")</f>
        <v/>
      </c>
      <c r="X16">
        <f>HYPERLINK("https://klasma.github.io/Logging_2513/kartor_geotiff/A 13467-2022 georefererad karta.tif", "A 13467-2022")</f>
        <v/>
      </c>
      <c r="Z16">
        <f>HYPERLINK("https://klasma.github.io/Logging_2513/klagomål/A 13467-2022 FSC-klagomål.docx", "A 13467-2022")</f>
        <v/>
      </c>
      <c r="AA16">
        <f>HYPERLINK("https://klasma.github.io/Logging_2513/klagomålsmail/A 13467-2022 FSC-klagomål mail.docx", "A 13467-2022")</f>
        <v/>
      </c>
      <c r="AB16">
        <f>HYPERLINK("https://klasma.github.io/Logging_2513/tillsyn/A 13467-2022 tillsynsbegäran.docx", "A 13467-2022")</f>
        <v/>
      </c>
      <c r="AC16">
        <f>HYPERLINK("https://klasma.github.io/Logging_2513/tillsynsmail/A 13467-2022 tillsynsbegäran mail.docx", "A 13467-2022")</f>
        <v/>
      </c>
      <c r="AD16">
        <f>HYPERLINK("https://klasma.github.io/Logging_2513/fåglar/A 13467-2022 prioriterade fågelarter.docx", "A 13467-2022")</f>
        <v/>
      </c>
    </row>
    <row r="17" ht="15" customHeight="1">
      <c r="A17" t="inlineStr">
        <is>
          <t>A 30525-2025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45831</v>
      </c>
      <c r="E17" s="1" t="n">
        <v>46223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5.3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Gammelgransskål
Bollvitmossa
Järpe</t>
        </is>
      </c>
      <c r="V17">
        <f>HYPERLINK("https://klasma.github.io/Logging_2513/artfynd/A 30525-2025 artfynd.xlsx", "A 30525-2025")</f>
        <v/>
      </c>
      <c r="W17">
        <f>HYPERLINK("https://klasma.github.io/Logging_2513/kartor/A 30525-2025 karta.png", "A 30525-2025")</f>
        <v/>
      </c>
      <c r="X17">
        <f>HYPERLINK("https://klasma.github.io/Logging_2513/kartor_geotiff/A 30525-2025 georefererad karta.tif", "A 30525-2025")</f>
        <v/>
      </c>
      <c r="Z17">
        <f>HYPERLINK("https://klasma.github.io/Logging_2513/klagomål/A 30525-2025 FSC-klagomål.docx", "A 30525-2025")</f>
        <v/>
      </c>
      <c r="AA17">
        <f>HYPERLINK("https://klasma.github.io/Logging_2513/klagomålsmail/A 30525-2025 FSC-klagomål mail.docx", "A 30525-2025")</f>
        <v/>
      </c>
      <c r="AB17">
        <f>HYPERLINK("https://klasma.github.io/Logging_2513/tillsyn/A 30525-2025 tillsynsbegäran.docx", "A 30525-2025")</f>
        <v/>
      </c>
      <c r="AC17">
        <f>HYPERLINK("https://klasma.github.io/Logging_2513/tillsynsmail/A 30525-2025 tillsynsbegäran mail.docx", "A 30525-2025")</f>
        <v/>
      </c>
      <c r="AD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46223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3.7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3</v>
      </c>
      <c r="U18" s="2" t="inlineStr">
        <is>
          <t>Blå taggsvamp
Dropptaggsvamp
Skarp dropptaggsvamp</t>
        </is>
      </c>
      <c r="V18">
        <f>HYPERLINK("https://klasma.github.io/Logging_2513/artfynd/A 42861-2025 artfynd.xlsx", "A 42861-2025")</f>
        <v/>
      </c>
      <c r="W18">
        <f>HYPERLINK("https://klasma.github.io/Logging_2513/kartor/A 42861-2025 karta.png", "A 42861-2025")</f>
        <v/>
      </c>
      <c r="X18">
        <f>HYPERLINK("https://klasma.github.io/Logging_2513/kartor_geotiff/A 42861-2025 georefererad karta.tif", "A 42861-2025")</f>
        <v/>
      </c>
      <c r="Z18">
        <f>HYPERLINK("https://klasma.github.io/Logging_2513/klagomål/A 42861-2025 FSC-klagomål.docx", "A 42861-2025")</f>
        <v/>
      </c>
      <c r="AA18">
        <f>HYPERLINK("https://klasma.github.io/Logging_2513/klagomålsmail/A 42861-2025 FSC-klagomål mail.docx", "A 42861-2025")</f>
        <v/>
      </c>
      <c r="AB18">
        <f>HYPERLINK("https://klasma.github.io/Logging_2513/tillsyn/A 42861-2025 tillsynsbegäran.docx", "A 42861-2025")</f>
        <v/>
      </c>
      <c r="AC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46223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13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6</v>
      </c>
      <c r="U19" s="2" t="inlineStr">
        <is>
          <t>Blå taggsvamp
Dropptaggsvamp
Skarp dropptaggsvamp</t>
        </is>
      </c>
      <c r="V19">
        <f>HYPERLINK("https://klasma.github.io/Logging_2513/artfynd/A 42872-2025 artfynd.xlsx", "A 42872-2025")</f>
        <v/>
      </c>
      <c r="W19">
        <f>HYPERLINK("https://klasma.github.io/Logging_2513/kartor/A 42872-2025 karta.png", "A 42872-2025")</f>
        <v/>
      </c>
      <c r="X19">
        <f>HYPERLINK("https://klasma.github.io/Logging_2513/kartor_geotiff/A 42872-2025 georefererad karta.tif", "A 42872-2025")</f>
        <v/>
      </c>
      <c r="Z19">
        <f>HYPERLINK("https://klasma.github.io/Logging_2513/klagomål/A 42872-2025 FSC-klagomål.docx", "A 42872-2025")</f>
        <v/>
      </c>
      <c r="AA19">
        <f>HYPERLINK("https://klasma.github.io/Logging_2513/klagomålsmail/A 42872-2025 FSC-klagomål mail.docx", "A 42872-2025")</f>
        <v/>
      </c>
      <c r="AB19">
        <f>HYPERLINK("https://klasma.github.io/Logging_2513/tillsyn/A 42872-2025 tillsynsbegäran.docx", "A 42872-2025")</f>
        <v/>
      </c>
      <c r="AC19">
        <f>HYPERLINK("https://klasma.github.io/Logging_2513/tillsynsmail/A 42872-2025 tillsynsbegäran mail.docx", "A 42872-2025")</f>
        <v/>
      </c>
    </row>
    <row r="20" ht="15" customHeight="1">
      <c r="A20" t="inlineStr">
        <is>
          <t>A 19275-2025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46223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16.3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5</v>
      </c>
      <c r="U20" s="2" t="inlineStr">
        <is>
          <t>Fläckporing
Knärot
Plattlummer</t>
        </is>
      </c>
      <c r="V20">
        <f>HYPERLINK("https://klasma.github.io/Logging_2513/artfynd/A 19275-2025 artfynd.xlsx", "A 19275-2025")</f>
        <v/>
      </c>
      <c r="W20">
        <f>HYPERLINK("https://klasma.github.io/Logging_2513/kartor/A 19275-2025 karta.png", "A 19275-2025")</f>
        <v/>
      </c>
      <c r="X20">
        <f>HYPERLINK("https://klasma.github.io/Logging_2513/kartor_geotiff/A 19275-2025 georefererad karta.tif", "A 19275-2025")</f>
        <v/>
      </c>
      <c r="Y20">
        <f>HYPERLINK("https://klasma.github.io/Logging_2513/knärot/A 19275-2025 karta knärot.png", "A 19275-2025")</f>
        <v/>
      </c>
      <c r="Z20">
        <f>HYPERLINK("https://klasma.github.io/Logging_2513/klagomål/A 19275-2025 FSC-klagomål.docx", "A 19275-2025")</f>
        <v/>
      </c>
      <c r="AA20">
        <f>HYPERLINK("https://klasma.github.io/Logging_2513/klagomålsmail/A 19275-2025 FSC-klagomål mail.docx", "A 19275-2025")</f>
        <v/>
      </c>
      <c r="AB20">
        <f>HYPERLINK("https://klasma.github.io/Logging_2513/tillsyn/A 19275-2025 tillsynsbegäran.docx", "A 19275-2025")</f>
        <v/>
      </c>
      <c r="AC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45478</v>
      </c>
      <c r="E21" s="1" t="n">
        <v>46223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0.8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12</v>
      </c>
      <c r="U21" s="2" t="inlineStr">
        <is>
          <t>Månlåsbräken
Plattlummer
Fläcknycklar</t>
        </is>
      </c>
      <c r="V21">
        <f>HYPERLINK("https://klasma.github.io/Logging_2513/artfynd/A 28577-2024 artfynd.xlsx", "A 28577-2024")</f>
        <v/>
      </c>
      <c r="W21">
        <f>HYPERLINK("https://klasma.github.io/Logging_2513/kartor/A 28577-2024 karta.png", "A 28577-2024")</f>
        <v/>
      </c>
      <c r="X21">
        <f>HYPERLINK("https://klasma.github.io/Logging_2513/kartor_geotiff/A 28577-2024 georefererad karta.tif", "A 28577-2024")</f>
        <v/>
      </c>
      <c r="Z21">
        <f>HYPERLINK("https://klasma.github.io/Logging_2513/klagomål/A 28577-2024 FSC-klagomål.docx", "A 28577-2024")</f>
        <v/>
      </c>
      <c r="AA21">
        <f>HYPERLINK("https://klasma.github.io/Logging_2513/klagomålsmail/A 28577-2024 FSC-klagomål mail.docx", "A 28577-2024")</f>
        <v/>
      </c>
      <c r="AB21">
        <f>HYPERLINK("https://klasma.github.io/Logging_2513/tillsyn/A 28577-2024 tillsynsbegäran.docx", "A 28577-2024")</f>
        <v/>
      </c>
      <c r="AC21">
        <f>HYPERLINK("https://klasma.github.io/Logging_2513/tillsynsmail/A 28577-2024 tillsynsbegäran mail.docx", "A 28577-2024")</f>
        <v/>
      </c>
    </row>
    <row r="22" ht="15" customHeight="1">
      <c r="A22" t="inlineStr">
        <is>
          <t>A 17802-2025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46223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Hökuggla
Älg
Tjäder</t>
        </is>
      </c>
      <c r="V22">
        <f>HYPERLINK("https://klasma.github.io/Logging_2513/artfynd/A 17802-2025 artfynd.xlsx", "A 17802-2025")</f>
        <v/>
      </c>
      <c r="W22">
        <f>HYPERLINK("https://klasma.github.io/Logging_2513/kartor/A 17802-2025 karta.png", "A 17802-2025")</f>
        <v/>
      </c>
      <c r="X22">
        <f>HYPERLINK("https://klasma.github.io/Logging_2513/kartor_geotiff/A 17802-2025 georefererad karta.tif", "A 17802-2025")</f>
        <v/>
      </c>
      <c r="Z22">
        <f>HYPERLINK("https://klasma.github.io/Logging_2513/klagomål/A 17802-2025 FSC-klagomål.docx", "A 17802-2025")</f>
        <v/>
      </c>
      <c r="AA22">
        <f>HYPERLINK("https://klasma.github.io/Logging_2513/klagomålsmail/A 17802-2025 FSC-klagomål mail.docx", "A 17802-2025")</f>
        <v/>
      </c>
      <c r="AB22">
        <f>HYPERLINK("https://klasma.github.io/Logging_2513/tillsyn/A 17802-2025 tillsynsbegäran.docx", "A 17802-2025")</f>
        <v/>
      </c>
      <c r="AC22">
        <f>HYPERLINK("https://klasma.github.io/Logging_2513/tillsynsmail/A 17802-2025 tillsynsbegäran mail.docx", "A 17802-2025")</f>
        <v/>
      </c>
      <c r="AD22">
        <f>HYPERLINK("https://klasma.github.io/Logging_2513/fåglar/A 17802-2025 prioriterade fågelarter.docx", "A 17802-2025")</f>
        <v/>
      </c>
    </row>
    <row r="23" ht="15" customHeight="1">
      <c r="A23" t="inlineStr">
        <is>
          <t>A 28998-2026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46199</v>
      </c>
      <c r="E23" s="1" t="n">
        <v>46223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46.7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9</v>
      </c>
      <c r="U23" s="2" t="inlineStr">
        <is>
          <t>Garnlav
Lunglav
Fläcknycklar</t>
        </is>
      </c>
      <c r="V23">
        <f>HYPERLINK("https://klasma.github.io/Logging_2513/artfynd/A 28998-2026 artfynd.xlsx", "A 28998-2026")</f>
        <v/>
      </c>
      <c r="W23">
        <f>HYPERLINK("https://klasma.github.io/Logging_2513/kartor/A 28998-2026 karta.png", "A 28998-2026")</f>
        <v/>
      </c>
      <c r="X23">
        <f>HYPERLINK("https://klasma.github.io/Logging_2513/kartor_geotiff/A 28998-2026 georefererad karta.tif", "A 28998-2026")</f>
        <v/>
      </c>
      <c r="Z23">
        <f>HYPERLINK("https://klasma.github.io/Logging_2513/klagomål/A 28998-2026 FSC-klagomål.docx", "A 28998-2026")</f>
        <v/>
      </c>
      <c r="AA23">
        <f>HYPERLINK("https://klasma.github.io/Logging_2513/klagomålsmail/A 28998-2026 FSC-klagomål mail.docx", "A 28998-2026")</f>
        <v/>
      </c>
      <c r="AB23">
        <f>HYPERLINK("https://klasma.github.io/Logging_2513/tillsyn/A 28998-2026 tillsynsbegäran.docx", "A 28998-2026")</f>
        <v/>
      </c>
      <c r="AC23">
        <f>HYPERLINK("https://klasma.github.io/Logging_2513/tillsynsmail/A 28998-2026 tillsynsbegäran mail.docx", "A 28998-2026")</f>
        <v/>
      </c>
    </row>
    <row r="24" ht="15" customHeight="1">
      <c r="A24" t="inlineStr">
        <is>
          <t>A 23373-2026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46162</v>
      </c>
      <c r="E24" s="1" t="n">
        <v>46223</v>
      </c>
      <c r="F24" t="inlineStr">
        <is>
          <t>NORRBOTTENS LÄN</t>
        </is>
      </c>
      <c r="G24" t="inlineStr">
        <is>
          <t>ÖVERKALIX</t>
        </is>
      </c>
      <c r="I24" t="n">
        <v>2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4</v>
      </c>
      <c r="U24" s="2" t="inlineStr">
        <is>
          <t>Garnlav
Tretåig hackspett
Sälg</t>
        </is>
      </c>
      <c r="V24">
        <f>HYPERLINK("https://klasma.github.io/Logging_2513/artfynd/A 23373-2026 artfynd.xlsx", "A 23373-2026")</f>
        <v/>
      </c>
      <c r="W24">
        <f>HYPERLINK("https://klasma.github.io/Logging_2513/kartor/A 23373-2026 karta.png", "A 23373-2026")</f>
        <v/>
      </c>
      <c r="X24">
        <f>HYPERLINK("https://klasma.github.io/Logging_2513/kartor_geotiff/A 23373-2026 georefererad karta.tif", "A 23373-2026")</f>
        <v/>
      </c>
      <c r="Z24">
        <f>HYPERLINK("https://klasma.github.io/Logging_2513/klagomål/A 23373-2026 FSC-klagomål.docx", "A 23373-2026")</f>
        <v/>
      </c>
      <c r="AA24">
        <f>HYPERLINK("https://klasma.github.io/Logging_2513/klagomålsmail/A 23373-2026 FSC-klagomål mail.docx", "A 23373-2026")</f>
        <v/>
      </c>
      <c r="AB24">
        <f>HYPERLINK("https://klasma.github.io/Logging_2513/tillsyn/A 23373-2026 tillsynsbegäran.docx", "A 23373-2026")</f>
        <v/>
      </c>
      <c r="AC24">
        <f>HYPERLINK("https://klasma.github.io/Logging_2513/tillsynsmail/A 23373-2026 tillsynsbegäran mail.docx", "A 23373-2026")</f>
        <v/>
      </c>
      <c r="AD24">
        <f>HYPERLINK("https://klasma.github.io/Logging_2513/fåglar/A 23373-2026 prioriterade fågelarter.docx", "A 23373-2026")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46223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s="2" t="inlineStr">
        <is>
          <t>Tallgråticka
Blå taggsvamp
Skarp dropptaggsvamp</t>
        </is>
      </c>
      <c r="V25">
        <f>HYPERLINK("https://klasma.github.io/Logging_2513/artfynd/A 25544-2026 artfynd.xlsx", "A 25544-2026")</f>
        <v/>
      </c>
      <c r="W25">
        <f>HYPERLINK("https://klasma.github.io/Logging_2513/kartor/A 25544-2026 karta.png", "A 25544-2026")</f>
        <v/>
      </c>
      <c r="X25">
        <f>HYPERLINK("https://klasma.github.io/Logging_2513/kartor_geotiff/A 25544-2026 georefererad karta.tif", "A 25544-2026")</f>
        <v/>
      </c>
      <c r="Z25">
        <f>HYPERLINK("https://klasma.github.io/Logging_2513/klagomål/A 25544-2026 FSC-klagomål.docx", "A 25544-2026")</f>
        <v/>
      </c>
      <c r="AA25">
        <f>HYPERLINK("https://klasma.github.io/Logging_2513/klagomålsmail/A 25544-2026 FSC-klagomål mail.docx", "A 25544-2026")</f>
        <v/>
      </c>
      <c r="AB25">
        <f>HYPERLINK("https://klasma.github.io/Logging_2513/tillsyn/A 25544-2026 tillsynsbegäran.docx", "A 25544-2026")</f>
        <v/>
      </c>
      <c r="AC25">
        <f>HYPERLINK("https://klasma.github.io/Logging_2513/tillsynsmail/A 25544-2026 tillsynsbegäran mail.docx", "A 25544-2026")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46223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s="2" t="inlineStr">
        <is>
          <t>Goliatmusseron
Blå taggsvamp
Orange taggsvamp</t>
        </is>
      </c>
      <c r="V26">
        <f>HYPERLINK("https://klasma.github.io/Logging_2513/artfynd/A 25551-2026 artfynd.xlsx", "A 25551-2026")</f>
        <v/>
      </c>
      <c r="W26">
        <f>HYPERLINK("https://klasma.github.io/Logging_2513/kartor/A 25551-2026 karta.png", "A 25551-2026")</f>
        <v/>
      </c>
      <c r="X26">
        <f>HYPERLINK("https://klasma.github.io/Logging_2513/kartor_geotiff/A 25551-2026 georefererad karta.tif", "A 25551-2026")</f>
        <v/>
      </c>
      <c r="Z26">
        <f>HYPERLINK("https://klasma.github.io/Logging_2513/klagomål/A 25551-2026 FSC-klagomål.docx", "A 25551-2026")</f>
        <v/>
      </c>
      <c r="AA26">
        <f>HYPERLINK("https://klasma.github.io/Logging_2513/klagomålsmail/A 25551-2026 FSC-klagomål mail.docx", "A 25551-2026")</f>
        <v/>
      </c>
      <c r="AB26">
        <f>HYPERLINK("https://klasma.github.io/Logging_2513/tillsyn/A 25551-2026 tillsynsbegäran.docx", "A 25551-2026")</f>
        <v/>
      </c>
      <c r="AC26">
        <f>HYPERLINK("https://klasma.github.io/Logging_2513/tillsynsmail/A 25551-2026 tillsynsbegäran mail.docx", "A 25551-2026")</f>
        <v/>
      </c>
    </row>
    <row r="27" ht="15" customHeight="1">
      <c r="A27" t="inlineStr">
        <is>
          <t>A 5797-2022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46223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Skarp dropptaggsvamp
Violmussling</t>
        </is>
      </c>
      <c r="V27">
        <f>HYPERLINK("https://klasma.github.io/Logging_2513/artfynd/A 5797-2022 artfynd.xlsx", "A 5797-2022")</f>
        <v/>
      </c>
      <c r="W27">
        <f>HYPERLINK("https://klasma.github.io/Logging_2513/kartor/A 5797-2022 karta.png", "A 5797-2022")</f>
        <v/>
      </c>
      <c r="X27">
        <f>HYPERLINK("https://klasma.github.io/Logging_2513/kartor_geotiff/A 5797-2022 georefererad karta.tif", "A 5797-2022")</f>
        <v/>
      </c>
      <c r="Z27">
        <f>HYPERLINK("https://klasma.github.io/Logging_2513/klagomål/A 5797-2022 FSC-klagomål.docx", "A 5797-2022")</f>
        <v/>
      </c>
      <c r="AA27">
        <f>HYPERLINK("https://klasma.github.io/Logging_2513/klagomålsmail/A 5797-2022 FSC-klagomål mail.docx", "A 5797-2022")</f>
        <v/>
      </c>
      <c r="AB27">
        <f>HYPERLINK("https://klasma.github.io/Logging_2513/tillsyn/A 5797-2022 tillsynsbegäran.docx", "A 5797-2022")</f>
        <v/>
      </c>
      <c r="AC27">
        <f>HYPERLINK("https://klasma.github.io/Logging_2513/tillsynsmail/A 5797-2022 tillsynsbegäran mail.docx", "A 5797-2022")</f>
        <v/>
      </c>
    </row>
    <row r="28" ht="15" customHeight="1">
      <c r="A28" t="inlineStr">
        <is>
          <t>A 36378-2024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46223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21.5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Lunglav
Fläcknycklar</t>
        </is>
      </c>
      <c r="V28">
        <f>HYPERLINK("https://klasma.github.io/Logging_2513/artfynd/A 36378-2024 artfynd.xlsx", "A 36378-2024")</f>
        <v/>
      </c>
      <c r="W28">
        <f>HYPERLINK("https://klasma.github.io/Logging_2513/kartor/A 36378-2024 karta.png", "A 36378-2024")</f>
        <v/>
      </c>
      <c r="X28">
        <f>HYPERLINK("https://klasma.github.io/Logging_2513/kartor_geotiff/A 36378-2024 georefererad karta.tif", "A 36378-2024")</f>
        <v/>
      </c>
      <c r="Z28">
        <f>HYPERLINK("https://klasma.github.io/Logging_2513/klagomål/A 36378-2024 FSC-klagomål.docx", "A 36378-2024")</f>
        <v/>
      </c>
      <c r="AA28">
        <f>HYPERLINK("https://klasma.github.io/Logging_2513/klagomålsmail/A 36378-2024 FSC-klagomål mail.docx", "A 36378-2024")</f>
        <v/>
      </c>
      <c r="AB28">
        <f>HYPERLINK("https://klasma.github.io/Logging_2513/tillsyn/A 36378-2024 tillsynsbegäran.docx", "A 36378-2024")</f>
        <v/>
      </c>
      <c r="AC28">
        <f>HYPERLINK("https://klasma.github.io/Logging_2513/tillsynsmail/A 36378-2024 tillsynsbegäran mail.docx", "A 36378-2024")</f>
        <v/>
      </c>
    </row>
    <row r="29" ht="15" customHeight="1">
      <c r="A29" t="inlineStr">
        <is>
          <t>A 36381-2024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46223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26.7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Gammelgransskål
Orre</t>
        </is>
      </c>
      <c r="V29">
        <f>HYPERLINK("https://klasma.github.io/Logging_2513/artfynd/A 36381-2024 artfynd.xlsx", "A 36381-2024")</f>
        <v/>
      </c>
      <c r="W29">
        <f>HYPERLINK("https://klasma.github.io/Logging_2513/kartor/A 36381-2024 karta.png", "A 36381-2024")</f>
        <v/>
      </c>
      <c r="X29">
        <f>HYPERLINK("https://klasma.github.io/Logging_2513/kartor_geotiff/A 36381-2024 georefererad karta.tif", "A 36381-2024")</f>
        <v/>
      </c>
      <c r="Z29">
        <f>HYPERLINK("https://klasma.github.io/Logging_2513/klagomål/A 36381-2024 FSC-klagomål.docx", "A 36381-2024")</f>
        <v/>
      </c>
      <c r="AA29">
        <f>HYPERLINK("https://klasma.github.io/Logging_2513/klagomålsmail/A 36381-2024 FSC-klagomål mail.docx", "A 36381-2024")</f>
        <v/>
      </c>
      <c r="AB29">
        <f>HYPERLINK("https://klasma.github.io/Logging_2513/tillsyn/A 36381-2024 tillsynsbegäran.docx", "A 36381-2024")</f>
        <v/>
      </c>
      <c r="AC29">
        <f>HYPERLINK("https://klasma.github.io/Logging_2513/tillsynsmail/A 36381-2024 tillsynsbegäran mail.docx", "A 36381-2024")</f>
        <v/>
      </c>
      <c r="AD29">
        <f>HYPERLINK("https://klasma.github.io/Logging_2513/fåglar/A 36381-2024 prioriterade fågelarter.docx", "A 36381-2024")</f>
        <v/>
      </c>
    </row>
    <row r="30" ht="15" customHeight="1">
      <c r="A30" t="inlineStr">
        <is>
          <t>A 26452-2025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45807</v>
      </c>
      <c r="E30" s="1" t="n">
        <v>46223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1.2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Gammelgransskål
Stor aspticka</t>
        </is>
      </c>
      <c r="V30">
        <f>HYPERLINK("https://klasma.github.io/Logging_2513/artfynd/A 26452-2025 artfynd.xlsx", "A 26452-2025")</f>
        <v/>
      </c>
      <c r="W30">
        <f>HYPERLINK("https://klasma.github.io/Logging_2513/kartor/A 26452-2025 karta.png", "A 26452-2025")</f>
        <v/>
      </c>
      <c r="X30">
        <f>HYPERLINK("https://klasma.github.io/Logging_2513/kartor_geotiff/A 26452-2025 georefererad karta.tif", "A 26452-2025")</f>
        <v/>
      </c>
      <c r="Z30">
        <f>HYPERLINK("https://klasma.github.io/Logging_2513/klagomål/A 26452-2025 FSC-klagomål.docx", "A 26452-2025")</f>
        <v/>
      </c>
      <c r="AA30">
        <f>HYPERLINK("https://klasma.github.io/Logging_2513/klagomålsmail/A 26452-2025 FSC-klagomål mail.docx", "A 26452-2025")</f>
        <v/>
      </c>
      <c r="AB30">
        <f>HYPERLINK("https://klasma.github.io/Logging_2513/tillsyn/A 26452-2025 tillsynsbegäran.docx", "A 26452-2025")</f>
        <v/>
      </c>
      <c r="AC30">
        <f>HYPERLINK("https://klasma.github.io/Logging_2513/tillsynsmail/A 26452-2025 tillsynsbegäran mail.docx", "A 26452-2025")</f>
        <v/>
      </c>
    </row>
    <row r="31" ht="15" customHeight="1">
      <c r="A31" t="inlineStr">
        <is>
          <t>A 7477-2023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44966</v>
      </c>
      <c r="E31" s="1" t="n">
        <v>46223</v>
      </c>
      <c r="F31" t="inlineStr">
        <is>
          <t>NORRBOTTENS LÄN</t>
        </is>
      </c>
      <c r="G31" t="inlineStr">
        <is>
          <t>ÖVERKALIX</t>
        </is>
      </c>
      <c r="I31" t="n">
        <v>2.6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Motaggsvamp
Skarp dropptaggsvamp</t>
        </is>
      </c>
      <c r="V31">
        <f>HYPERLINK("https://klasma.github.io/Logging_2513/artfynd/A 7477-2023 artfynd.xlsx", "A 7477-2023")</f>
        <v/>
      </c>
      <c r="W31">
        <f>HYPERLINK("https://klasma.github.io/Logging_2513/kartor/A 7477-2023 karta.png", "A 7477-2023")</f>
        <v/>
      </c>
      <c r="X31">
        <f>HYPERLINK("https://klasma.github.io/Logging_2513/kartor_geotiff/A 7477-2023 georefererad karta.tif", "A 7477-2023")</f>
        <v/>
      </c>
      <c r="Z31">
        <f>HYPERLINK("https://klasma.github.io/Logging_2513/klagomål/A 7477-2023 FSC-klagomål.docx", "A 7477-2023")</f>
        <v/>
      </c>
      <c r="AA31">
        <f>HYPERLINK("https://klasma.github.io/Logging_2513/klagomålsmail/A 7477-2023 FSC-klagomål mail.docx", "A 7477-2023")</f>
        <v/>
      </c>
      <c r="AB31">
        <f>HYPERLINK("https://klasma.github.io/Logging_2513/tillsyn/A 7477-2023 tillsynsbegäran.docx", "A 7477-2023")</f>
        <v/>
      </c>
      <c r="AC31">
        <f>HYPERLINK("https://klasma.github.io/Logging_2513/tillsynsmail/A 7477-2023 tillsynsbegäran mail.docx", "A 7477-2023")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46223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s="2" t="inlineStr">
        <is>
          <t>Lunglav
Skrovellav</t>
        </is>
      </c>
      <c r="V32">
        <f>HYPERLINK("https://klasma.github.io/Logging_2513/artfynd/A 40116-2025 artfynd.xlsx", "A 40116-2025")</f>
        <v/>
      </c>
      <c r="W32">
        <f>HYPERLINK("https://klasma.github.io/Logging_2513/kartor/A 40116-2025 karta.png", "A 40116-2025")</f>
        <v/>
      </c>
      <c r="X32">
        <f>HYPERLINK("https://klasma.github.io/Logging_2513/kartor_geotiff/A 40116-2025 georefererad karta.tif", "A 40116-2025")</f>
        <v/>
      </c>
      <c r="Z32">
        <f>HYPERLINK("https://klasma.github.io/Logging_2513/klagomål/A 40116-2025 FSC-klagomål.docx", "A 40116-2025")</f>
        <v/>
      </c>
      <c r="AA32">
        <f>HYPERLINK("https://klasma.github.io/Logging_2513/klagomålsmail/A 40116-2025 FSC-klagomål mail.docx", "A 40116-2025")</f>
        <v/>
      </c>
      <c r="AB32">
        <f>HYPERLINK("https://klasma.github.io/Logging_2513/tillsyn/A 40116-2025 tillsynsbegäran.docx", "A 40116-2025")</f>
        <v/>
      </c>
      <c r="AC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46223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Kungsfågel
Vanlig padda</t>
        </is>
      </c>
      <c r="V33">
        <f>HYPERLINK("https://klasma.github.io/Logging_2513/artfynd/A 42285-2025 artfynd.xlsx", "A 42285-2025")</f>
        <v/>
      </c>
      <c r="W33">
        <f>HYPERLINK("https://klasma.github.io/Logging_2513/kartor/A 42285-2025 karta.png", "A 42285-2025")</f>
        <v/>
      </c>
      <c r="X33">
        <f>HYPERLINK("https://klasma.github.io/Logging_2513/kartor_geotiff/A 42285-2025 georefererad karta.tif", "A 42285-2025")</f>
        <v/>
      </c>
      <c r="Z33">
        <f>HYPERLINK("https://klasma.github.io/Logging_2513/klagomål/A 42285-2025 FSC-klagomål.docx", "A 42285-2025")</f>
        <v/>
      </c>
      <c r="AA33">
        <f>HYPERLINK("https://klasma.github.io/Logging_2513/klagomålsmail/A 42285-2025 FSC-klagomål mail.docx", "A 42285-2025")</f>
        <v/>
      </c>
      <c r="AB33">
        <f>HYPERLINK("https://klasma.github.io/Logging_2513/tillsyn/A 42285-2025 tillsynsbegäran.docx", "A 42285-2025")</f>
        <v/>
      </c>
      <c r="AC33">
        <f>HYPERLINK("https://klasma.github.io/Logging_2513/tillsynsmail/A 42285-2025 tillsynsbegäran mail.docx", "A 42285-2025")</f>
        <v/>
      </c>
    </row>
    <row r="34" ht="15" customHeight="1">
      <c r="A34" t="inlineStr">
        <is>
          <t>A 50691-2024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46223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4.2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Gammelgransskål
Vedticka</t>
        </is>
      </c>
      <c r="V34">
        <f>HYPERLINK("https://klasma.github.io/Logging_2513/artfynd/A 50691-2024 artfynd.xlsx", "A 50691-2024")</f>
        <v/>
      </c>
      <c r="W34">
        <f>HYPERLINK("https://klasma.github.io/Logging_2513/kartor/A 50691-2024 karta.png", "A 50691-2024")</f>
        <v/>
      </c>
      <c r="X34">
        <f>HYPERLINK("https://klasma.github.io/Logging_2513/kartor_geotiff/A 50691-2024 georefererad karta.tif", "A 50691-2024")</f>
        <v/>
      </c>
      <c r="Z34">
        <f>HYPERLINK("https://klasma.github.io/Logging_2513/klagomål/A 50691-2024 FSC-klagomål.docx", "A 50691-2024")</f>
        <v/>
      </c>
      <c r="AA34">
        <f>HYPERLINK("https://klasma.github.io/Logging_2513/klagomålsmail/A 50691-2024 FSC-klagomål mail.docx", "A 50691-2024")</f>
        <v/>
      </c>
      <c r="AB34">
        <f>HYPERLINK("https://klasma.github.io/Logging_2513/tillsyn/A 50691-2024 tillsynsbegäran.docx", "A 50691-2024")</f>
        <v/>
      </c>
      <c r="AC34">
        <f>HYPERLINK("https://klasma.github.io/Logging_2513/tillsynsmail/A 50691-2024 tillsynsbegäran mail.docx", "A 50691-2024")</f>
        <v/>
      </c>
    </row>
    <row r="35" ht="15" customHeight="1">
      <c r="A35" t="inlineStr">
        <is>
          <t>A 34921-2025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46223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16.4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Gammelgransskål
Lunglav</t>
        </is>
      </c>
      <c r="V35">
        <f>HYPERLINK("https://klasma.github.io/Logging_2513/artfynd/A 34921-2025 artfynd.xlsx", "A 34921-2025")</f>
        <v/>
      </c>
      <c r="W35">
        <f>HYPERLINK("https://klasma.github.io/Logging_2513/kartor/A 34921-2025 karta.png", "A 34921-2025")</f>
        <v/>
      </c>
      <c r="X35">
        <f>HYPERLINK("https://klasma.github.io/Logging_2513/kartor_geotiff/A 34921-2025 georefererad karta.tif", "A 34921-2025")</f>
        <v/>
      </c>
      <c r="Z35">
        <f>HYPERLINK("https://klasma.github.io/Logging_2513/klagomål/A 34921-2025 FSC-klagomål.docx", "A 34921-2025")</f>
        <v/>
      </c>
      <c r="AA35">
        <f>HYPERLINK("https://klasma.github.io/Logging_2513/klagomålsmail/A 34921-2025 FSC-klagomål mail.docx", "A 34921-2025")</f>
        <v/>
      </c>
      <c r="AB35">
        <f>HYPERLINK("https://klasma.github.io/Logging_2513/tillsyn/A 34921-2025 tillsynsbegäran.docx", "A 34921-2025")</f>
        <v/>
      </c>
      <c r="AC35">
        <f>HYPERLINK("https://klasma.github.io/Logging_2513/tillsynsmail/A 34921-2025 tillsynsbegäran mail.docx", "A 34921-2025")</f>
        <v/>
      </c>
    </row>
    <row r="36" ht="15" customHeight="1">
      <c r="A36" t="inlineStr">
        <is>
          <t>A 40706-2023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45170</v>
      </c>
      <c r="E36" s="1" t="n">
        <v>46223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7.1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s="2" t="inlineStr">
        <is>
          <t>Knärot
Dropptaggsvamp</t>
        </is>
      </c>
      <c r="V36">
        <f>HYPERLINK("https://klasma.github.io/Logging_2513/artfynd/A 40706-2023 artfynd.xlsx", "A 40706-2023")</f>
        <v/>
      </c>
      <c r="W36">
        <f>HYPERLINK("https://klasma.github.io/Logging_2513/kartor/A 40706-2023 karta.png", "A 40706-2023")</f>
        <v/>
      </c>
      <c r="X36">
        <f>HYPERLINK("https://klasma.github.io/Logging_2513/kartor_geotiff/A 40706-2023 georefererad karta.tif", "A 40706-2023")</f>
        <v/>
      </c>
      <c r="Y36">
        <f>HYPERLINK("https://klasma.github.io/Logging_2513/knärot/A 40706-2023 karta knärot.png", "A 40706-2023")</f>
        <v/>
      </c>
      <c r="Z36">
        <f>HYPERLINK("https://klasma.github.io/Logging_2513/klagomål/A 40706-2023 FSC-klagomål.docx", "A 40706-2023")</f>
        <v/>
      </c>
      <c r="AA36">
        <f>HYPERLINK("https://klasma.github.io/Logging_2513/klagomålsmail/A 40706-2023 FSC-klagomål mail.docx", "A 40706-2023")</f>
        <v/>
      </c>
      <c r="AB36">
        <f>HYPERLINK("https://klasma.github.io/Logging_2513/tillsyn/A 40706-2023 tillsynsbegäran.docx", "A 40706-2023")</f>
        <v/>
      </c>
      <c r="AC36">
        <f>HYPERLINK("https://klasma.github.io/Logging_2513/tillsynsmail/A 40706-2023 tillsynsbegäran mail.docx", "A 40706-2023")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46223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Källpraktmossa
Spädstarr</t>
        </is>
      </c>
      <c r="V37">
        <f>HYPERLINK("https://klasma.github.io/Logging_2513/artfynd/A 14152-2026 artfynd.xlsx", "A 14152-2026")</f>
        <v/>
      </c>
      <c r="W37">
        <f>HYPERLINK("https://klasma.github.io/Logging_2513/kartor/A 14152-2026 karta.png", "A 14152-2026")</f>
        <v/>
      </c>
      <c r="X37">
        <f>HYPERLINK("https://klasma.github.io/Logging_2513/kartor_geotiff/A 14152-2026 georefererad karta.tif", "A 14152-2026")</f>
        <v/>
      </c>
      <c r="Z37">
        <f>HYPERLINK("https://klasma.github.io/Logging_2513/klagomål/A 14152-2026 FSC-klagomål.docx", "A 14152-2026")</f>
        <v/>
      </c>
      <c r="AA37">
        <f>HYPERLINK("https://klasma.github.io/Logging_2513/klagomålsmail/A 14152-2026 FSC-klagomål mail.docx", "A 14152-2026")</f>
        <v/>
      </c>
      <c r="AB37">
        <f>HYPERLINK("https://klasma.github.io/Logging_2513/tillsyn/A 14152-2026 tillsynsbegäran.docx", "A 14152-2026")</f>
        <v/>
      </c>
      <c r="AC37">
        <f>HYPERLINK("https://klasma.github.io/Logging_2513/tillsynsmail/A 14152-2026 tillsynsbegäran mail.docx", "A 14152-2026")</f>
        <v/>
      </c>
    </row>
    <row r="38" ht="15" customHeight="1">
      <c r="A38" t="inlineStr">
        <is>
          <t>A 62951-2025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46223</v>
      </c>
      <c r="F38" t="inlineStr">
        <is>
          <t>NORRBOTTENS LÄN</t>
        </is>
      </c>
      <c r="G38" t="inlineStr">
        <is>
          <t>ÖVERKALIX</t>
        </is>
      </c>
      <c r="H38" t="inlineStr">
        <is>
          <t>SCA</t>
        </is>
      </c>
      <c r="I38" t="n">
        <v>4.2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s="2" t="inlineStr">
        <is>
          <t>Garnlav
Ullticka</t>
        </is>
      </c>
      <c r="V38">
        <f>HYPERLINK("https://klasma.github.io/Logging_2513/artfynd/A 62951-2025 artfynd.xlsx", "A 62951-2025")</f>
        <v/>
      </c>
      <c r="W38">
        <f>HYPERLINK("https://klasma.github.io/Logging_2513/kartor/A 62951-2025 karta.png", "A 62951-2025")</f>
        <v/>
      </c>
      <c r="X38">
        <f>HYPERLINK("https://klasma.github.io/Logging_2513/kartor_geotiff/A 62951-2025 georefererad karta.tif", "A 62951-2025")</f>
        <v/>
      </c>
      <c r="Z38">
        <f>HYPERLINK("https://klasma.github.io/Logging_2513/klagomål/A 62951-2025 FSC-klagomål.docx", "A 62951-2025")</f>
        <v/>
      </c>
      <c r="AA38">
        <f>HYPERLINK("https://klasma.github.io/Logging_2513/klagomålsmail/A 62951-2025 FSC-klagomål mail.docx", "A 62951-2025")</f>
        <v/>
      </c>
      <c r="AB38">
        <f>HYPERLINK("https://klasma.github.io/Logging_2513/tillsyn/A 62951-2025 tillsynsbegäran.docx", "A 62951-2025")</f>
        <v/>
      </c>
      <c r="AC38">
        <f>HYPERLINK("https://klasma.github.io/Logging_2513/tillsynsmail/A 62951-2025 tillsynsbegäran mail.docx", "A 62951-2025")</f>
        <v/>
      </c>
    </row>
    <row r="39" ht="15" customHeight="1">
      <c r="A39" t="inlineStr">
        <is>
          <t>A 36803-2023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45154</v>
      </c>
      <c r="E39" s="1" t="n">
        <v>46223</v>
      </c>
      <c r="F39" t="inlineStr">
        <is>
          <t>NORRBOTTENS LÄN</t>
        </is>
      </c>
      <c r="G39" t="inlineStr">
        <is>
          <t>ÖVERKALIX</t>
        </is>
      </c>
      <c r="I39" t="n">
        <v>3.1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6</v>
      </c>
      <c r="U39" s="2" t="inlineStr">
        <is>
          <t>Knärot
Revlummer</t>
        </is>
      </c>
      <c r="V39">
        <f>HYPERLINK("https://klasma.github.io/Logging_2513/artfynd/A 36803-2023 artfynd.xlsx", "A 36803-2023")</f>
        <v/>
      </c>
      <c r="W39">
        <f>HYPERLINK("https://klasma.github.io/Logging_2513/kartor/A 36803-2023 karta.png", "A 36803-2023")</f>
        <v/>
      </c>
      <c r="X39">
        <f>HYPERLINK("https://klasma.github.io/Logging_2513/kartor_geotiff/A 36803-2023 georefererad karta.tif", "A 36803-2023")</f>
        <v/>
      </c>
      <c r="Y39">
        <f>HYPERLINK("https://klasma.github.io/Logging_2513/knärot/A 36803-2023 karta knärot.png", "A 36803-2023")</f>
        <v/>
      </c>
      <c r="Z39">
        <f>HYPERLINK("https://klasma.github.io/Logging_2513/klagomål/A 36803-2023 FSC-klagomål.docx", "A 36803-2023")</f>
        <v/>
      </c>
      <c r="AA39">
        <f>HYPERLINK("https://klasma.github.io/Logging_2513/klagomålsmail/A 36803-2023 FSC-klagomål mail.docx", "A 36803-2023")</f>
        <v/>
      </c>
      <c r="AB39">
        <f>HYPERLINK("https://klasma.github.io/Logging_2513/tillsyn/A 36803-2023 tillsynsbegäran.docx", "A 36803-2023")</f>
        <v/>
      </c>
      <c r="AC39">
        <f>HYPERLINK("https://klasma.github.io/Logging_2513/tillsynsmail/A 36803-2023 tillsynsbegäran mail.docx", "A 36803-2023")</f>
        <v/>
      </c>
    </row>
    <row r="40" ht="15" customHeight="1">
      <c r="A40" t="inlineStr">
        <is>
          <t>A 47680-2024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46223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Blå taggsvamp
Skarp dropptaggsvamp</t>
        </is>
      </c>
      <c r="V40">
        <f>HYPERLINK("https://klasma.github.io/Logging_2513/artfynd/A 47680-2024 artfynd.xlsx", "A 47680-2024")</f>
        <v/>
      </c>
      <c r="W40">
        <f>HYPERLINK("https://klasma.github.io/Logging_2513/kartor/A 47680-2024 karta.png", "A 47680-2024")</f>
        <v/>
      </c>
      <c r="X40">
        <f>HYPERLINK("https://klasma.github.io/Logging_2513/kartor_geotiff/A 47680-2024 georefererad karta.tif", "A 47680-2024")</f>
        <v/>
      </c>
      <c r="Z40">
        <f>HYPERLINK("https://klasma.github.io/Logging_2513/klagomål/A 47680-2024 FSC-klagomål.docx", "A 47680-2024")</f>
        <v/>
      </c>
      <c r="AA40">
        <f>HYPERLINK("https://klasma.github.io/Logging_2513/klagomålsmail/A 47680-2024 FSC-klagomål mail.docx", "A 47680-2024")</f>
        <v/>
      </c>
      <c r="AB40">
        <f>HYPERLINK("https://klasma.github.io/Logging_2513/tillsyn/A 47680-2024 tillsynsbegäran.docx", "A 47680-2024")</f>
        <v/>
      </c>
      <c r="AC40">
        <f>HYPERLINK("https://klasma.github.io/Logging_2513/tillsynsmail/A 47680-2024 tillsynsbegäran mail.docx", "A 47680-2024")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46223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Blå taggsvamp
Bollvitmossa</t>
        </is>
      </c>
      <c r="V41">
        <f>HYPERLINK("https://klasma.github.io/Logging_2513/artfynd/A 28029-2026 artfynd.xlsx", "A 28029-2026")</f>
        <v/>
      </c>
      <c r="W41">
        <f>HYPERLINK("https://klasma.github.io/Logging_2513/kartor/A 28029-2026 karta.png", "A 28029-2026")</f>
        <v/>
      </c>
      <c r="X41">
        <f>HYPERLINK("https://klasma.github.io/Logging_2513/kartor_geotiff/A 28029-2026 georefererad karta.tif", "A 28029-2026")</f>
        <v/>
      </c>
      <c r="Z41">
        <f>HYPERLINK("https://klasma.github.io/Logging_2513/klagomål/A 28029-2026 FSC-klagomål.docx", "A 28029-2026")</f>
        <v/>
      </c>
      <c r="AA41">
        <f>HYPERLINK("https://klasma.github.io/Logging_2513/klagomålsmail/A 28029-2026 FSC-klagomål mail.docx", "A 28029-2026")</f>
        <v/>
      </c>
      <c r="AB41">
        <f>HYPERLINK("https://klasma.github.io/Logging_2513/tillsyn/A 28029-2026 tillsynsbegäran.docx", "A 28029-2026")</f>
        <v/>
      </c>
      <c r="AC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46223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s="2" t="inlineStr">
        <is>
          <t>Knärot
Fläcknycklar</t>
        </is>
      </c>
      <c r="V42">
        <f>HYPERLINK("https://klasma.github.io/Logging_2513/artfynd/A 28929-2026 artfynd.xlsx", "A 28929-2026")</f>
        <v/>
      </c>
      <c r="W42">
        <f>HYPERLINK("https://klasma.github.io/Logging_2513/kartor/A 28929-2026 karta.png", "A 28929-2026")</f>
        <v/>
      </c>
      <c r="X42">
        <f>HYPERLINK("https://klasma.github.io/Logging_2513/kartor_geotiff/A 28929-2026 georefererad karta.tif", "A 28929-2026")</f>
        <v/>
      </c>
      <c r="Y42">
        <f>HYPERLINK("https://klasma.github.io/Logging_2513/knärot/A 28929-2026 karta knärot.png", "A 28929-2026")</f>
        <v/>
      </c>
      <c r="Z42">
        <f>HYPERLINK("https://klasma.github.io/Logging_2513/klagomål/A 28929-2026 FSC-klagomål.docx", "A 28929-2026")</f>
        <v/>
      </c>
      <c r="AA42">
        <f>HYPERLINK("https://klasma.github.io/Logging_2513/klagomålsmail/A 28929-2026 FSC-klagomål mail.docx", "A 28929-2026")</f>
        <v/>
      </c>
      <c r="AB42">
        <f>HYPERLINK("https://klasma.github.io/Logging_2513/tillsyn/A 28929-2026 tillsynsbegäran.docx", "A 28929-2026")</f>
        <v/>
      </c>
      <c r="AC42">
        <f>HYPERLINK("https://klasma.github.io/Logging_2513/tillsynsmail/A 28929-2026 tillsynsbegäran mail.docx", "A 28929-2026")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46223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Stor aspticka
Vedticka</t>
        </is>
      </c>
      <c r="V43">
        <f>HYPERLINK("https://klasma.github.io/Logging_2513/artfynd/A 60509-2021 artfynd.xlsx", "A 60509-2021")</f>
        <v/>
      </c>
      <c r="W43">
        <f>HYPERLINK("https://klasma.github.io/Logging_2513/kartor/A 60509-2021 karta.png", "A 60509-2021")</f>
        <v/>
      </c>
      <c r="X43">
        <f>HYPERLINK("https://klasma.github.io/Logging_2513/kartor_geotiff/A 60509-2021 georefererad karta.tif", "A 60509-2021")</f>
        <v/>
      </c>
      <c r="Z43">
        <f>HYPERLINK("https://klasma.github.io/Logging_2513/klagomål/A 60509-2021 FSC-klagomål.docx", "A 60509-2021")</f>
        <v/>
      </c>
      <c r="AA43">
        <f>HYPERLINK("https://klasma.github.io/Logging_2513/klagomålsmail/A 60509-2021 FSC-klagomål mail.docx", "A 60509-2021")</f>
        <v/>
      </c>
      <c r="AB43">
        <f>HYPERLINK("https://klasma.github.io/Logging_2513/tillsyn/A 60509-2021 tillsynsbegäran.docx", "A 60509-2021")</f>
        <v/>
      </c>
      <c r="AC43">
        <f>HYPERLINK("https://klasma.github.io/Logging_2513/tillsynsmail/A 60509-2021 tillsynsbegäran mail.docx", "A 60509-2021")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46223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s="2" t="inlineStr">
        <is>
          <t>Höstlåsbräken
Månlåsbräken</t>
        </is>
      </c>
      <c r="V44">
        <f>HYPERLINK("https://klasma.github.io/Logging_2513/artfynd/S 2701-2024 artfynd.xlsx", "S 2701-2024")</f>
        <v/>
      </c>
      <c r="W44">
        <f>HYPERLINK("https://klasma.github.io/Logging_2513/kartor/S 2701-2024 karta.png", "S 2701-2024")</f>
        <v/>
      </c>
      <c r="X44">
        <f>HYPERLINK("https://klasma.github.io/Logging_2513/kartor_geotiff/S 2701-2024 georefererad karta.tif", "S 2701-2024")</f>
        <v/>
      </c>
      <c r="Z44">
        <f>HYPERLINK("https://klasma.github.io/Logging_2513/klagomål/S 2701-2024 FSC-klagomål.docx", "S 2701-2024")</f>
        <v/>
      </c>
      <c r="AA44">
        <f>HYPERLINK("https://klasma.github.io/Logging_2513/klagomålsmail/S 2701-2024 FSC-klagomål mail.docx", "S 2701-2024")</f>
        <v/>
      </c>
      <c r="AB44">
        <f>HYPERLINK("https://klasma.github.io/Logging_2513/tillsyn/S 2701-2024 tillsynsbegäran.docx", "S 2701-2024")</f>
        <v/>
      </c>
      <c r="AC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46223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Kortskaftad ärgspik</t>
        </is>
      </c>
      <c r="V45">
        <f>HYPERLINK("https://klasma.github.io/Logging_2513/artfynd/A 15137-2022 artfynd.xlsx", "A 15137-2022")</f>
        <v/>
      </c>
      <c r="W45">
        <f>HYPERLINK("https://klasma.github.io/Logging_2513/kartor/A 15137-2022 karta.png", "A 15137-2022")</f>
        <v/>
      </c>
      <c r="X45">
        <f>HYPERLINK("https://klasma.github.io/Logging_2513/kartor_geotiff/A 15137-2022 georefererad karta.tif", "A 15137-2022")</f>
        <v/>
      </c>
      <c r="Z45">
        <f>HYPERLINK("https://klasma.github.io/Logging_2513/klagomål/A 15137-2022 FSC-klagomål.docx", "A 15137-2022")</f>
        <v/>
      </c>
      <c r="AA45">
        <f>HYPERLINK("https://klasma.github.io/Logging_2513/klagomålsmail/A 15137-2022 FSC-klagomål mail.docx", "A 15137-2022")</f>
        <v/>
      </c>
      <c r="AB45">
        <f>HYPERLINK("https://klasma.github.io/Logging_2513/tillsyn/A 15137-2022 tillsynsbegäran.docx", "A 15137-2022")</f>
        <v/>
      </c>
      <c r="AC45">
        <f>HYPERLINK("https://klasma.github.io/Logging_2513/tillsynsmail/A 15137-2022 tillsynsbegäran mail.docx", "A 15137-2022")</f>
        <v/>
      </c>
    </row>
    <row r="46" ht="15" customHeight="1">
      <c r="A46" t="inlineStr">
        <is>
          <t>A 21777-2024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46223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Lunglav</t>
        </is>
      </c>
      <c r="V46">
        <f>HYPERLINK("https://klasma.github.io/Logging_2513/artfynd/A 21777-2024 artfynd.xlsx", "A 21777-2024")</f>
        <v/>
      </c>
      <c r="W46">
        <f>HYPERLINK("https://klasma.github.io/Logging_2513/kartor/A 21777-2024 karta.png", "A 21777-2024")</f>
        <v/>
      </c>
      <c r="X46">
        <f>HYPERLINK("https://klasma.github.io/Logging_2513/kartor_geotiff/A 21777-2024 georefererad karta.tif", "A 21777-2024")</f>
        <v/>
      </c>
      <c r="Z46">
        <f>HYPERLINK("https://klasma.github.io/Logging_2513/klagomål/A 21777-2024 FSC-klagomål.docx", "A 21777-2024")</f>
        <v/>
      </c>
      <c r="AA46">
        <f>HYPERLINK("https://klasma.github.io/Logging_2513/klagomålsmail/A 21777-2024 FSC-klagomål mail.docx", "A 21777-2024")</f>
        <v/>
      </c>
      <c r="AB46">
        <f>HYPERLINK("https://klasma.github.io/Logging_2513/tillsyn/A 21777-2024 tillsynsbegäran.docx", "A 21777-2024")</f>
        <v/>
      </c>
      <c r="AC46">
        <f>HYPERLINK("https://klasma.github.io/Logging_2513/tillsynsmail/A 21777-2024 tillsynsbegäran mail.docx", "A 21777-2024")</f>
        <v/>
      </c>
    </row>
    <row r="47" ht="15" customHeight="1">
      <c r="A47" t="inlineStr">
        <is>
          <t>A 26305-2025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45805</v>
      </c>
      <c r="E47" s="1" t="n">
        <v>46223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5.2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Luddlav</t>
        </is>
      </c>
      <c r="V47">
        <f>HYPERLINK("https://klasma.github.io/Logging_2513/artfynd/A 26305-2025 artfynd.xlsx", "A 26305-2025")</f>
        <v/>
      </c>
      <c r="W47">
        <f>HYPERLINK("https://klasma.github.io/Logging_2513/kartor/A 26305-2025 karta.png", "A 26305-2025")</f>
        <v/>
      </c>
      <c r="X47">
        <f>HYPERLINK("https://klasma.github.io/Logging_2513/kartor_geotiff/A 26305-2025 georefererad karta.tif", "A 26305-2025")</f>
        <v/>
      </c>
      <c r="Z47">
        <f>HYPERLINK("https://klasma.github.io/Logging_2513/klagomål/A 26305-2025 FSC-klagomål.docx", "A 26305-2025")</f>
        <v/>
      </c>
      <c r="AA47">
        <f>HYPERLINK("https://klasma.github.io/Logging_2513/klagomålsmail/A 26305-2025 FSC-klagomål mail.docx", "A 26305-2025")</f>
        <v/>
      </c>
      <c r="AB47">
        <f>HYPERLINK("https://klasma.github.io/Logging_2513/tillsyn/A 26305-2025 tillsynsbegäran.docx", "A 26305-2025")</f>
        <v/>
      </c>
      <c r="AC47">
        <f>HYPERLINK("https://klasma.github.io/Logging_2513/tillsynsmail/A 26305-2025 tillsynsbegäran mail.docx", "A 26305-2025")</f>
        <v/>
      </c>
    </row>
    <row r="48" ht="15" customHeight="1">
      <c r="A48" t="inlineStr">
        <is>
          <t>A 27452-2025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46223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HYPERLINK("https://klasma.github.io/Logging_2513/artfynd/A 27452-2025 artfynd.xlsx", "A 27452-2025")</f>
        <v/>
      </c>
      <c r="W48">
        <f>HYPERLINK("https://klasma.github.io/Logging_2513/kartor/A 27452-2025 karta.png", "A 27452-2025")</f>
        <v/>
      </c>
      <c r="X48">
        <f>HYPERLINK("https://klasma.github.io/Logging_2513/kartor_geotiff/A 27452-2025 georefererad karta.tif", "A 27452-2025")</f>
        <v/>
      </c>
      <c r="Z48">
        <f>HYPERLINK("https://klasma.github.io/Logging_2513/klagomål/A 27452-2025 FSC-klagomål.docx", "A 27452-2025")</f>
        <v/>
      </c>
      <c r="AA48">
        <f>HYPERLINK("https://klasma.github.io/Logging_2513/klagomålsmail/A 27452-2025 FSC-klagomål mail.docx", "A 27452-2025")</f>
        <v/>
      </c>
      <c r="AB48">
        <f>HYPERLINK("https://klasma.github.io/Logging_2513/tillsyn/A 27452-2025 tillsynsbegäran.docx", "A 27452-2025")</f>
        <v/>
      </c>
      <c r="AC48">
        <f>HYPERLINK("https://klasma.github.io/Logging_2513/tillsynsmail/A 27452-2025 tillsynsbegäran mail.docx", "A 27452-2025")</f>
        <v/>
      </c>
      <c r="AD48">
        <f>HYPERLINK("https://klasma.github.io/Logging_2513/fåglar/A 27452-2025 prioriterade fågelarter.docx", "A 27452-2025")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46223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Bivråk</t>
        </is>
      </c>
      <c r="V49">
        <f>HYPERLINK("https://klasma.github.io/Logging_2513/artfynd/A 22977-2022 artfynd.xlsx", "A 22977-2022")</f>
        <v/>
      </c>
      <c r="W49">
        <f>HYPERLINK("https://klasma.github.io/Logging_2513/kartor/A 22977-2022 karta.png", "A 22977-2022")</f>
        <v/>
      </c>
      <c r="X49">
        <f>HYPERLINK("https://klasma.github.io/Logging_2513/kartor_geotiff/A 22977-2022 georefererad karta.tif", "A 22977-2022")</f>
        <v/>
      </c>
      <c r="Z49">
        <f>HYPERLINK("https://klasma.github.io/Logging_2513/klagomål/A 22977-2022 FSC-klagomål.docx", "A 22977-2022")</f>
        <v/>
      </c>
      <c r="AA49">
        <f>HYPERLINK("https://klasma.github.io/Logging_2513/klagomålsmail/A 22977-2022 FSC-klagomål mail.docx", "A 22977-2022")</f>
        <v/>
      </c>
      <c r="AB49">
        <f>HYPERLINK("https://klasma.github.io/Logging_2513/tillsyn/A 22977-2022 tillsynsbegäran.docx", "A 22977-2022")</f>
        <v/>
      </c>
      <c r="AC49">
        <f>HYPERLINK("https://klasma.github.io/Logging_2513/tillsynsmail/A 22977-2022 tillsynsbegäran mail.docx", "A 22977-2022")</f>
        <v/>
      </c>
      <c r="AD49">
        <f>HYPERLINK("https://klasma.github.io/Logging_2513/fåglar/A 22977-2022 prioriterade fågelarter.docx", "A 22977-2022")</f>
        <v/>
      </c>
    </row>
    <row r="50" ht="15" customHeight="1">
      <c r="A50" t="inlineStr">
        <is>
          <t>A 35602-2025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46223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HYPERLINK("https://klasma.github.io/Logging_2513/artfynd/A 35602-2025 artfynd.xlsx", "A 35602-2025")</f>
        <v/>
      </c>
      <c r="W50">
        <f>HYPERLINK("https://klasma.github.io/Logging_2513/kartor/A 35602-2025 karta.png", "A 35602-2025")</f>
        <v/>
      </c>
      <c r="X50">
        <f>HYPERLINK("https://klasma.github.io/Logging_2513/kartor_geotiff/A 35602-2025 georefererad karta.tif", "A 35602-2025")</f>
        <v/>
      </c>
      <c r="Z50">
        <f>HYPERLINK("https://klasma.github.io/Logging_2513/klagomål/A 35602-2025 FSC-klagomål.docx", "A 35602-2025")</f>
        <v/>
      </c>
      <c r="AA50">
        <f>HYPERLINK("https://klasma.github.io/Logging_2513/klagomålsmail/A 35602-2025 FSC-klagomål mail.docx", "A 35602-2025")</f>
        <v/>
      </c>
      <c r="AB50">
        <f>HYPERLINK("https://klasma.github.io/Logging_2513/tillsyn/A 35602-2025 tillsynsbegäran.docx", "A 35602-2025")</f>
        <v/>
      </c>
      <c r="AC50">
        <f>HYPERLINK("https://klasma.github.io/Logging_2513/tillsynsmail/A 35602-2025 tillsynsbegäran mail.docx", "A 35602-2025")</f>
        <v/>
      </c>
    </row>
    <row r="51" ht="15" customHeight="1">
      <c r="A51" t="inlineStr">
        <is>
          <t>A 37532-2022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46223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Blå taggsvamp</t>
        </is>
      </c>
      <c r="V51">
        <f>HYPERLINK("https://klasma.github.io/Logging_2513/artfynd/A 37532-2022 artfynd.xlsx", "A 37532-2022")</f>
        <v/>
      </c>
      <c r="W51">
        <f>HYPERLINK("https://klasma.github.io/Logging_2513/kartor/A 37532-2022 karta.png", "A 37532-2022")</f>
        <v/>
      </c>
      <c r="X51">
        <f>HYPERLINK("https://klasma.github.io/Logging_2513/kartor_geotiff/A 37532-2022 georefererad karta.tif", "A 37532-2022")</f>
        <v/>
      </c>
      <c r="Z51">
        <f>HYPERLINK("https://klasma.github.io/Logging_2513/klagomål/A 37532-2022 FSC-klagomål.docx", "A 37532-2022")</f>
        <v/>
      </c>
      <c r="AA51">
        <f>HYPERLINK("https://klasma.github.io/Logging_2513/klagomålsmail/A 37532-2022 FSC-klagomål mail.docx", "A 37532-2022")</f>
        <v/>
      </c>
      <c r="AB51">
        <f>HYPERLINK("https://klasma.github.io/Logging_2513/tillsyn/A 37532-2022 tillsynsbegäran.docx", "A 37532-2022")</f>
        <v/>
      </c>
      <c r="AC51">
        <f>HYPERLINK("https://klasma.github.io/Logging_2513/tillsynsmail/A 37532-2022 tillsynsbegäran mail.docx", "A 37532-2022")</f>
        <v/>
      </c>
    </row>
    <row r="52" ht="15" customHeight="1">
      <c r="A52" t="inlineStr">
        <is>
          <t>A 71902-2021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46223</v>
      </c>
      <c r="F52" t="inlineStr">
        <is>
          <t>NORRBOTTENS LÄN</t>
        </is>
      </c>
      <c r="G52" t="inlineStr">
        <is>
          <t>ÖVERKALIX</t>
        </is>
      </c>
      <c r="I52" t="n">
        <v>24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HYPERLINK("https://klasma.github.io/Logging_2513/artfynd/A 71902-2021 artfynd.xlsx", "A 71902-2021")</f>
        <v/>
      </c>
      <c r="W52">
        <f>HYPERLINK("https://klasma.github.io/Logging_2513/kartor/A 71902-2021 karta.png", "A 71902-2021")</f>
        <v/>
      </c>
      <c r="X52">
        <f>HYPERLINK("https://klasma.github.io/Logging_2513/kartor_geotiff/A 71902-2021 georefererad karta.tif", "A 71902-2021")</f>
        <v/>
      </c>
      <c r="Z52">
        <f>HYPERLINK("https://klasma.github.io/Logging_2513/klagomål/A 71902-2021 FSC-klagomål.docx", "A 71902-2021")</f>
        <v/>
      </c>
      <c r="AA52">
        <f>HYPERLINK("https://klasma.github.io/Logging_2513/klagomålsmail/A 71902-2021 FSC-klagomål mail.docx", "A 71902-2021")</f>
        <v/>
      </c>
      <c r="AB52">
        <f>HYPERLINK("https://klasma.github.io/Logging_2513/tillsyn/A 71902-2021 tillsynsbegäran.docx", "A 71902-2021")</f>
        <v/>
      </c>
      <c r="AC52">
        <f>HYPERLINK("https://klasma.github.io/Logging_2513/tillsynsmail/A 71902-2021 tillsynsbegäran mail.docx", "A 71902-2021")</f>
        <v/>
      </c>
      <c r="AD52">
        <f>HYPERLINK("https://klasma.github.io/Logging_2513/fåglar/A 71902-2021 prioriterade fågelarter.docx", "A 71902-2021")</f>
        <v/>
      </c>
    </row>
    <row r="53" ht="15" customHeight="1">
      <c r="A53" t="inlineStr">
        <is>
          <t>A 8407-2025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45709</v>
      </c>
      <c r="E53" s="1" t="n">
        <v>46223</v>
      </c>
      <c r="F53" t="inlineStr">
        <is>
          <t>NORRBOTTENS LÄN</t>
        </is>
      </c>
      <c r="G53" t="inlineStr">
        <is>
          <t>ÖVERKALIX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Tallbit</t>
        </is>
      </c>
      <c r="V53">
        <f>HYPERLINK("https://klasma.github.io/Logging_2513/artfynd/A 8407-2025 artfynd.xlsx", "A 8407-2025")</f>
        <v/>
      </c>
      <c r="W53">
        <f>HYPERLINK("https://klasma.github.io/Logging_2513/kartor/A 8407-2025 karta.png", "A 8407-2025")</f>
        <v/>
      </c>
      <c r="X53">
        <f>HYPERLINK("https://klasma.github.io/Logging_2513/kartor_geotiff/A 8407-2025 georefererad karta.tif", "A 8407-2025")</f>
        <v/>
      </c>
      <c r="Z53">
        <f>HYPERLINK("https://klasma.github.io/Logging_2513/klagomål/A 8407-2025 FSC-klagomål.docx", "A 8407-2025")</f>
        <v/>
      </c>
      <c r="AA53">
        <f>HYPERLINK("https://klasma.github.io/Logging_2513/klagomålsmail/A 8407-2025 FSC-klagomål mail.docx", "A 8407-2025")</f>
        <v/>
      </c>
      <c r="AB53">
        <f>HYPERLINK("https://klasma.github.io/Logging_2513/tillsyn/A 8407-2025 tillsynsbegäran.docx", "A 8407-2025")</f>
        <v/>
      </c>
      <c r="AC53">
        <f>HYPERLINK("https://klasma.github.io/Logging_2513/tillsynsmail/A 8407-2025 tillsynsbegäran mail.docx", "A 8407-2025")</f>
        <v/>
      </c>
      <c r="AD53">
        <f>HYPERLINK("https://klasma.github.io/Logging_2513/fåglar/A 8407-2025 prioriterade fågelarter.docx", "A 8407-2025")</f>
        <v/>
      </c>
    </row>
    <row r="54" ht="15" customHeight="1">
      <c r="A54" t="inlineStr">
        <is>
          <t>A 7234-2023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46223</v>
      </c>
      <c r="F54" t="inlineStr">
        <is>
          <t>NORRBOTTENS LÄN</t>
        </is>
      </c>
      <c r="G54" t="inlineStr">
        <is>
          <t>ÖVERKALIX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Spillkråka</t>
        </is>
      </c>
      <c r="V54">
        <f>HYPERLINK("https://klasma.github.io/Logging_2513/artfynd/A 7234-2023 artfynd.xlsx", "A 7234-2023")</f>
        <v/>
      </c>
      <c r="W54">
        <f>HYPERLINK("https://klasma.github.io/Logging_2513/kartor/A 7234-2023 karta.png", "A 7234-2023")</f>
        <v/>
      </c>
      <c r="X54">
        <f>HYPERLINK("https://klasma.github.io/Logging_2513/kartor_geotiff/A 7234-2023 georefererad karta.tif", "A 7234-2023")</f>
        <v/>
      </c>
      <c r="Z54">
        <f>HYPERLINK("https://klasma.github.io/Logging_2513/klagomål/A 7234-2023 FSC-klagomål.docx", "A 7234-2023")</f>
        <v/>
      </c>
      <c r="AA54">
        <f>HYPERLINK("https://klasma.github.io/Logging_2513/klagomålsmail/A 7234-2023 FSC-klagomål mail.docx", "A 7234-2023")</f>
        <v/>
      </c>
      <c r="AB54">
        <f>HYPERLINK("https://klasma.github.io/Logging_2513/tillsyn/A 7234-2023 tillsynsbegäran.docx", "A 7234-2023")</f>
        <v/>
      </c>
      <c r="AC54">
        <f>HYPERLINK("https://klasma.github.io/Logging_2513/tillsynsmail/A 7234-2023 tillsynsbegäran mail.docx", "A 7234-2023")</f>
        <v/>
      </c>
      <c r="AD54">
        <f>HYPERLINK("https://klasma.github.io/Logging_2513/fåglar/A 7234-2023 prioriterade fågelarter.docx", "A 7234-2023")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46223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Spillkråka</t>
        </is>
      </c>
      <c r="V55">
        <f>HYPERLINK("https://klasma.github.io/Logging_2513/artfynd/A 46280-2024 artfynd.xlsx", "A 46280-2024")</f>
        <v/>
      </c>
      <c r="W55">
        <f>HYPERLINK("https://klasma.github.io/Logging_2513/kartor/A 46280-2024 karta.png", "A 46280-2024")</f>
        <v/>
      </c>
      <c r="X55">
        <f>HYPERLINK("https://klasma.github.io/Logging_2513/kartor_geotiff/A 46280-2024 georefererad karta.tif", "A 46280-2024")</f>
        <v/>
      </c>
      <c r="Z55">
        <f>HYPERLINK("https://klasma.github.io/Logging_2513/klagomål/A 46280-2024 FSC-klagomål.docx", "A 46280-2024")</f>
        <v/>
      </c>
      <c r="AA55">
        <f>HYPERLINK("https://klasma.github.io/Logging_2513/klagomålsmail/A 46280-2024 FSC-klagomål mail.docx", "A 46280-2024")</f>
        <v/>
      </c>
      <c r="AB55">
        <f>HYPERLINK("https://klasma.github.io/Logging_2513/tillsyn/A 46280-2024 tillsynsbegäran.docx", "A 46280-2024")</f>
        <v/>
      </c>
      <c r="AC55">
        <f>HYPERLINK("https://klasma.github.io/Logging_2513/tillsynsmail/A 46280-2024 tillsynsbegäran mail.docx", "A 46280-2024")</f>
        <v/>
      </c>
      <c r="AD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46223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Blå taggsvamp</t>
        </is>
      </c>
      <c r="V56">
        <f>HYPERLINK("https://klasma.github.io/Logging_2513/artfynd/A 46281-2024 artfynd.xlsx", "A 46281-2024")</f>
        <v/>
      </c>
      <c r="W56">
        <f>HYPERLINK("https://klasma.github.io/Logging_2513/kartor/A 46281-2024 karta.png", "A 46281-2024")</f>
        <v/>
      </c>
      <c r="X56">
        <f>HYPERLINK("https://klasma.github.io/Logging_2513/kartor_geotiff/A 46281-2024 georefererad karta.tif", "A 46281-2024")</f>
        <v/>
      </c>
      <c r="Z56">
        <f>HYPERLINK("https://klasma.github.io/Logging_2513/klagomål/A 46281-2024 FSC-klagomål.docx", "A 46281-2024")</f>
        <v/>
      </c>
      <c r="AA56">
        <f>HYPERLINK("https://klasma.github.io/Logging_2513/klagomålsmail/A 46281-2024 FSC-klagomål mail.docx", "A 46281-2024")</f>
        <v/>
      </c>
      <c r="AB56">
        <f>HYPERLINK("https://klasma.github.io/Logging_2513/tillsyn/A 46281-2024 tillsynsbegäran.docx", "A 46281-2024")</f>
        <v/>
      </c>
      <c r="AC56">
        <f>HYPERLINK("https://klasma.github.io/Logging_2513/tillsynsmail/A 46281-2024 tillsynsbegäran mail.docx", "A 46281-2024")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46223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Lunglav</t>
        </is>
      </c>
      <c r="V57">
        <f>HYPERLINK("https://klasma.github.io/Logging_2513/artfynd/A 25335-2026 artfynd.xlsx", "A 25335-2026")</f>
        <v/>
      </c>
      <c r="W57">
        <f>HYPERLINK("https://klasma.github.io/Logging_2513/kartor/A 25335-2026 karta.png", "A 25335-2026")</f>
        <v/>
      </c>
      <c r="X57">
        <f>HYPERLINK("https://klasma.github.io/Logging_2513/kartor_geotiff/A 25335-2026 georefererad karta.tif", "A 25335-2026")</f>
        <v/>
      </c>
      <c r="Z57">
        <f>HYPERLINK("https://klasma.github.io/Logging_2513/klagomål/A 25335-2026 FSC-klagomål.docx", "A 25335-2026")</f>
        <v/>
      </c>
      <c r="AA57">
        <f>HYPERLINK("https://klasma.github.io/Logging_2513/klagomålsmail/A 25335-2026 FSC-klagomål mail.docx", "A 25335-2026")</f>
        <v/>
      </c>
      <c r="AB57">
        <f>HYPERLINK("https://klasma.github.io/Logging_2513/tillsyn/A 25335-2026 tillsynsbegäran.docx", "A 25335-2026")</f>
        <v/>
      </c>
      <c r="AC57">
        <f>HYPERLINK("https://klasma.github.io/Logging_2513/tillsynsmail/A 25335-2026 tillsynsbegäran mail.docx", "A 25335-2026")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46223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s="2" t="inlineStr">
        <is>
          <t>Lunglav</t>
        </is>
      </c>
      <c r="V58">
        <f>HYPERLINK("https://klasma.github.io/Logging_2513/artfynd/S 4190-2024 artfynd.xlsx", "S 4190-2024")</f>
        <v/>
      </c>
      <c r="W58">
        <f>HYPERLINK("https://klasma.github.io/Logging_2513/kartor/S 4190-2024 karta.png", "S 4190-2024")</f>
        <v/>
      </c>
      <c r="X58">
        <f>HYPERLINK("https://klasma.github.io/Logging_2513/kartor_geotiff/S 4190-2024 georefererad karta.tif", "S 4190-2024")</f>
        <v/>
      </c>
      <c r="Z58">
        <f>HYPERLINK("https://klasma.github.io/Logging_2513/klagomål/S 4190-2024 FSC-klagomål.docx", "S 4190-2024")</f>
        <v/>
      </c>
      <c r="AA58">
        <f>HYPERLINK("https://klasma.github.io/Logging_2513/klagomålsmail/S 4190-2024 FSC-klagomål mail.docx", "S 4190-2024")</f>
        <v/>
      </c>
      <c r="AB58">
        <f>HYPERLINK("https://klasma.github.io/Logging_2513/tillsyn/S 4190-2024 tillsynsbegäran.docx", "S 4190-2024")</f>
        <v/>
      </c>
      <c r="AC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46223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Sävsparv</t>
        </is>
      </c>
      <c r="V59">
        <f>HYPERLINK("https://klasma.github.io/Logging_2513/artfynd/S 1156-2024 artfynd.xlsx", "S 1156-2024")</f>
        <v/>
      </c>
      <c r="W59">
        <f>HYPERLINK("https://klasma.github.io/Logging_2513/kartor/S 1156-2024 karta.png", "S 1156-2024")</f>
        <v/>
      </c>
      <c r="X59">
        <f>HYPERLINK("https://klasma.github.io/Logging_2513/kartor_geotiff/S 1156-2024 georefererad karta.tif", "S 1156-2024")</f>
        <v/>
      </c>
      <c r="Z59">
        <f>HYPERLINK("https://klasma.github.io/Logging_2513/klagomål/S 1156-2024 FSC-klagomål.docx", "S 1156-2024")</f>
        <v/>
      </c>
      <c r="AA59">
        <f>HYPERLINK("https://klasma.github.io/Logging_2513/klagomålsmail/S 1156-2024 FSC-klagomål mail.docx", "S 1156-2024")</f>
        <v/>
      </c>
      <c r="AB59">
        <f>HYPERLINK("https://klasma.github.io/Logging_2513/tillsyn/S 1156-2024 tillsynsbegäran.docx", "S 1156-2024")</f>
        <v/>
      </c>
      <c r="AC59">
        <f>HYPERLINK("https://klasma.github.io/Logging_2513/tillsynsmail/S 1156-2024 tillsynsbegäran mail.docx", "S 1156-2024")</f>
        <v/>
      </c>
      <c r="AD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46223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46223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46223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44718</v>
      </c>
      <c r="E63" s="1" t="n">
        <v>46223</v>
      </c>
      <c r="F63" t="inlineStr">
        <is>
          <t>NORRBOTTENS LÄN</t>
        </is>
      </c>
      <c r="G63" t="inlineStr">
        <is>
          <t>ÖVERKALIX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46223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46223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46223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46223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  <c r="Y67">
        <f>HYPERLINK("https://klasma.github.io/Logging_2513/knärot/A 29706-2022 karta knärot.png", "A 29706-2022")</f>
        <v/>
      </c>
      <c r="Z67">
        <f>HYPERLINK("https://klasma.github.io/Logging_2513/klagomål/A 29706-2022 FSC-klagomål.docx", "A 29706-2022")</f>
        <v/>
      </c>
      <c r="AA67">
        <f>HYPERLINK("https://klasma.github.io/Logging_2513/klagomålsmail/A 29706-2022 FSC-klagomål mail.docx", "A 29706-2022")</f>
        <v/>
      </c>
      <c r="AB67">
        <f>HYPERLINK("https://klasma.github.io/Logging_2513/tillsyn/A 29706-2022 tillsynsbegäran.docx", "A 29706-2022")</f>
        <v/>
      </c>
      <c r="AC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46223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46223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46223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46223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46223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46223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46223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46223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46223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46223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41541-2021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46223</v>
      </c>
      <c r="F78" t="inlineStr">
        <is>
          <t>NORRBOTTENS LÄN</t>
        </is>
      </c>
      <c r="G78" t="inlineStr">
        <is>
          <t>ÖVERKALIX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43433-2021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46223</v>
      </c>
      <c r="F79" t="inlineStr">
        <is>
          <t>NORRBOTTENS LÄN</t>
        </is>
      </c>
      <c r="G79" t="inlineStr">
        <is>
          <t>ÖVERKALIX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54220-2021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46223</v>
      </c>
      <c r="F80" t="inlineStr">
        <is>
          <t>NORRBOTTENS LÄN</t>
        </is>
      </c>
      <c r="G80" t="inlineStr">
        <is>
          <t>ÖVERKALIX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10553-2022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46223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46223</v>
      </c>
      <c r="F82" t="inlineStr">
        <is>
          <t>NORRBOTTENS LÄN</t>
        </is>
      </c>
      <c r="G82" t="inlineStr">
        <is>
          <t>ÖVERKALIX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43687-2021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46223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64304-2021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46223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69110-2021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44530</v>
      </c>
      <c r="E85" s="1" t="n">
        <v>46223</v>
      </c>
      <c r="F85" t="inlineStr">
        <is>
          <t>NORRBOTTENS LÄN</t>
        </is>
      </c>
      <c r="G85" t="inlineStr">
        <is>
          <t>ÖVERKALIX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7677-2022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46223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52027-2022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46223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46223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46223</v>
      </c>
      <c r="F89" t="inlineStr">
        <is>
          <t>NORRBOTTENS LÄN</t>
        </is>
      </c>
      <c r="G89" t="inlineStr">
        <is>
          <t>ÖVERKALIX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46223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8422-2025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46223</v>
      </c>
      <c r="F91" t="inlineStr">
        <is>
          <t>NORRBOTTENS LÄN</t>
        </is>
      </c>
      <c r="G91" t="inlineStr">
        <is>
          <t>ÖVERKALIX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19985-2025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46223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55642-2023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46223</v>
      </c>
      <c r="F93" t="inlineStr">
        <is>
          <t>NORRBOTTENS LÄN</t>
        </is>
      </c>
      <c r="G93" t="inlineStr">
        <is>
          <t>ÖVERKALIX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54025-2023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46223</v>
      </c>
      <c r="F94" t="inlineStr">
        <is>
          <t>NORRBOTTENS LÄN</t>
        </is>
      </c>
      <c r="G94" t="inlineStr">
        <is>
          <t>ÖVERKALIX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46223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19541-2024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45429</v>
      </c>
      <c r="E96" s="1" t="n">
        <v>46223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22.7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11535-2024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45372</v>
      </c>
      <c r="E97" s="1" t="n">
        <v>46223</v>
      </c>
      <c r="F97" t="inlineStr">
        <is>
          <t>NORRBOTTENS LÄN</t>
        </is>
      </c>
      <c r="G97" t="inlineStr">
        <is>
          <t>ÖVERKALIX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12580-2024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45379</v>
      </c>
      <c r="E98" s="1" t="n">
        <v>46223</v>
      </c>
      <c r="F98" t="inlineStr">
        <is>
          <t>NORRBOTTENS LÄN</t>
        </is>
      </c>
      <c r="G98" t="inlineStr">
        <is>
          <t>ÖVERKALIX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22071-2024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46223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46945-2021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44446</v>
      </c>
      <c r="E100" s="1" t="n">
        <v>46223</v>
      </c>
      <c r="F100" t="inlineStr">
        <is>
          <t>NORRBOTTENS LÄN</t>
        </is>
      </c>
      <c r="G100" t="inlineStr">
        <is>
          <t>ÖVERKALIX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25510-2024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45463</v>
      </c>
      <c r="E101" s="1" t="n">
        <v>46223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46223</v>
      </c>
      <c r="F102" t="inlineStr">
        <is>
          <t>NORRBOTTENS LÄN</t>
        </is>
      </c>
      <c r="G102" t="inlineStr">
        <is>
          <t>ÖVERKALIX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29961-2023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46223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23302-2023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45075</v>
      </c>
      <c r="E104" s="1" t="n">
        <v>46223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35169-2022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44797</v>
      </c>
      <c r="E105" s="1" t="n">
        <v>46223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72809-2021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46223</v>
      </c>
      <c r="F106" t="inlineStr">
        <is>
          <t>NORRBOTTENS LÄN</t>
        </is>
      </c>
      <c r="G106" t="inlineStr">
        <is>
          <t>ÖVERKALIX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25692-2024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46223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72623-2021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46223</v>
      </c>
      <c r="F108" t="inlineStr">
        <is>
          <t>NORRBOTTENS LÄN</t>
        </is>
      </c>
      <c r="G108" t="inlineStr">
        <is>
          <t>ÖVERKALIX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57966-2023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45244</v>
      </c>
      <c r="E109" s="1" t="n">
        <v>46223</v>
      </c>
      <c r="F109" t="inlineStr">
        <is>
          <t>NORRBOTTENS LÄN</t>
        </is>
      </c>
      <c r="G109" t="inlineStr">
        <is>
          <t>ÖVERKALIX</t>
        </is>
      </c>
      <c r="I109" t="n">
        <v>21.7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46223</v>
      </c>
      <c r="F110" t="inlineStr">
        <is>
          <t>NORRBOTTENS LÄN</t>
        </is>
      </c>
      <c r="G110" t="inlineStr">
        <is>
          <t>ÖVERKALIX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46223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SCA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19259-2024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45428</v>
      </c>
      <c r="E112" s="1" t="n">
        <v>46223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20580-2024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45436</v>
      </c>
      <c r="E113" s="1" t="n">
        <v>46223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44899</v>
      </c>
      <c r="E114" s="1" t="n">
        <v>46223</v>
      </c>
      <c r="F114" t="inlineStr">
        <is>
          <t>NORRBOTTENS LÄN</t>
        </is>
      </c>
      <c r="G114" t="inlineStr">
        <is>
          <t>ÖVERKALIX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24549-2024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46223</v>
      </c>
      <c r="F115" t="inlineStr">
        <is>
          <t>NORRBOTTENS LÄN</t>
        </is>
      </c>
      <c r="G115" t="inlineStr">
        <is>
          <t>ÖVERKALIX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15491-2025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46223</v>
      </c>
      <c r="F116" t="inlineStr">
        <is>
          <t>NORRBOTTENS LÄN</t>
        </is>
      </c>
      <c r="G116" t="inlineStr">
        <is>
          <t>ÖVERKALIX</t>
        </is>
      </c>
      <c r="I116" t="n">
        <v>10.4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37085-2024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46223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46223</v>
      </c>
      <c r="F118" t="inlineStr">
        <is>
          <t>NORRBOTTENS LÄN</t>
        </is>
      </c>
      <c r="G118" t="inlineStr">
        <is>
          <t>ÖVERKALIX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26666-2025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46223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17.5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46223</v>
      </c>
      <c r="F120" t="inlineStr">
        <is>
          <t>NORRBOTTENS LÄN</t>
        </is>
      </c>
      <c r="G120" t="inlineStr">
        <is>
          <t>ÖVERKALIX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45712</v>
      </c>
      <c r="E121" s="1" t="n">
        <v>46223</v>
      </c>
      <c r="F121" t="inlineStr">
        <is>
          <t>NORRBOTTENS LÄN</t>
        </is>
      </c>
      <c r="G121" t="inlineStr">
        <is>
          <t>ÖVERKALIX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44306-2021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44435</v>
      </c>
      <c r="E122" s="1" t="n">
        <v>46223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45518</v>
      </c>
      <c r="E123" s="1" t="n">
        <v>46223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45518</v>
      </c>
      <c r="E124" s="1" t="n">
        <v>46223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26945-2025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46223</v>
      </c>
      <c r="F125" t="inlineStr">
        <is>
          <t>NORRBOTTENS LÄN</t>
        </is>
      </c>
      <c r="G125" t="inlineStr">
        <is>
          <t>ÖVERKALIX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26944-2025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46223</v>
      </c>
      <c r="F126" t="inlineStr">
        <is>
          <t>NORRBOTTENS LÄN</t>
        </is>
      </c>
      <c r="G126" t="inlineStr">
        <is>
          <t>ÖVERKALIX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46223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27613-2025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46223</v>
      </c>
      <c r="F128" t="inlineStr">
        <is>
          <t>NORRBOTTENS LÄN</t>
        </is>
      </c>
      <c r="G128" t="inlineStr">
        <is>
          <t>ÖVERKALIX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46223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27456-2025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46223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27455-2025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46223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46223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27461-2025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46223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32615-2024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46223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9.800000000000001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28926-2025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46223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28402-2025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46223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46223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46223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28400-2025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46223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46223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29150-2025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46223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46223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29147-2025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46223</v>
      </c>
      <c r="F143" t="inlineStr">
        <is>
          <t>NORRBOTTENS LÄN</t>
        </is>
      </c>
      <c r="G143" t="inlineStr">
        <is>
          <t>ÖVERKALIX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7448-2023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46223</v>
      </c>
      <c r="F144" t="inlineStr">
        <is>
          <t>NORRBOTTENS LÄN</t>
        </is>
      </c>
      <c r="G144" t="inlineStr">
        <is>
          <t>ÖVERKALIX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29213-2025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46223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39658-2025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46223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13.4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26449-2025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45807</v>
      </c>
      <c r="E147" s="1" t="n">
        <v>46223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46223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24.4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46223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30099-2025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46223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46223</v>
      </c>
      <c r="F151" t="inlineStr">
        <is>
          <t>NORRBOTTENS LÄN</t>
        </is>
      </c>
      <c r="G151" t="inlineStr">
        <is>
          <t>ÖVERKALIX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29532-2025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46223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26535-2025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46223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37.4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44950</v>
      </c>
      <c r="E154" s="1" t="n">
        <v>46223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46223</v>
      </c>
      <c r="F155" t="inlineStr">
        <is>
          <t>NORRBOTTENS LÄN</t>
        </is>
      </c>
      <c r="G155" t="inlineStr">
        <is>
          <t>ÖVERKALIX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30776-2025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46223</v>
      </c>
      <c r="F156" t="inlineStr">
        <is>
          <t>NORRBOTTENS LÄN</t>
        </is>
      </c>
      <c r="G156" t="inlineStr">
        <is>
          <t>ÖVERKALIX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11329-2024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46223</v>
      </c>
      <c r="F157" t="inlineStr">
        <is>
          <t>NORRBOTTENS LÄN</t>
        </is>
      </c>
      <c r="G157" t="inlineStr">
        <is>
          <t>ÖVERKALIX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47735-2024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46223</v>
      </c>
      <c r="F158" t="inlineStr">
        <is>
          <t>NORRBOTTENS LÄN</t>
        </is>
      </c>
      <c r="G158" t="inlineStr">
        <is>
          <t>ÖVERKALIX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31640-2025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46223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42486-2025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46223</v>
      </c>
      <c r="F160" t="inlineStr">
        <is>
          <t>NORRBOTTENS LÄN</t>
        </is>
      </c>
      <c r="G160" t="inlineStr">
        <is>
          <t>ÖVERKALIX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42282-2025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46223</v>
      </c>
      <c r="F161" t="inlineStr">
        <is>
          <t>NORRBOTTENS LÄN</t>
        </is>
      </c>
      <c r="G161" t="inlineStr">
        <is>
          <t>ÖVERKALIX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31744-2025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45834</v>
      </c>
      <c r="E162" s="1" t="n">
        <v>46223</v>
      </c>
      <c r="F162" t="inlineStr">
        <is>
          <t>NORRBOTTENS LÄN</t>
        </is>
      </c>
      <c r="G162" t="inlineStr">
        <is>
          <t>ÖVERKALIX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38940-2024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46223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30993-2025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46223</v>
      </c>
      <c r="F164" t="inlineStr">
        <is>
          <t>NORRBOTTENS LÄN</t>
        </is>
      </c>
      <c r="G164" t="inlineStr">
        <is>
          <t>ÖVERKALIX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32636-2025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46223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32067-2025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46223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28893-2025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46223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10.4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43065-2025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46223</v>
      </c>
      <c r="F168" t="inlineStr">
        <is>
          <t>NORRBOTTENS LÄN</t>
        </is>
      </c>
      <c r="G168" t="inlineStr">
        <is>
          <t>ÖVERKALIX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43066-2025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46223</v>
      </c>
      <c r="F169" t="inlineStr">
        <is>
          <t>NORRBOTTENS LÄN</t>
        </is>
      </c>
      <c r="G169" t="inlineStr">
        <is>
          <t>ÖVERKALIX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32371-2025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45837</v>
      </c>
      <c r="E170" s="1" t="n">
        <v>46223</v>
      </c>
      <c r="F170" t="inlineStr">
        <is>
          <t>NORRBOTTENS LÄN</t>
        </is>
      </c>
      <c r="G170" t="inlineStr">
        <is>
          <t>ÖVERKALIX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32535-2025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46223</v>
      </c>
      <c r="F171" t="inlineStr">
        <is>
          <t>NORRBOTTENS LÄN</t>
        </is>
      </c>
      <c r="G171" t="inlineStr">
        <is>
          <t>ÖVERKALIX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31961-2025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46223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43626-2025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46223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32370-2025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45837</v>
      </c>
      <c r="E174" s="1" t="n">
        <v>46223</v>
      </c>
      <c r="F174" t="inlineStr">
        <is>
          <t>NORRBOTTENS LÄN</t>
        </is>
      </c>
      <c r="G174" t="inlineStr">
        <is>
          <t>ÖVERKALIX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19529-2024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45429</v>
      </c>
      <c r="E175" s="1" t="n">
        <v>46223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32377-2025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46223</v>
      </c>
      <c r="F176" t="inlineStr">
        <is>
          <t>NORRBOTTENS LÄN</t>
        </is>
      </c>
      <c r="G176" t="inlineStr">
        <is>
          <t>ÖVERKALIX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32708-2025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46223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9.199999999999999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15546-2024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46223</v>
      </c>
      <c r="F178" t="inlineStr">
        <is>
          <t>NORRBOTTENS LÄN</t>
        </is>
      </c>
      <c r="G178" t="inlineStr">
        <is>
          <t>ÖVERKALIX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33266-2025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46223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33224-2025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46223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44754-2025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45917</v>
      </c>
      <c r="E181" s="1" t="n">
        <v>46223</v>
      </c>
      <c r="F181" t="inlineStr">
        <is>
          <t>NORRBOTTENS LÄN</t>
        </is>
      </c>
      <c r="G181" t="inlineStr">
        <is>
          <t>ÖVERKALIX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29960-2023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46223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34128-2025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45845</v>
      </c>
      <c r="E183" s="1" t="n">
        <v>46223</v>
      </c>
      <c r="F183" t="inlineStr">
        <is>
          <t>NORRBOTTENS LÄN</t>
        </is>
      </c>
      <c r="G183" t="inlineStr">
        <is>
          <t>ÖVERKALIX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45535-2025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45922</v>
      </c>
      <c r="E184" s="1" t="n">
        <v>46223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6355-2026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46223</v>
      </c>
      <c r="F185" t="inlineStr">
        <is>
          <t>NORRBOTTENS LÄN</t>
        </is>
      </c>
      <c r="G185" t="inlineStr">
        <is>
          <t>ÖVERKALIX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62561-2023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45268</v>
      </c>
      <c r="E186" s="1" t="n">
        <v>46223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23324-2023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46223</v>
      </c>
      <c r="F187" t="inlineStr">
        <is>
          <t>NORRBOTTENS LÄN</t>
        </is>
      </c>
      <c r="G187" t="inlineStr">
        <is>
          <t>ÖVERKALIX</t>
        </is>
      </c>
      <c r="H187" t="inlineStr">
        <is>
          <t>Övriga statliga verk och myndigheter</t>
        </is>
      </c>
      <c r="I187" t="n">
        <v>38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15153-2025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45744</v>
      </c>
      <c r="E188" s="1" t="n">
        <v>46223</v>
      </c>
      <c r="F188" t="inlineStr">
        <is>
          <t>NORRBOTTENS LÄN</t>
        </is>
      </c>
      <c r="G188" t="inlineStr">
        <is>
          <t>ÖVERKALIX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41706-2021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44424</v>
      </c>
      <c r="E189" s="1" t="n">
        <v>46223</v>
      </c>
      <c r="F189" t="inlineStr">
        <is>
          <t>NORRBOTTENS LÄN</t>
        </is>
      </c>
      <c r="G189" t="inlineStr">
        <is>
          <t>ÖVERKALIX</t>
        </is>
      </c>
      <c r="I189" t="n">
        <v>10.2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45611</v>
      </c>
      <c r="E190" s="1" t="n">
        <v>46223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25.9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55853-2024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46223</v>
      </c>
      <c r="F191" t="inlineStr">
        <is>
          <t>NORRBOTTENS LÄN</t>
        </is>
      </c>
      <c r="G191" t="inlineStr">
        <is>
          <t>ÖVERKALIX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48667-2025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46223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46223</v>
      </c>
      <c r="F193" t="inlineStr">
        <is>
          <t>NORRBOTTENS LÄN</t>
        </is>
      </c>
      <c r="G193" t="inlineStr">
        <is>
          <t>ÖVERKALIX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45870</v>
      </c>
      <c r="E194" s="1" t="n">
        <v>46223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36621-2025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46223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60463-2024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45643</v>
      </c>
      <c r="E196" s="1" t="n">
        <v>46223</v>
      </c>
      <c r="F196" t="inlineStr">
        <is>
          <t>NORRBOTTENS LÄN</t>
        </is>
      </c>
      <c r="G196" t="inlineStr">
        <is>
          <t>ÖVERKALIX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36501-2025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45869</v>
      </c>
      <c r="E197" s="1" t="n">
        <v>46223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58037-2024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46223</v>
      </c>
      <c r="F198" t="inlineStr">
        <is>
          <t>NORRBOTTENS LÄN</t>
        </is>
      </c>
      <c r="G198" t="inlineStr">
        <is>
          <t>ÖVERKALIX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36715-2025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45873</v>
      </c>
      <c r="E199" s="1" t="n">
        <v>46223</v>
      </c>
      <c r="F199" t="inlineStr">
        <is>
          <t>NORRBOTTENS LÄN</t>
        </is>
      </c>
      <c r="G199" t="inlineStr">
        <is>
          <t>ÖVERKALIX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49756-2025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45940</v>
      </c>
      <c r="E200" s="1" t="n">
        <v>46223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11919-2023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44993</v>
      </c>
      <c r="E201" s="1" t="n">
        <v>46223</v>
      </c>
      <c r="F201" t="inlineStr">
        <is>
          <t>NORRBOTTENS LÄN</t>
        </is>
      </c>
      <c r="G201" t="inlineStr">
        <is>
          <t>ÖVERKALIX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44952-2024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46223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51561-2024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45604</v>
      </c>
      <c r="E203" s="1" t="n">
        <v>46223</v>
      </c>
      <c r="F203" t="inlineStr">
        <is>
          <t>NORRBOTTENS LÄN</t>
        </is>
      </c>
      <c r="G203" t="inlineStr">
        <is>
          <t>ÖVERKALIX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52976-2024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45611</v>
      </c>
      <c r="E204" s="1" t="n">
        <v>46223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50053-2025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46223</v>
      </c>
      <c r="F205" t="inlineStr">
        <is>
          <t>NORRBOTTENS LÄN</t>
        </is>
      </c>
      <c r="G205" t="inlineStr">
        <is>
          <t>ÖVERKALIX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7488-2026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46223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38026-2025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46223</v>
      </c>
      <c r="F207" t="inlineStr">
        <is>
          <t>NORRBOTTENS LÄN</t>
        </is>
      </c>
      <c r="G207" t="inlineStr">
        <is>
          <t>ÖVERKALIX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38152-2025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46223</v>
      </c>
      <c r="F208" t="inlineStr">
        <is>
          <t>NORRBOTTENS LÄN</t>
        </is>
      </c>
      <c r="G208" t="inlineStr">
        <is>
          <t>ÖVERKALIX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38081-2025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46223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13.4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38191-2025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46223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6453-2025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46223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18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7487-2026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46223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50720-2025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46223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51424-2025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46223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51425-2025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45950</v>
      </c>
      <c r="E215" s="1" t="n">
        <v>46223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50983-2025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45947</v>
      </c>
      <c r="E216" s="1" t="n">
        <v>46223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46223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51257-2025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45949</v>
      </c>
      <c r="E218" s="1" t="n">
        <v>46223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51634-2025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45951</v>
      </c>
      <c r="E219" s="1" t="n">
        <v>46223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51656-2025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46223</v>
      </c>
      <c r="F220" t="inlineStr">
        <is>
          <t>NORRBOTTENS LÄN</t>
        </is>
      </c>
      <c r="G220" t="inlineStr">
        <is>
          <t>ÖVERKALIX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6454-2025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46223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28.8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52591-2025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45954</v>
      </c>
      <c r="E222" s="1" t="n">
        <v>46223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53091-2025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45958</v>
      </c>
      <c r="E223" s="1" t="n">
        <v>46223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53093-2025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46223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26140-2023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45086</v>
      </c>
      <c r="E225" s="1" t="n">
        <v>46223</v>
      </c>
      <c r="F225" t="inlineStr">
        <is>
          <t>NORRBOTTENS LÄN</t>
        </is>
      </c>
      <c r="G225" t="inlineStr">
        <is>
          <t>ÖVERKALIX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52973-2025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46223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54118-2025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46223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60417-2024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46223</v>
      </c>
      <c r="F228" t="inlineStr">
        <is>
          <t>NORRBOTTENS LÄN</t>
        </is>
      </c>
      <c r="G228" t="inlineStr">
        <is>
          <t>ÖVERKALIX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10293-2026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46223</v>
      </c>
      <c r="F229" t="inlineStr">
        <is>
          <t>NORRBOTTENS LÄN</t>
        </is>
      </c>
      <c r="G229" t="inlineStr">
        <is>
          <t>ÖVERKALIX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45689</v>
      </c>
      <c r="E230" s="1" t="n">
        <v>46223</v>
      </c>
      <c r="F230" t="inlineStr">
        <is>
          <t>NORRBOTTENS LÄN</t>
        </is>
      </c>
      <c r="G230" t="inlineStr">
        <is>
          <t>ÖVERKALIX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48577-2023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45208</v>
      </c>
      <c r="E231" s="1" t="n">
        <v>46223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10292-2026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46076</v>
      </c>
      <c r="E232" s="1" t="n">
        <v>46223</v>
      </c>
      <c r="F232" t="inlineStr">
        <is>
          <t>NORRBOTTENS LÄN</t>
        </is>
      </c>
      <c r="G232" t="inlineStr">
        <is>
          <t>ÖVERKALIX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46223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20.3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54899-2025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46223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45671</v>
      </c>
      <c r="E235" s="1" t="n">
        <v>46223</v>
      </c>
      <c r="F235" t="inlineStr">
        <is>
          <t>NORRBOTTENS LÄN</t>
        </is>
      </c>
      <c r="G235" t="inlineStr">
        <is>
          <t>ÖVERKALIX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46223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28343-2025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45818</v>
      </c>
      <c r="E237" s="1" t="n">
        <v>46223</v>
      </c>
      <c r="F237" t="inlineStr">
        <is>
          <t>NORRBOTTENS LÄN</t>
        </is>
      </c>
      <c r="G237" t="inlineStr">
        <is>
          <t>ÖVERKALIX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43673-2021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44433</v>
      </c>
      <c r="E238" s="1" t="n">
        <v>46223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11181-2026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46080</v>
      </c>
      <c r="E239" s="1" t="n">
        <v>46223</v>
      </c>
      <c r="F239" t="inlineStr">
        <is>
          <t>NORRBOTTENS LÄN</t>
        </is>
      </c>
      <c r="G239" t="inlineStr">
        <is>
          <t>ÖVERKALIX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15365-2025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45747</v>
      </c>
      <c r="E240" s="1" t="n">
        <v>46223</v>
      </c>
      <c r="F240" t="inlineStr">
        <is>
          <t>NORRBOTTENS LÄN</t>
        </is>
      </c>
      <c r="G240" t="inlineStr">
        <is>
          <t>ÖVERKALIX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11179-2026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46223</v>
      </c>
      <c r="F241" t="inlineStr">
        <is>
          <t>NORRBOTTENS LÄN</t>
        </is>
      </c>
      <c r="G241" t="inlineStr">
        <is>
          <t>ÖVERKALIX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11772-2026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46084</v>
      </c>
      <c r="E242" s="1" t="n">
        <v>46223</v>
      </c>
      <c r="F242" t="inlineStr">
        <is>
          <t>NORRBOTTENS LÄN</t>
        </is>
      </c>
      <c r="G242" t="inlineStr">
        <is>
          <t>ÖVERKALIX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11770-2026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46223</v>
      </c>
      <c r="F243" t="inlineStr">
        <is>
          <t>NORRBOTTENS LÄN</t>
        </is>
      </c>
      <c r="G243" t="inlineStr">
        <is>
          <t>ÖVERKALIX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11771-2026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46223</v>
      </c>
      <c r="F244" t="inlineStr">
        <is>
          <t>NORRBOTTENS LÄN</t>
        </is>
      </c>
      <c r="G244" t="inlineStr">
        <is>
          <t>ÖVERKALIX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11769-2026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46223</v>
      </c>
      <c r="F245" t="inlineStr">
        <is>
          <t>NORRBOTTENS LÄN</t>
        </is>
      </c>
      <c r="G245" t="inlineStr">
        <is>
          <t>ÖVERKALIX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57834-2025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45981</v>
      </c>
      <c r="E246" s="1" t="n">
        <v>46223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11685-2026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46223</v>
      </c>
      <c r="F247" t="inlineStr">
        <is>
          <t>NORRBOTTENS LÄN</t>
        </is>
      </c>
      <c r="G247" t="inlineStr">
        <is>
          <t>ÖVERKALIX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57744-2025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45981</v>
      </c>
      <c r="E248" s="1" t="n">
        <v>46223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11768-2026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46223</v>
      </c>
      <c r="F249" t="inlineStr">
        <is>
          <t>NORRBOTTENS LÄN</t>
        </is>
      </c>
      <c r="G249" t="inlineStr">
        <is>
          <t>ÖVERKALIX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12277-2026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46087</v>
      </c>
      <c r="E250" s="1" t="n">
        <v>46223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12278-2026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46087</v>
      </c>
      <c r="E251" s="1" t="n">
        <v>46223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58644-2025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45986</v>
      </c>
      <c r="E252" s="1" t="n">
        <v>46223</v>
      </c>
      <c r="F252" t="inlineStr">
        <is>
          <t>NORRBOTTENS LÄN</t>
        </is>
      </c>
      <c r="G252" t="inlineStr">
        <is>
          <t>ÖVERKALIX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45986</v>
      </c>
      <c r="E253" s="1" t="n">
        <v>46223</v>
      </c>
      <c r="F253" t="inlineStr">
        <is>
          <t>NORRBOTTENS LÄN</t>
        </is>
      </c>
      <c r="G253" t="inlineStr">
        <is>
          <t>ÖVERKALIX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58646-2025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45986</v>
      </c>
      <c r="E254" s="1" t="n">
        <v>46223</v>
      </c>
      <c r="F254" t="inlineStr">
        <is>
          <t>NORRBOTTENS LÄN</t>
        </is>
      </c>
      <c r="G254" t="inlineStr">
        <is>
          <t>ÖVERKALIX</t>
        </is>
      </c>
      <c r="I254" t="n">
        <v>16.1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59202-2025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45988</v>
      </c>
      <c r="E255" s="1" t="n">
        <v>46223</v>
      </c>
      <c r="F255" t="inlineStr">
        <is>
          <t>NORRBOTTENS LÄN</t>
        </is>
      </c>
      <c r="G255" t="inlineStr">
        <is>
          <t>ÖVERKALIX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59829-2025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46223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13.3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13058-2026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46223</v>
      </c>
      <c r="F257" t="inlineStr">
        <is>
          <t>NORRBOTTENS LÄN</t>
        </is>
      </c>
      <c r="G257" t="inlineStr">
        <is>
          <t>ÖVERKALIX</t>
        </is>
      </c>
      <c r="I257" t="n">
        <v>12.5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40281-2022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46223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44823</v>
      </c>
      <c r="E259" s="1" t="n">
        <v>46223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60171-2025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46223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60172-2025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46223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59897-2025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45993</v>
      </c>
      <c r="E262" s="1" t="n">
        <v>46223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54143-2021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44469</v>
      </c>
      <c r="E263" s="1" t="n">
        <v>46223</v>
      </c>
      <c r="F263" t="inlineStr">
        <is>
          <t>NORRBOTTENS LÄN</t>
        </is>
      </c>
      <c r="G263" t="inlineStr">
        <is>
          <t>ÖVERKALIX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56402-2022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46223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13.8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60215-2025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45994</v>
      </c>
      <c r="E265" s="1" t="n">
        <v>46223</v>
      </c>
      <c r="F265" t="inlineStr">
        <is>
          <t>NORRBOTTENS LÄN</t>
        </is>
      </c>
      <c r="G265" t="inlineStr">
        <is>
          <t>ÖVERKALIX</t>
        </is>
      </c>
      <c r="I265" t="n">
        <v>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60621-2025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45996</v>
      </c>
      <c r="E266" s="1" t="n">
        <v>46223</v>
      </c>
      <c r="F266" t="inlineStr">
        <is>
          <t>NORRBOTTENS LÄN</t>
        </is>
      </c>
      <c r="G266" t="inlineStr">
        <is>
          <t>ÖVERKALIX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60815-2025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46223</v>
      </c>
      <c r="F267" t="inlineStr">
        <is>
          <t>NORRBOTTENS LÄN</t>
        </is>
      </c>
      <c r="G267" t="inlineStr">
        <is>
          <t>ÖVERKALIX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60834-2025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46223</v>
      </c>
      <c r="F268" t="inlineStr">
        <is>
          <t>NORRBOTTENS LÄN</t>
        </is>
      </c>
      <c r="G268" t="inlineStr">
        <is>
          <t>ÖVERKALIX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60890-2025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46223</v>
      </c>
      <c r="F269" t="inlineStr">
        <is>
          <t>NORRBOTTENS LÄN</t>
        </is>
      </c>
      <c r="G269" t="inlineStr">
        <is>
          <t>ÖVERKALIX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60909-2025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46223</v>
      </c>
      <c r="F270" t="inlineStr">
        <is>
          <t>NORRBOTTENS LÄN</t>
        </is>
      </c>
      <c r="G270" t="inlineStr">
        <is>
          <t>ÖVERKALIX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60809-2025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46223</v>
      </c>
      <c r="F271" t="inlineStr">
        <is>
          <t>NORRBOTTENS LÄN</t>
        </is>
      </c>
      <c r="G271" t="inlineStr">
        <is>
          <t>ÖVERKALIX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61406-2025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46223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49473-2023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45205</v>
      </c>
      <c r="E273" s="1" t="n">
        <v>46223</v>
      </c>
      <c r="F273" t="inlineStr">
        <is>
          <t>NORRBOTTENS LÄN</t>
        </is>
      </c>
      <c r="G273" t="inlineStr">
        <is>
          <t>ÖVERKALIX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61706-2025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46002</v>
      </c>
      <c r="E274" s="1" t="n">
        <v>46223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45315</v>
      </c>
      <c r="E275" s="1" t="n">
        <v>46223</v>
      </c>
      <c r="F275" t="inlineStr">
        <is>
          <t>NORRBOTTENS LÄN</t>
        </is>
      </c>
      <c r="G275" t="inlineStr">
        <is>
          <t>ÖVERKALIX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42119-2024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46223</v>
      </c>
      <c r="F276" t="inlineStr">
        <is>
          <t>NORRBOTTENS LÄN</t>
        </is>
      </c>
      <c r="G276" t="inlineStr">
        <is>
          <t>ÖVERKALIX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26450-2025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45807</v>
      </c>
      <c r="E277" s="1" t="n">
        <v>46223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63242-2025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46223</v>
      </c>
      <c r="F278" t="inlineStr">
        <is>
          <t>NORRBOTTENS LÄN</t>
        </is>
      </c>
      <c r="G278" t="inlineStr">
        <is>
          <t>ÖVERKALIX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46223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63023-2025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46223</v>
      </c>
      <c r="F280" t="inlineStr">
        <is>
          <t>NORRBOTTENS LÄN</t>
        </is>
      </c>
      <c r="G280" t="inlineStr">
        <is>
          <t>ÖVERKALIX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63088-2025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46009</v>
      </c>
      <c r="E281" s="1" t="n">
        <v>46223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63451-2025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46223</v>
      </c>
      <c r="F282" t="inlineStr">
        <is>
          <t>NORRBOTTENS LÄN</t>
        </is>
      </c>
      <c r="G282" t="inlineStr">
        <is>
          <t>ÖVERKALIX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63454-2025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46223</v>
      </c>
      <c r="F283" t="inlineStr">
        <is>
          <t>NORRBOTTENS LÄN</t>
        </is>
      </c>
      <c r="G283" t="inlineStr">
        <is>
          <t>ÖVERKALIX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63545-2025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46223</v>
      </c>
      <c r="F284" t="inlineStr">
        <is>
          <t>NORRBOTTENS LÄN</t>
        </is>
      </c>
      <c r="G284" t="inlineStr">
        <is>
          <t>ÖVERKALIX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15011-2026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46223</v>
      </c>
      <c r="F285" t="inlineStr">
        <is>
          <t>NORRBOTTENS LÄN</t>
        </is>
      </c>
      <c r="G285" t="inlineStr">
        <is>
          <t>ÖVERKALIX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15358-2026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46223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22.8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6591-2023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46223</v>
      </c>
      <c r="F287" t="inlineStr">
        <is>
          <t>NORRBOTTENS LÄN</t>
        </is>
      </c>
      <c r="G287" t="inlineStr">
        <is>
          <t>ÖVERKALIX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46223</v>
      </c>
      <c r="F288" t="inlineStr">
        <is>
          <t>NORRBOTTENS LÄN</t>
        </is>
      </c>
      <c r="G288" t="inlineStr">
        <is>
          <t>ÖVERKALIX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46223</v>
      </c>
      <c r="F289" t="inlineStr">
        <is>
          <t>NORRBOTTENS LÄN</t>
        </is>
      </c>
      <c r="G289" t="inlineStr">
        <is>
          <t>ÖVERKALIX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46223</v>
      </c>
      <c r="F290" t="inlineStr">
        <is>
          <t>NORRBOTTENS LÄN</t>
        </is>
      </c>
      <c r="G290" t="inlineStr">
        <is>
          <t>ÖVERKALIX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46223</v>
      </c>
      <c r="F291" t="inlineStr">
        <is>
          <t>NORRBOTTENS LÄN</t>
        </is>
      </c>
      <c r="G291" t="inlineStr">
        <is>
          <t>ÖVERKALIX</t>
        </is>
      </c>
      <c r="I291" t="n">
        <v>10.1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73216-2021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44547</v>
      </c>
      <c r="E292" s="1" t="n">
        <v>46223</v>
      </c>
      <c r="F292" t="inlineStr">
        <is>
          <t>NORRBOTTENS LÄN</t>
        </is>
      </c>
      <c r="G292" t="inlineStr">
        <is>
          <t>ÖVERKALIX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45767-2023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46223</v>
      </c>
      <c r="F293" t="inlineStr">
        <is>
          <t>NORRBOTTENS LÄN</t>
        </is>
      </c>
      <c r="G293" t="inlineStr">
        <is>
          <t>ÖVERKALIX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33761-2024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45520</v>
      </c>
      <c r="E294" s="1" t="n">
        <v>46223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12591-2024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46223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16794-2026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46113</v>
      </c>
      <c r="E296" s="1" t="n">
        <v>46223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46223</v>
      </c>
      <c r="F297" t="inlineStr">
        <is>
          <t>NORRBOTTENS LÄN</t>
        </is>
      </c>
      <c r="G297" t="inlineStr">
        <is>
          <t>ÖVERKALIX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16487-2026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46112</v>
      </c>
      <c r="E298" s="1" t="n">
        <v>46223</v>
      </c>
      <c r="F298" t="inlineStr">
        <is>
          <t>NORRBOTTENS LÄN</t>
        </is>
      </c>
      <c r="G298" t="inlineStr">
        <is>
          <t>ÖVERKALIX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26366-2024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46223</v>
      </c>
      <c r="F299" t="inlineStr">
        <is>
          <t>NORRBOTTENS LÄN</t>
        </is>
      </c>
      <c r="G299" t="inlineStr">
        <is>
          <t>ÖVERKALIX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17690-2026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46223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15854-2024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46223</v>
      </c>
      <c r="F301" t="inlineStr">
        <is>
          <t>NORRBOTTENS LÄN</t>
        </is>
      </c>
      <c r="G301" t="inlineStr">
        <is>
          <t>ÖVERKALIX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46223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17469-2026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46223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24548-2024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46223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19531-2024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45429</v>
      </c>
      <c r="E305" s="1" t="n">
        <v>46223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14255-2023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45009</v>
      </c>
      <c r="E306" s="1" t="n">
        <v>46223</v>
      </c>
      <c r="F306" t="inlineStr">
        <is>
          <t>NORRBOTTENS LÄN</t>
        </is>
      </c>
      <c r="G306" t="inlineStr">
        <is>
          <t>ÖVERKALIX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18522-2026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46127</v>
      </c>
      <c r="E307" s="1" t="n">
        <v>46223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18523-2026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46223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33865-2023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45133</v>
      </c>
      <c r="E309" s="1" t="n">
        <v>46223</v>
      </c>
      <c r="F309" t="inlineStr">
        <is>
          <t>NORRBOTTENS LÄN</t>
        </is>
      </c>
      <c r="G309" t="inlineStr">
        <is>
          <t>ÖVERKALIX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19984-2025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45771</v>
      </c>
      <c r="E310" s="1" t="n">
        <v>46223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10.5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19107-2026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46223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47734-2024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45588</v>
      </c>
      <c r="E312" s="1" t="n">
        <v>46223</v>
      </c>
      <c r="F312" t="inlineStr">
        <is>
          <t>NORRBOTTENS LÄN</t>
        </is>
      </c>
      <c r="G312" t="inlineStr">
        <is>
          <t>ÖVERKALIX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19410-2026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46223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37429-2024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45540</v>
      </c>
      <c r="E314" s="1" t="n">
        <v>46223</v>
      </c>
      <c r="F314" t="inlineStr">
        <is>
          <t>NORRBOTTENS LÄN</t>
        </is>
      </c>
      <c r="G314" t="inlineStr">
        <is>
          <t>ÖVERKALIX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19375-2026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46133</v>
      </c>
      <c r="E315" s="1" t="n">
        <v>46223</v>
      </c>
      <c r="F315" t="inlineStr">
        <is>
          <t>NORRBOTTENS LÄN</t>
        </is>
      </c>
      <c r="G315" t="inlineStr">
        <is>
          <t>ÖVERKALIX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22470-2023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46223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34911-2023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45141</v>
      </c>
      <c r="E317" s="1" t="n">
        <v>46223</v>
      </c>
      <c r="F317" t="inlineStr">
        <is>
          <t>NORRBOTTENS LÄN</t>
        </is>
      </c>
      <c r="G317" t="inlineStr">
        <is>
          <t>ÖVERKALIX</t>
        </is>
      </c>
      <c r="I317" t="n">
        <v>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19616-2026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46223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19805-2026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46223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9.199999999999999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72364-2021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44543</v>
      </c>
      <c r="E320" s="1" t="n">
        <v>46223</v>
      </c>
      <c r="F320" t="inlineStr">
        <is>
          <t>NORRBOTTENS LÄN</t>
        </is>
      </c>
      <c r="G320" t="inlineStr">
        <is>
          <t>ÖVERKALIX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5653-2022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44595</v>
      </c>
      <c r="E321" s="1" t="n">
        <v>46223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19858-2026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46135</v>
      </c>
      <c r="E322" s="1" t="n">
        <v>46223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32477-2024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45513</v>
      </c>
      <c r="E323" s="1" t="n">
        <v>46223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55857-2024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45622</v>
      </c>
      <c r="E324" s="1" t="n">
        <v>46223</v>
      </c>
      <c r="F324" t="inlineStr">
        <is>
          <t>NORRBOTTENS LÄN</t>
        </is>
      </c>
      <c r="G324" t="inlineStr">
        <is>
          <t>ÖVERKALIX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7039-2022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46223</v>
      </c>
      <c r="F325" t="inlineStr">
        <is>
          <t>NORRBOTTENS LÄN</t>
        </is>
      </c>
      <c r="G325" t="inlineStr">
        <is>
          <t>ÖVERKALIX</t>
        </is>
      </c>
      <c r="H325" t="inlineStr">
        <is>
          <t>Övriga statliga verk och myndigheter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45321</v>
      </c>
      <c r="E326" s="1" t="n">
        <v>46223</v>
      </c>
      <c r="F326" t="inlineStr">
        <is>
          <t>NORRBOTTENS LÄN</t>
        </is>
      </c>
      <c r="G326" t="inlineStr">
        <is>
          <t>ÖVERKALIX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43042-2025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45909</v>
      </c>
      <c r="E327" s="1" t="n">
        <v>46223</v>
      </c>
      <c r="F327" t="inlineStr">
        <is>
          <t>NORRBOTTENS LÄN</t>
        </is>
      </c>
      <c r="G327" t="inlineStr">
        <is>
          <t>ÖVERKALIX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21299-2024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45440</v>
      </c>
      <c r="E328" s="1" t="n">
        <v>46223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45677</v>
      </c>
      <c r="E329" s="1" t="n">
        <v>46223</v>
      </c>
      <c r="F329" t="inlineStr">
        <is>
          <t>NORRBOTTENS LÄN</t>
        </is>
      </c>
      <c r="G329" t="inlineStr">
        <is>
          <t>ÖVERKALIX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44554-2023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46223</v>
      </c>
      <c r="F330" t="inlineStr">
        <is>
          <t>NORRBOTTENS LÄN</t>
        </is>
      </c>
      <c r="G330" t="inlineStr">
        <is>
          <t>ÖVERKALIX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27681-2023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46223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25965-2026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46223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45748-2023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46223</v>
      </c>
      <c r="F333" t="inlineStr">
        <is>
          <t>NORRBOTTENS LÄN</t>
        </is>
      </c>
      <c r="G333" t="inlineStr">
        <is>
          <t>ÖVERKALIX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55838-2024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45622</v>
      </c>
      <c r="E334" s="1" t="n">
        <v>46223</v>
      </c>
      <c r="F334" t="inlineStr">
        <is>
          <t>NORRBOTTENS LÄN</t>
        </is>
      </c>
      <c r="G334" t="inlineStr">
        <is>
          <t>ÖVERKALIX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55857-2024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45622</v>
      </c>
      <c r="E335" s="1" t="n">
        <v>46223</v>
      </c>
      <c r="F335" t="inlineStr">
        <is>
          <t>NORRBOTTENS LÄN</t>
        </is>
      </c>
      <c r="G335" t="inlineStr">
        <is>
          <t>ÖVERKALIX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15301-2022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46223</v>
      </c>
      <c r="F336" t="inlineStr">
        <is>
          <t>NORRBOTTENS LÄN</t>
        </is>
      </c>
      <c r="G336" t="inlineStr">
        <is>
          <t>ÖVERKALIX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28208-2025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46223</v>
      </c>
      <c r="F337" t="inlineStr">
        <is>
          <t>NORRBOTTENS LÄN</t>
        </is>
      </c>
      <c r="G337" t="inlineStr">
        <is>
          <t>ÖVERKALIX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9458-2025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45715</v>
      </c>
      <c r="E338" s="1" t="n">
        <v>46223</v>
      </c>
      <c r="F338" t="inlineStr">
        <is>
          <t>NORRBOTTENS LÄN</t>
        </is>
      </c>
      <c r="G338" t="inlineStr">
        <is>
          <t>ÖVERKALIX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55227-2024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45621</v>
      </c>
      <c r="E339" s="1" t="n">
        <v>46223</v>
      </c>
      <c r="F339" t="inlineStr">
        <is>
          <t>NORRBOTTENS LÄN</t>
        </is>
      </c>
      <c r="G339" t="inlineStr">
        <is>
          <t>ÖVERKALIX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41830-2024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45561</v>
      </c>
      <c r="E340" s="1" t="n">
        <v>46223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8417-2025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46223</v>
      </c>
      <c r="F341" t="inlineStr">
        <is>
          <t>NORRBOTTENS LÄN</t>
        </is>
      </c>
      <c r="G341" t="inlineStr">
        <is>
          <t>ÖVERKALIX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13717-2022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44648</v>
      </c>
      <c r="E342" s="1" t="n">
        <v>46223</v>
      </c>
      <c r="F342" t="inlineStr">
        <is>
          <t>NORRBOTTENS LÄN</t>
        </is>
      </c>
      <c r="G342" t="inlineStr">
        <is>
          <t>ÖVERKALIX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45693</v>
      </c>
      <c r="E343" s="1" t="n">
        <v>46223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20171-2026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46139</v>
      </c>
      <c r="E344" s="1" t="n">
        <v>46223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20505-2026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46223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25970-2026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46223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7231-2025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45702</v>
      </c>
      <c r="E347" s="1" t="n">
        <v>46223</v>
      </c>
      <c r="F347" t="inlineStr">
        <is>
          <t>NORRBOTTENS LÄN</t>
        </is>
      </c>
      <c r="G347" t="inlineStr">
        <is>
          <t>ÖVERKALIX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58764-2023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45251</v>
      </c>
      <c r="E348" s="1" t="n">
        <v>46223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26426-2026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46223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26427-2026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46223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17.7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25506-2024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45463</v>
      </c>
      <c r="E351" s="1" t="n">
        <v>46223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46223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42721-2023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45181</v>
      </c>
      <c r="E353" s="1" t="n">
        <v>46223</v>
      </c>
      <c r="F353" t="inlineStr">
        <is>
          <t>NORRBOTTENS LÄN</t>
        </is>
      </c>
      <c r="G353" t="inlineStr">
        <is>
          <t>ÖVERKALIX</t>
        </is>
      </c>
      <c r="I353" t="n">
        <v>13.1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20949-2026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46223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26429-2026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46183</v>
      </c>
      <c r="E355" s="1" t="n">
        <v>46223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64524-2023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45281</v>
      </c>
      <c r="E356" s="1" t="n">
        <v>46223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27087-2026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46187</v>
      </c>
      <c r="E357" s="1" t="n">
        <v>46223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21419-2026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46148</v>
      </c>
      <c r="E358" s="1" t="n">
        <v>46223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21423-2026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46148</v>
      </c>
      <c r="E359" s="1" t="n">
        <v>46223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21424-2026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46148</v>
      </c>
      <c r="E360" s="1" t="n">
        <v>46223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21425-2026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46148</v>
      </c>
      <c r="E361" s="1" t="n">
        <v>46223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21411-2026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46148</v>
      </c>
      <c r="E362" s="1" t="n">
        <v>46223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21417-2026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46148</v>
      </c>
      <c r="E363" s="1" t="n">
        <v>46223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21427-2026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46148</v>
      </c>
      <c r="E364" s="1" t="n">
        <v>46223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21422-2026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46223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11.5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21429-2026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46223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18.8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27681-2026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46190</v>
      </c>
      <c r="E367" s="1" t="n">
        <v>46223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4830-2026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46223</v>
      </c>
      <c r="F368" t="inlineStr">
        <is>
          <t>NORRBOTTENS LÄN</t>
        </is>
      </c>
      <c r="G368" t="inlineStr">
        <is>
          <t>ÖVERKALIX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46223</v>
      </c>
      <c r="F369" t="inlineStr">
        <is>
          <t>NORRBOTTENS LÄN</t>
        </is>
      </c>
      <c r="G369" t="inlineStr">
        <is>
          <t>ÖVERKALIX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26554-2023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45092</v>
      </c>
      <c r="E370" s="1" t="n">
        <v>46223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1944-2022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44575</v>
      </c>
      <c r="E371" s="1" t="n">
        <v>46223</v>
      </c>
      <c r="F371" t="inlineStr">
        <is>
          <t>NORRBOTTENS LÄN</t>
        </is>
      </c>
      <c r="G371" t="inlineStr">
        <is>
          <t>ÖVERKALIX</t>
        </is>
      </c>
      <c r="I371" t="n">
        <v>10.4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45693</v>
      </c>
      <c r="E372" s="1" t="n">
        <v>46223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58038-2024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45631</v>
      </c>
      <c r="E373" s="1" t="n">
        <v>46223</v>
      </c>
      <c r="F373" t="inlineStr">
        <is>
          <t>NORRBOTTENS LÄN</t>
        </is>
      </c>
      <c r="G373" t="inlineStr">
        <is>
          <t>ÖVERKALIX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22163-2026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46223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23.2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38975-2024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45548</v>
      </c>
      <c r="E375" s="1" t="n">
        <v>46223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54026-2023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45231</v>
      </c>
      <c r="E376" s="1" t="n">
        <v>46223</v>
      </c>
      <c r="F376" t="inlineStr">
        <is>
          <t>NORRBOTTENS LÄN</t>
        </is>
      </c>
      <c r="G376" t="inlineStr">
        <is>
          <t>ÖVERKALIX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28038-2026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46223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72212-2021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44543</v>
      </c>
      <c r="E378" s="1" t="n">
        <v>46223</v>
      </c>
      <c r="F378" t="inlineStr">
        <is>
          <t>NORRBOTTENS LÄN</t>
        </is>
      </c>
      <c r="G378" t="inlineStr">
        <is>
          <t>ÖVERKALIX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48221-2025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46223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28210-2026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46196</v>
      </c>
      <c r="E380" s="1" t="n">
        <v>46223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27054-2024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45471</v>
      </c>
      <c r="E381" s="1" t="n">
        <v>46223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27057-2024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45471</v>
      </c>
      <c r="E382" s="1" t="n">
        <v>46223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32.6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28641-2026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46223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53732-2022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44880</v>
      </c>
      <c r="E384" s="1" t="n">
        <v>46223</v>
      </c>
      <c r="F384" t="inlineStr">
        <is>
          <t>NORRBOTTENS LÄN</t>
        </is>
      </c>
      <c r="G384" t="inlineStr">
        <is>
          <t>ÖVERKALIX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28644-2026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46223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42407-2022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44830</v>
      </c>
      <c r="E386" s="1" t="n">
        <v>46223</v>
      </c>
      <c r="F386" t="inlineStr">
        <is>
          <t>NORRBOTTENS LÄN</t>
        </is>
      </c>
      <c r="G386" t="inlineStr">
        <is>
          <t>ÖVERKALIX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44960</v>
      </c>
      <c r="E387" s="1" t="n">
        <v>46223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22945-2026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46160</v>
      </c>
      <c r="E388" s="1" t="n">
        <v>46223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25698-2024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46223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22955-2026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46160</v>
      </c>
      <c r="E390" s="1" t="n">
        <v>46223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40329-2023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46223</v>
      </c>
      <c r="F391" t="inlineStr">
        <is>
          <t>NORRBOTTENS LÄN</t>
        </is>
      </c>
      <c r="G391" t="inlineStr">
        <is>
          <t>ÖVERKALIX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46223</v>
      </c>
      <c r="F392" t="inlineStr">
        <is>
          <t>NORRBOTTENS LÄN</t>
        </is>
      </c>
      <c r="G392" t="inlineStr">
        <is>
          <t>ÖVERKALIX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28925-2026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46223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22742-2026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46223</v>
      </c>
      <c r="F394" t="inlineStr">
        <is>
          <t>NORRBOTTENS LÄN</t>
        </is>
      </c>
      <c r="G394" t="inlineStr">
        <is>
          <t>ÖVERKALIX</t>
        </is>
      </c>
      <c r="I394" t="n">
        <v>10.6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46223</v>
      </c>
      <c r="F395" t="inlineStr">
        <is>
          <t>NORRBOTTENS LÄN</t>
        </is>
      </c>
      <c r="G395" t="inlineStr">
        <is>
          <t>ÖVERKALIX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23353-2026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46223</v>
      </c>
      <c r="F396" t="inlineStr">
        <is>
          <t>NORRBOTTENS LÄN</t>
        </is>
      </c>
      <c r="G396" t="inlineStr">
        <is>
          <t>ÖVERKALIX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23360-2026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46223</v>
      </c>
      <c r="F397" t="inlineStr">
        <is>
          <t>NORRBOTTENS LÄN</t>
        </is>
      </c>
      <c r="G397" t="inlineStr">
        <is>
          <t>ÖVERKALIX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23362-2026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46223</v>
      </c>
      <c r="F398" t="inlineStr">
        <is>
          <t>NORRBOTTENS LÄN</t>
        </is>
      </c>
      <c r="G398" t="inlineStr">
        <is>
          <t>ÖVERKALIX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9849-2024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45363</v>
      </c>
      <c r="E399" s="1" t="n">
        <v>46223</v>
      </c>
      <c r="F399" t="inlineStr">
        <is>
          <t>NORRBOTTENS LÄN</t>
        </is>
      </c>
      <c r="G399" t="inlineStr">
        <is>
          <t>ÖVERKALIX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51058-2024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46223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43314-2022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44834</v>
      </c>
      <c r="E401" s="1" t="n">
        <v>46223</v>
      </c>
      <c r="F401" t="inlineStr">
        <is>
          <t>NORRBOTTENS LÄN</t>
        </is>
      </c>
      <c r="G401" t="inlineStr">
        <is>
          <t>ÖVERKALIX</t>
        </is>
      </c>
      <c r="I401" t="n">
        <v>13.1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30881-2024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45498</v>
      </c>
      <c r="E402" s="1" t="n">
        <v>46223</v>
      </c>
      <c r="F402" t="inlineStr">
        <is>
          <t>NORRBOTTENS LÄN</t>
        </is>
      </c>
      <c r="G402" t="inlineStr">
        <is>
          <t>ÖVERKALIX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23364-2026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46223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17.6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46223</v>
      </c>
      <c r="F404" t="inlineStr">
        <is>
          <t>NORRBOTTENS LÄN</t>
        </is>
      </c>
      <c r="G404" t="inlineStr">
        <is>
          <t>ÖVERKALIX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30019-2026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46206</v>
      </c>
      <c r="E405" s="1" t="n">
        <v>46223</v>
      </c>
      <c r="F405" t="inlineStr">
        <is>
          <t>NORRBOTTENS LÄN</t>
        </is>
      </c>
      <c r="G405" t="inlineStr">
        <is>
          <t>ÖVERKALIX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29927-2026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46205</v>
      </c>
      <c r="E406" s="1" t="n">
        <v>46223</v>
      </c>
      <c r="F406" t="inlineStr">
        <is>
          <t>NORRBOTTENS LÄN</t>
        </is>
      </c>
      <c r="G406" t="inlineStr">
        <is>
          <t>ÖVERKALIX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30037-2026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46223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30039-2026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46223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62269-2021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44502</v>
      </c>
      <c r="E409" s="1" t="n">
        <v>46223</v>
      </c>
      <c r="F409" t="inlineStr">
        <is>
          <t>NORRBOTTENS LÄN</t>
        </is>
      </c>
      <c r="G409" t="inlineStr">
        <is>
          <t>ÖVERKALIX</t>
        </is>
      </c>
      <c r="I409" t="n">
        <v>9.199999999999999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30241-2026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46206</v>
      </c>
      <c r="E410" s="1" t="n">
        <v>46223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30027-2026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46223</v>
      </c>
      <c r="F411" t="inlineStr">
        <is>
          <t>NORRBOTTENS LÄN</t>
        </is>
      </c>
      <c r="G411" t="inlineStr">
        <is>
          <t>ÖVERKALIX</t>
        </is>
      </c>
      <c r="I411" t="n">
        <v>22.3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29937-2026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46205</v>
      </c>
      <c r="E412" s="1" t="n">
        <v>46223</v>
      </c>
      <c r="F412" t="inlineStr">
        <is>
          <t>NORRBOTTENS LÄN</t>
        </is>
      </c>
      <c r="G412" t="inlineStr">
        <is>
          <t>ÖVERKALIX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29827-2026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46223</v>
      </c>
      <c r="F413" t="inlineStr">
        <is>
          <t>NORRBOTTENS LÄN</t>
        </is>
      </c>
      <c r="G413" t="inlineStr">
        <is>
          <t>ÖVERKALIX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13372-2023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45005</v>
      </c>
      <c r="E414" s="1" t="n">
        <v>46223</v>
      </c>
      <c r="F414" t="inlineStr">
        <is>
          <t>NORRBOTTENS LÄN</t>
        </is>
      </c>
      <c r="G414" t="inlineStr">
        <is>
          <t>ÖVERKALIX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36839-2023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45153</v>
      </c>
      <c r="E415" s="1" t="n">
        <v>46223</v>
      </c>
      <c r="F415" t="inlineStr">
        <is>
          <t>NORRBOTTENS LÄN</t>
        </is>
      </c>
      <c r="G415" t="inlineStr">
        <is>
          <t>ÖVERKALIX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59832-2024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45639</v>
      </c>
      <c r="E416" s="1" t="n">
        <v>46223</v>
      </c>
      <c r="F416" t="inlineStr">
        <is>
          <t>NORRBOTTENS LÄN</t>
        </is>
      </c>
      <c r="G416" t="inlineStr">
        <is>
          <t>ÖVERKALIX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23588-2026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46163</v>
      </c>
      <c r="E417" s="1" t="n">
        <v>46223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9.9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23771-2026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46223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51354-2025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46223</v>
      </c>
      <c r="F419" t="inlineStr">
        <is>
          <t>NORRBOTTENS LÄN</t>
        </is>
      </c>
      <c r="G419" t="inlineStr">
        <is>
          <t>ÖVERKALIX</t>
        </is>
      </c>
      <c r="I419" t="n">
        <v>8.199999999999999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23507-2026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46223</v>
      </c>
      <c r="F420" t="inlineStr">
        <is>
          <t>NORRBOTTENS LÄN</t>
        </is>
      </c>
      <c r="G420" t="inlineStr">
        <is>
          <t>ÖVERKALIX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28372-2025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45818</v>
      </c>
      <c r="E421" s="1" t="n">
        <v>46223</v>
      </c>
      <c r="F421" t="inlineStr">
        <is>
          <t>NORRBOTTENS LÄN</t>
        </is>
      </c>
      <c r="G421" t="inlineStr">
        <is>
          <t>ÖVERKALIX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24170-2026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46168</v>
      </c>
      <c r="E422" s="1" t="n">
        <v>46223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23938-2026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46223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24129-2026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46223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30328-2026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46207</v>
      </c>
      <c r="E425" s="1" t="n">
        <v>46223</v>
      </c>
      <c r="F425" t="inlineStr">
        <is>
          <t>NORRBOTTENS LÄN</t>
        </is>
      </c>
      <c r="G425" t="inlineStr">
        <is>
          <t>ÖVERKALIX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23949-2026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46223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23953-2026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46223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30326-2026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46207</v>
      </c>
      <c r="E428" s="1" t="n">
        <v>46223</v>
      </c>
      <c r="F428" t="inlineStr">
        <is>
          <t>NORRBOTTENS LÄN</t>
        </is>
      </c>
      <c r="G428" t="inlineStr">
        <is>
          <t>ÖVERKALIX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23942-2026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46223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30327-2026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46207</v>
      </c>
      <c r="E430" s="1" t="n">
        <v>46223</v>
      </c>
      <c r="F430" t="inlineStr">
        <is>
          <t>NORRBOTTENS LÄN</t>
        </is>
      </c>
      <c r="G430" t="inlineStr">
        <is>
          <t>ÖVERKALIX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6641-2022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44601</v>
      </c>
      <c r="E431" s="1" t="n">
        <v>46223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49091-2024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45594</v>
      </c>
      <c r="E432" s="1" t="n">
        <v>46223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8026-2023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44973</v>
      </c>
      <c r="E433" s="1" t="n">
        <v>46223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36797-2023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45154</v>
      </c>
      <c r="E434" s="1" t="n">
        <v>46223</v>
      </c>
      <c r="F434" t="inlineStr">
        <is>
          <t>NORRBOTTENS LÄN</t>
        </is>
      </c>
      <c r="G434" t="inlineStr">
        <is>
          <t>ÖVERKALIX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30329-2026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46207</v>
      </c>
      <c r="E435" s="1" t="n">
        <v>46223</v>
      </c>
      <c r="F435" t="inlineStr">
        <is>
          <t>NORRBOTTENS LÄN</t>
        </is>
      </c>
      <c r="G435" t="inlineStr">
        <is>
          <t>ÖVERKALIX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24128-2026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46223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18.6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23935-2026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46223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45692</v>
      </c>
      <c r="E438" s="1" t="n">
        <v>46223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10.1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32616-2024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45513</v>
      </c>
      <c r="E439" s="1" t="n">
        <v>46223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60400-2022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44910</v>
      </c>
      <c r="E440" s="1" t="n">
        <v>46223</v>
      </c>
      <c r="F440" t="inlineStr">
        <is>
          <t>NORRBOTTENS LÄN</t>
        </is>
      </c>
      <c r="G440" t="inlineStr">
        <is>
          <t>ÖVERKALIX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59911-2024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45641</v>
      </c>
      <c r="E441" s="1" t="n">
        <v>46223</v>
      </c>
      <c r="F441" t="inlineStr">
        <is>
          <t>NORRBOTTENS LÄN</t>
        </is>
      </c>
      <c r="G441" t="inlineStr">
        <is>
          <t>ÖVERKALIX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24587-2026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46223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38088-2023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45160</v>
      </c>
      <c r="E443" s="1" t="n">
        <v>46223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55226-2024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45621</v>
      </c>
      <c r="E444" s="1" t="n">
        <v>46223</v>
      </c>
      <c r="F444" t="inlineStr">
        <is>
          <t>NORRBOTTENS LÄN</t>
        </is>
      </c>
      <c r="G444" t="inlineStr">
        <is>
          <t>ÖVERKALIX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50392-2025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45944</v>
      </c>
      <c r="E445" s="1" t="n">
        <v>46223</v>
      </c>
      <c r="F445" t="inlineStr">
        <is>
          <t>NORRBOTTENS LÄN</t>
        </is>
      </c>
      <c r="G445" t="inlineStr">
        <is>
          <t>ÖVERKALIX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48561-2024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46223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50862-2023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45218</v>
      </c>
      <c r="E447" s="1" t="n">
        <v>46223</v>
      </c>
      <c r="F447" t="inlineStr">
        <is>
          <t>NORRBOTTENS LÄN</t>
        </is>
      </c>
      <c r="G447" t="inlineStr">
        <is>
          <t>ÖVERKALIX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25180-2026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46223</v>
      </c>
      <c r="F448" t="inlineStr">
        <is>
          <t>NORRBOTTENS LÄN</t>
        </is>
      </c>
      <c r="G448" t="inlineStr">
        <is>
          <t>ÖVERKALIX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52075-2023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46223</v>
      </c>
      <c r="F449" t="inlineStr">
        <is>
          <t>NORRBOTTENS LÄN</t>
        </is>
      </c>
      <c r="G449" t="inlineStr">
        <is>
          <t>ÖVERKALIX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45180</v>
      </c>
      <c r="E450" s="1" t="n">
        <v>46223</v>
      </c>
      <c r="F450" t="inlineStr">
        <is>
          <t>NORRBOTTENS LÄN</t>
        </is>
      </c>
      <c r="G450" t="inlineStr">
        <is>
          <t>ÖVERKALIX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45315</v>
      </c>
      <c r="E451" s="1" t="n">
        <v>46223</v>
      </c>
      <c r="F451" t="inlineStr">
        <is>
          <t>NORRBOTTENS LÄN</t>
        </is>
      </c>
      <c r="G451" t="inlineStr">
        <is>
          <t>ÖVERKALIX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25546-2026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46223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25545-2026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46177</v>
      </c>
      <c r="E453" s="1" t="n">
        <v>46223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3704-2024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45321</v>
      </c>
      <c r="E454" s="1" t="n">
        <v>46223</v>
      </c>
      <c r="F454" t="inlineStr">
        <is>
          <t>NORRBOTTENS LÄN</t>
        </is>
      </c>
      <c r="G454" t="inlineStr">
        <is>
          <t>ÖVERKALIX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25822-2026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46223</v>
      </c>
      <c r="F455" t="inlineStr">
        <is>
          <t>NORRBOTTENS LÄN</t>
        </is>
      </c>
      <c r="G455" t="inlineStr">
        <is>
          <t>ÖVERKALIX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52647-2024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45610</v>
      </c>
      <c r="E456" s="1" t="n">
        <v>46223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1310-2025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45667</v>
      </c>
      <c r="E457" s="1" t="n">
        <v>46223</v>
      </c>
      <c r="F457" t="inlineStr">
        <is>
          <t>NORRBOTTENS LÄN</t>
        </is>
      </c>
      <c r="G457" t="inlineStr">
        <is>
          <t>ÖVERKALIX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25697-2024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45463</v>
      </c>
      <c r="E458" s="1" t="n">
        <v>46223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6917-2023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46223</v>
      </c>
      <c r="F459" t="inlineStr">
        <is>
          <t>NORRBOTTENS LÄN</t>
        </is>
      </c>
      <c r="G459" t="inlineStr">
        <is>
          <t>ÖVERKALIX</t>
        </is>
      </c>
      <c r="I459" t="n">
        <v>9.4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40155-2024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45554</v>
      </c>
      <c r="E460" s="1" t="n">
        <v>46223</v>
      </c>
      <c r="F460" t="inlineStr">
        <is>
          <t>NORRBOTTENS LÄN</t>
        </is>
      </c>
      <c r="G460" t="inlineStr">
        <is>
          <t>ÖVERKALIX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20392-2025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45775</v>
      </c>
      <c r="E461" s="1" t="n">
        <v>46223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38941-2024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45548</v>
      </c>
      <c r="E462" s="1" t="n">
        <v>46223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21520-2025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45782</v>
      </c>
      <c r="E463" s="1" t="n">
        <v>46223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39974-2021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44417</v>
      </c>
      <c r="E464" s="1" t="n">
        <v>46223</v>
      </c>
      <c r="F464" t="inlineStr">
        <is>
          <t>NORRBOTTENS LÄN</t>
        </is>
      </c>
      <c r="G464" t="inlineStr">
        <is>
          <t>ÖVERKALIX</t>
        </is>
      </c>
      <c r="I464" t="n">
        <v>21.6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22108-2025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45785</v>
      </c>
      <c r="E465" s="1" t="n">
        <v>46223</v>
      </c>
      <c r="F465" t="inlineStr">
        <is>
          <t>NORRBOTTENS LÄN</t>
        </is>
      </c>
      <c r="G465" t="inlineStr">
        <is>
          <t>ÖVERKALIX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23870-2025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45793</v>
      </c>
      <c r="E466" s="1" t="n">
        <v>46223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24144-2025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45796</v>
      </c>
      <c r="E467" s="1" t="n">
        <v>46223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24141-2025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45796</v>
      </c>
      <c r="E468" s="1" t="n">
        <v>46223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23867-2025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45793</v>
      </c>
      <c r="E469" s="1" t="n">
        <v>46223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23873-2025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45793</v>
      </c>
      <c r="E470" s="1" t="n">
        <v>46223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12177-2024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45377</v>
      </c>
      <c r="E471" s="1" t="n">
        <v>46223</v>
      </c>
      <c r="F471" t="inlineStr">
        <is>
          <t>NORRBOTTENS LÄN</t>
        </is>
      </c>
      <c r="G471" t="inlineStr">
        <is>
          <t>ÖVERKALIX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4114-2024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45323</v>
      </c>
      <c r="E472" s="1" t="n">
        <v>46223</v>
      </c>
      <c r="F472" t="inlineStr">
        <is>
          <t>NORRBOTTENS LÄN</t>
        </is>
      </c>
      <c r="G472" t="inlineStr">
        <is>
          <t>ÖVERKALIX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25629-2025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45803</v>
      </c>
      <c r="E473" s="1" t="n">
        <v>46223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3721-2022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44741</v>
      </c>
      <c r="E474" s="1" t="n">
        <v>46223</v>
      </c>
      <c r="F474" t="inlineStr">
        <is>
          <t>NORRBOTTENS LÄN</t>
        </is>
      </c>
      <c r="G474" t="inlineStr">
        <is>
          <t>ÖVERKALIX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2792-2024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45485</v>
      </c>
      <c r="E475" s="1" t="n">
        <v>46223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2700-2024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45482</v>
      </c>
      <c r="E476" s="1" t="n">
        <v>46223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4734-2024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45607</v>
      </c>
      <c r="E477" s="1" t="n">
        <v>46223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1178-2025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45756</v>
      </c>
      <c r="E478" s="1" t="n">
        <v>46223</v>
      </c>
      <c r="F478" t="inlineStr">
        <is>
          <t>NORRBOTTENS LÄN</t>
        </is>
      </c>
      <c r="G478" t="inlineStr">
        <is>
          <t>ÖVERKALIX</t>
        </is>
      </c>
      <c r="I478" t="n">
        <v>39.9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1667-2025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45800</v>
      </c>
      <c r="E479" s="1" t="n">
        <v>46223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>
      <c r="A480" t="inlineStr">
        <is>
          <t>S 50-2026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46030</v>
      </c>
      <c r="E480" s="1" t="n">
        <v>46223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2026-07-20T01:44:37Z</dcterms:created>
  <dcterms:modified xmlns:dcterms="http://purl.org/dc/terms/" xmlns:xsi="http://www.w3.org/2001/XMLSchema-instance" xsi:type="dcterms:W3CDTF">2026-07-20T01:44:38Z</dcterms:modified>
</cp:coreProperties>
</file>