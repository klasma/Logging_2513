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63242-2025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46010</v>
      </c>
      <c r="E2" s="1" t="n">
        <v>46316</v>
      </c>
      <c r="F2" t="inlineStr">
        <is>
          <t>NORRBOTTENS LÄN</t>
        </is>
      </c>
      <c r="G2" t="inlineStr">
        <is>
          <t>ÖVERKALIX</t>
        </is>
      </c>
      <c r="I2" t="n">
        <v>9.5</v>
      </c>
      <c r="J2" t="n">
        <v>4</v>
      </c>
      <c r="K2" t="n">
        <v>3</v>
      </c>
      <c r="L2" t="n">
        <v>15</v>
      </c>
      <c r="M2" t="n">
        <v>2</v>
      </c>
      <c r="N2" t="n">
        <v>0</v>
      </c>
      <c r="O2" t="n">
        <v>0</v>
      </c>
      <c r="P2" t="n">
        <v>0</v>
      </c>
      <c r="Q2" t="n">
        <v>17</v>
      </c>
      <c r="R2" t="n">
        <v>2</v>
      </c>
      <c r="S2" t="n">
        <v>21</v>
      </c>
      <c r="T2" t="n">
        <v>63</v>
      </c>
      <c r="U2" t="n">
        <v>63</v>
      </c>
      <c r="V2" s="2" t="inlineStr">
        <is>
          <t>Garnlav
Torrmusseron
Blå taggsvamp
Dropptaggsvamp
Kolflarnlav
Mjölsvärting
Motaggsvamp
Nordtagging
Orange taggsvamp
Skarp dropptaggsvamp
Svartvit taggsvamp
Tallriska
Talltagel
Talltita
Tretåig hackspett
Vaddporing
Vitgrynig nållav
Norrlandslav
Nästlav
Plattlummer
Tjäder</t>
        </is>
      </c>
      <c r="W2">
        <f>HYPERLINK("https://klasma.github.io/Logging_2513/artfynd/A 63242-2025 artfynd.xlsx", "A 63242-2025")</f>
        <v/>
      </c>
      <c r="X2">
        <f>HYPERLINK("https://klasma.github.io/Logging_2513/kartor/A 63242-2025 karta.png", "A 63242-2025")</f>
        <v/>
      </c>
      <c r="Y2">
        <f>HYPERLINK("https://klasma.github.io/Logging_2513/kartor_geotiff/A 63242-2025 georefererad karta.tif", "A 63242-2025")</f>
        <v/>
      </c>
      <c r="AA2">
        <f>HYPERLINK("https://klasma.github.io/Logging_2513/klagomål/A 63242-2025 FSC-klagomål.docx", "A 63242-2025")</f>
        <v/>
      </c>
      <c r="AB2">
        <f>HYPERLINK("https://klasma.github.io/Logging_2513/klagomålsmail/A 63242-2025 FSC-klagomål mail.docx", "A 63242-2025")</f>
        <v/>
      </c>
      <c r="AC2">
        <f>HYPERLINK("https://klasma.github.io/Logging_2513/tillsyn/A 63242-2025 tillsynsbegäran.docx", "A 63242-2025")</f>
        <v/>
      </c>
      <c r="AD2">
        <f>HYPERLINK("https://klasma.github.io/Logging_2513/tillsynsmail/A 63242-2025 tillsynsbegäran mail.docx", "A 63242-2025")</f>
        <v/>
      </c>
      <c r="AE2">
        <f>HYPERLINK("https://klasma.github.io/Logging_2513/fåglar/A 63242-2025 prioriterade fågelarter.docx", "A 63242-2025")</f>
        <v/>
      </c>
    </row>
    <row r="3" ht="15" customHeight="1">
      <c r="A3" t="inlineStr">
        <is>
          <t>A 50837-2025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45946</v>
      </c>
      <c r="E3" s="1" t="n">
        <v>46316</v>
      </c>
      <c r="F3" t="inlineStr">
        <is>
          <t>NORRBOTTENS LÄN</t>
        </is>
      </c>
      <c r="G3" t="inlineStr">
        <is>
          <t>ÖVERKALIX</t>
        </is>
      </c>
      <c r="H3" t="inlineStr">
        <is>
          <t>Sveaskog</t>
        </is>
      </c>
      <c r="I3" t="n">
        <v>41.7</v>
      </c>
      <c r="J3" t="n">
        <v>9</v>
      </c>
      <c r="K3" t="n">
        <v>3</v>
      </c>
      <c r="L3" t="n">
        <v>6</v>
      </c>
      <c r="M3" t="n">
        <v>3</v>
      </c>
      <c r="N3" t="n">
        <v>0</v>
      </c>
      <c r="O3" t="n">
        <v>0</v>
      </c>
      <c r="P3" t="n">
        <v>0</v>
      </c>
      <c r="Q3" t="n">
        <v>9</v>
      </c>
      <c r="R3" t="n">
        <v>3</v>
      </c>
      <c r="S3" t="n">
        <v>18</v>
      </c>
      <c r="T3" t="n">
        <v>31</v>
      </c>
      <c r="U3" t="n">
        <v>1</v>
      </c>
      <c r="V3" s="2" t="inlineStr">
        <is>
          <t>Garnlav
Gränsticka
Lappticka
Blågrå svartspik
Gammelgransskål
Lavskrika
Rosenticka
Ullticka
Vaddporing
Blodticka
Korallrot
Plattlummer
Järpe
Mattlummer
Spillkråka
Tjäder
Vanlig groda
Fläcknycklar</t>
        </is>
      </c>
      <c r="W3">
        <f>HYPERLINK("https://klasma.github.io/Logging_2513/artfynd/A 50837-2025 artfynd.xlsx", "A 50837-2025")</f>
        <v/>
      </c>
      <c r="X3">
        <f>HYPERLINK("https://klasma.github.io/Logging_2513/kartor/A 50837-2025 karta.png", "A 50837-2025")</f>
        <v/>
      </c>
      <c r="Y3">
        <f>HYPERLINK("https://klasma.github.io/Logging_2513/kartor_geotiff/A 50837-2025 georefererad karta.tif", "A 50837-2025")</f>
        <v/>
      </c>
      <c r="AA3">
        <f>HYPERLINK("https://klasma.github.io/Logging_2513/klagomål/A 50837-2025 FSC-klagomål.docx", "A 50837-2025")</f>
        <v/>
      </c>
      <c r="AB3">
        <f>HYPERLINK("https://klasma.github.io/Logging_2513/klagomålsmail/A 50837-2025 FSC-klagomål mail.docx", "A 50837-2025")</f>
        <v/>
      </c>
      <c r="AC3">
        <f>HYPERLINK("https://klasma.github.io/Logging_2513/tillsyn/A 50837-2025 tillsynsbegäran.docx", "A 50837-2025")</f>
        <v/>
      </c>
      <c r="AD3">
        <f>HYPERLINK("https://klasma.github.io/Logging_2513/tillsynsmail/A 50837-2025 tillsynsbegäran mail.docx", "A 50837-2025")</f>
        <v/>
      </c>
      <c r="AE3">
        <f>HYPERLINK("https://klasma.github.io/Logging_2513/fåglar/A 50837-2025 prioriterade fågelarter.docx", "A 50837-2025")</f>
        <v/>
      </c>
    </row>
    <row r="4" ht="15" customHeight="1">
      <c r="A4" t="inlineStr">
        <is>
          <t>A 43065-2025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45909</v>
      </c>
      <c r="E4" s="1" t="n">
        <v>46316</v>
      </c>
      <c r="F4" t="inlineStr">
        <is>
          <t>NORRBOTTENS LÄN</t>
        </is>
      </c>
      <c r="G4" t="inlineStr">
        <is>
          <t>ÖVERKALIX</t>
        </is>
      </c>
      <c r="I4" t="n">
        <v>8.9</v>
      </c>
      <c r="J4" t="n">
        <v>4</v>
      </c>
      <c r="K4" t="n">
        <v>2</v>
      </c>
      <c r="L4" t="n">
        <v>11</v>
      </c>
      <c r="M4" t="n">
        <v>2</v>
      </c>
      <c r="N4" t="n">
        <v>0</v>
      </c>
      <c r="O4" t="n">
        <v>0</v>
      </c>
      <c r="P4" t="n">
        <v>0</v>
      </c>
      <c r="Q4" t="n">
        <v>13</v>
      </c>
      <c r="R4" t="n">
        <v>2</v>
      </c>
      <c r="S4" t="n">
        <v>16</v>
      </c>
      <c r="T4" t="n">
        <v>45</v>
      </c>
      <c r="U4" t="n">
        <v>45</v>
      </c>
      <c r="V4" s="2" t="inlineStr">
        <is>
          <t>Garnlav
Smalfotad taggsvamp
Dropptaggsvamp
Motaggsvamp
Nordtagging
Orange taggsvamp
Skarp dropptaggsvamp
Svartvit taggsvamp
Tallriska
Talltagel
Talltita
Tretåig hackspett
Vedskivlav
Nästlav
Plattlummer
Tjäder</t>
        </is>
      </c>
      <c r="W4">
        <f>HYPERLINK("https://klasma.github.io/Logging_2513/artfynd/A 43065-2025 artfynd.xlsx", "A 43065-2025")</f>
        <v/>
      </c>
      <c r="X4">
        <f>HYPERLINK("https://klasma.github.io/Logging_2513/kartor/A 43065-2025 karta.png", "A 43065-2025")</f>
        <v/>
      </c>
      <c r="Y4">
        <f>HYPERLINK("https://klasma.github.io/Logging_2513/kartor_geotiff/A 43065-2025 georefererad karta.tif", "A 43065-2025")</f>
        <v/>
      </c>
      <c r="AA4">
        <f>HYPERLINK("https://klasma.github.io/Logging_2513/klagomål/A 43065-2025 FSC-klagomål.docx", "A 43065-2025")</f>
        <v/>
      </c>
      <c r="AB4">
        <f>HYPERLINK("https://klasma.github.io/Logging_2513/klagomålsmail/A 43065-2025 FSC-klagomål mail.docx", "A 43065-2025")</f>
        <v/>
      </c>
      <c r="AC4">
        <f>HYPERLINK("https://klasma.github.io/Logging_2513/tillsyn/A 43065-2025 tillsynsbegäran.docx", "A 43065-2025")</f>
        <v/>
      </c>
      <c r="AD4">
        <f>HYPERLINK("https://klasma.github.io/Logging_2513/tillsynsmail/A 43065-2025 tillsynsbegäran mail.docx", "A 43065-2025")</f>
        <v/>
      </c>
      <c r="AE4">
        <f>HYPERLINK("https://klasma.github.io/Logging_2513/fåglar/A 43065-2025 prioriterade fågelarter.docx", "A 43065-2025")</f>
        <v/>
      </c>
    </row>
    <row r="5" ht="15" customHeight="1">
      <c r="A5" t="inlineStr">
        <is>
          <t>A 23383-2026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46162</v>
      </c>
      <c r="E5" s="1" t="n">
        <v>46316</v>
      </c>
      <c r="F5" t="inlineStr">
        <is>
          <t>NORRBOTTENS LÄN</t>
        </is>
      </c>
      <c r="G5" t="inlineStr">
        <is>
          <t>ÖVERKALIX</t>
        </is>
      </c>
      <c r="I5" t="n">
        <v>2.6</v>
      </c>
      <c r="J5" t="n">
        <v>5</v>
      </c>
      <c r="K5" t="n">
        <v>5</v>
      </c>
      <c r="L5" t="n">
        <v>3</v>
      </c>
      <c r="M5" t="n">
        <v>2</v>
      </c>
      <c r="N5" t="n">
        <v>0</v>
      </c>
      <c r="O5" t="n">
        <v>0</v>
      </c>
      <c r="P5" t="n">
        <v>0</v>
      </c>
      <c r="Q5" t="n">
        <v>5</v>
      </c>
      <c r="R5" t="n">
        <v>2</v>
      </c>
      <c r="S5" t="n">
        <v>14</v>
      </c>
      <c r="T5" t="n">
        <v>27</v>
      </c>
      <c r="U5" t="n">
        <v>27</v>
      </c>
      <c r="V5" s="2" t="inlineStr">
        <is>
          <t>Garnlav
Knärot
Myskmåra
Sparvuggla
Tretåig hackspett
Björksplintborre
Nästlav
Sotlav
Trådticka
Vågbandad barkbock
Järpe
Liljekonvalj
Sälg
Tjäder</t>
        </is>
      </c>
      <c r="W5">
        <f>HYPERLINK("https://klasma.github.io/Logging_2513/artfynd/A 23383-2026 artfynd.xlsx", "A 23383-2026")</f>
        <v/>
      </c>
      <c r="X5">
        <f>HYPERLINK("https://klasma.github.io/Logging_2513/kartor/A 23383-2026 karta.png", "A 23383-2026")</f>
        <v/>
      </c>
      <c r="Y5">
        <f>HYPERLINK("https://klasma.github.io/Logging_2513/kartor_geotiff/A 23383-2026 georefererad karta.tif", "A 23383-2026")</f>
        <v/>
      </c>
      <c r="Z5">
        <f>HYPERLINK("https://klasma.github.io/Logging_2513/knärot/A 23383-2026 karta knärot.png", "A 23383-2026")</f>
        <v/>
      </c>
      <c r="AA5">
        <f>HYPERLINK("https://klasma.github.io/Logging_2513/klagomål/A 23383-2026 FSC-klagomål.docx", "A 23383-2026")</f>
        <v/>
      </c>
      <c r="AB5">
        <f>HYPERLINK("https://klasma.github.io/Logging_2513/klagomålsmail/A 23383-2026 FSC-klagomål mail.docx", "A 23383-2026")</f>
        <v/>
      </c>
      <c r="AC5">
        <f>HYPERLINK("https://klasma.github.io/Logging_2513/tillsyn/A 23383-2026 tillsynsbegäran.docx", "A 23383-2026")</f>
        <v/>
      </c>
      <c r="AD5">
        <f>HYPERLINK("https://klasma.github.io/Logging_2513/tillsynsmail/A 23383-2026 tillsynsbegäran mail.docx", "A 23383-2026")</f>
        <v/>
      </c>
      <c r="AE5">
        <f>HYPERLINK("https://klasma.github.io/Logging_2513/fåglar/A 23383-2026 prioriterade fågelarter.docx", "A 23383-2026")</f>
        <v/>
      </c>
    </row>
    <row r="6" ht="15" customHeight="1">
      <c r="A6" t="inlineStr">
        <is>
          <t>A 36383-2024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45534</v>
      </c>
      <c r="E6" s="1" t="n">
        <v>46316</v>
      </c>
      <c r="F6" t="inlineStr">
        <is>
          <t>NORRBOTTENS LÄN</t>
        </is>
      </c>
      <c r="G6" t="inlineStr">
        <is>
          <t>ÖVERKALIX</t>
        </is>
      </c>
      <c r="H6" t="inlineStr">
        <is>
          <t>Sveaskog</t>
        </is>
      </c>
      <c r="I6" t="n">
        <v>42.1</v>
      </c>
      <c r="J6" t="n">
        <v>5</v>
      </c>
      <c r="K6" t="n">
        <v>2</v>
      </c>
      <c r="L6" t="n">
        <v>7</v>
      </c>
      <c r="M6" t="n">
        <v>1</v>
      </c>
      <c r="N6" t="n">
        <v>0</v>
      </c>
      <c r="O6" t="n">
        <v>0</v>
      </c>
      <c r="P6" t="n">
        <v>0</v>
      </c>
      <c r="Q6" t="n">
        <v>8</v>
      </c>
      <c r="R6" t="n">
        <v>1</v>
      </c>
      <c r="S6" t="n">
        <v>13</v>
      </c>
      <c r="T6" t="n">
        <v>39</v>
      </c>
      <c r="U6" t="n">
        <v>2</v>
      </c>
      <c r="V6" s="2" t="inlineStr">
        <is>
          <t>Garnlav
Gammelgransskål
Knottrig blåslav
Kolflarnlav
Mörk kolflarnlav
Orange taggsvamp
Tretåig hackspett
Vedflamlav
Spindelblomster
Vedticka
Spillkråka
Orre
Fläcknycklar</t>
        </is>
      </c>
      <c r="W6">
        <f>HYPERLINK("https://klasma.github.io/Logging_2513/artfynd/A 36383-2024 artfynd.xlsx", "A 36383-2024")</f>
        <v/>
      </c>
      <c r="X6">
        <f>HYPERLINK("https://klasma.github.io/Logging_2513/kartor/A 36383-2024 karta.png", "A 36383-2024")</f>
        <v/>
      </c>
      <c r="Y6">
        <f>HYPERLINK("https://klasma.github.io/Logging_2513/kartor_geotiff/A 36383-2024 georefererad karta.tif", "A 36383-2024")</f>
        <v/>
      </c>
      <c r="AA6">
        <f>HYPERLINK("https://klasma.github.io/Logging_2513/klagomål/A 36383-2024 FSC-klagomål.docx", "A 36383-2024")</f>
        <v/>
      </c>
      <c r="AB6">
        <f>HYPERLINK("https://klasma.github.io/Logging_2513/klagomålsmail/A 36383-2024 FSC-klagomål mail.docx", "A 36383-2024")</f>
        <v/>
      </c>
      <c r="AC6">
        <f>HYPERLINK("https://klasma.github.io/Logging_2513/tillsyn/A 36383-2024 tillsynsbegäran.docx", "A 36383-2024")</f>
        <v/>
      </c>
      <c r="AD6">
        <f>HYPERLINK("https://klasma.github.io/Logging_2513/tillsynsmail/A 36383-2024 tillsynsbegäran mail.docx", "A 36383-2024")</f>
        <v/>
      </c>
      <c r="AE6">
        <f>HYPERLINK("https://klasma.github.io/Logging_2513/fåglar/A 36383-2024 prioriterade fågelarter.docx", "A 36383-2024")</f>
        <v/>
      </c>
    </row>
    <row r="7" ht="15" customHeight="1">
      <c r="A7" t="inlineStr">
        <is>
          <t>A 2344-2024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45310</v>
      </c>
      <c r="E7" s="1" t="n">
        <v>46316</v>
      </c>
      <c r="F7" t="inlineStr">
        <is>
          <t>NORRBOTTENS LÄN</t>
        </is>
      </c>
      <c r="G7" t="inlineStr">
        <is>
          <t>ÖVERKALIX</t>
        </is>
      </c>
      <c r="I7" t="n">
        <v>25.7</v>
      </c>
      <c r="J7" t="n">
        <v>3</v>
      </c>
      <c r="K7" t="n">
        <v>1</v>
      </c>
      <c r="L7" t="n">
        <v>7</v>
      </c>
      <c r="M7" t="n">
        <v>2</v>
      </c>
      <c r="N7" t="n">
        <v>0</v>
      </c>
      <c r="O7" t="n">
        <v>0</v>
      </c>
      <c r="P7" t="n">
        <v>0</v>
      </c>
      <c r="Q7" t="n">
        <v>9</v>
      </c>
      <c r="R7" t="n">
        <v>2</v>
      </c>
      <c r="S7" t="n">
        <v>11</v>
      </c>
      <c r="T7" t="n">
        <v>17</v>
      </c>
      <c r="U7" t="n">
        <v>4</v>
      </c>
      <c r="V7" s="2" t="inlineStr">
        <is>
          <t>Garnlav
Tornseglare
Dropptaggsvamp
Dvärgbägarlav
Lunglav
Mörk kolflarnlav
Reliktbock
Tretåig hackspett
Vaddporing
Grönpyrola
Nattviol</t>
        </is>
      </c>
      <c r="W7">
        <f>HYPERLINK("https://klasma.github.io/Logging_2513/artfynd/A 2344-2024 artfynd.xlsx", "A 2344-2024")</f>
        <v/>
      </c>
      <c r="X7">
        <f>HYPERLINK("https://klasma.github.io/Logging_2513/kartor/A 2344-2024 karta.png", "A 2344-2024")</f>
        <v/>
      </c>
      <c r="Y7">
        <f>HYPERLINK("https://klasma.github.io/Logging_2513/kartor_geotiff/A 2344-2024 georefererad karta.tif", "A 2344-2024")</f>
        <v/>
      </c>
      <c r="Z7">
        <f>HYPERLINK("https://klasma.github.io/Logging_2513/knärot/A 2344-2024 karta knärot.png", "A 2344-2024")</f>
        <v/>
      </c>
      <c r="AA7">
        <f>HYPERLINK("https://klasma.github.io/Logging_2513/klagomål/A 2344-2024 FSC-klagomål.docx", "A 2344-2024")</f>
        <v/>
      </c>
      <c r="AB7">
        <f>HYPERLINK("https://klasma.github.io/Logging_2513/klagomålsmail/A 2344-2024 FSC-klagomål mail.docx", "A 2344-2024")</f>
        <v/>
      </c>
      <c r="AC7">
        <f>HYPERLINK("https://klasma.github.io/Logging_2513/tillsyn/A 2344-2024 tillsynsbegäran.docx", "A 2344-2024")</f>
        <v/>
      </c>
      <c r="AD7">
        <f>HYPERLINK("https://klasma.github.io/Logging_2513/tillsynsmail/A 2344-2024 tillsynsbegäran mail.docx", "A 2344-2024")</f>
        <v/>
      </c>
      <c r="AE7">
        <f>HYPERLINK("https://klasma.github.io/Logging_2513/fåglar/A 2344-2024 prioriterade fågelarter.docx", "A 2344-2024")</f>
        <v/>
      </c>
    </row>
    <row r="8" ht="15" customHeight="1">
      <c r="A8" t="inlineStr">
        <is>
          <t>A 23373-2026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46162</v>
      </c>
      <c r="E8" s="1" t="n">
        <v>46316</v>
      </c>
      <c r="F8" t="inlineStr">
        <is>
          <t>NORRBOTTENS LÄN</t>
        </is>
      </c>
      <c r="G8" t="inlineStr">
        <is>
          <t>ÖVERKALIX</t>
        </is>
      </c>
      <c r="I8" t="n">
        <v>2</v>
      </c>
      <c r="J8" t="n">
        <v>2</v>
      </c>
      <c r="K8" t="n">
        <v>4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4</v>
      </c>
      <c r="R8" t="n">
        <v>2</v>
      </c>
      <c r="S8" t="n">
        <v>9</v>
      </c>
      <c r="T8" t="n">
        <v>16</v>
      </c>
      <c r="U8" t="n">
        <v>16</v>
      </c>
      <c r="V8" s="2" t="inlineStr">
        <is>
          <t>Garnlav
Knärot
Myskmåra
Tretåig hackspett
Björksplintborre
Nästlav
Trådticka
Vågbandad barkbock
Sälg</t>
        </is>
      </c>
      <c r="W8">
        <f>HYPERLINK("https://klasma.github.io/Logging_2513/artfynd/A 23373-2026 artfynd.xlsx", "A 23373-2026")</f>
        <v/>
      </c>
      <c r="X8">
        <f>HYPERLINK("https://klasma.github.io/Logging_2513/kartor/A 23373-2026 karta.png", "A 23373-2026")</f>
        <v/>
      </c>
      <c r="Y8">
        <f>HYPERLINK("https://klasma.github.io/Logging_2513/kartor_geotiff/A 23373-2026 georefererad karta.tif", "A 23373-2026")</f>
        <v/>
      </c>
      <c r="Z8">
        <f>HYPERLINK("https://klasma.github.io/Logging_2513/knärot/A 23373-2026 karta knärot.png", "A 23373-2026")</f>
        <v/>
      </c>
      <c r="AA8">
        <f>HYPERLINK("https://klasma.github.io/Logging_2513/klagomål/A 23373-2026 FSC-klagomål.docx", "A 23373-2026")</f>
        <v/>
      </c>
      <c r="AB8">
        <f>HYPERLINK("https://klasma.github.io/Logging_2513/klagomålsmail/A 23373-2026 FSC-klagomål mail.docx", "A 23373-2026")</f>
        <v/>
      </c>
      <c r="AC8">
        <f>HYPERLINK("https://klasma.github.io/Logging_2513/tillsyn/A 23373-2026 tillsynsbegäran.docx", "A 23373-2026")</f>
        <v/>
      </c>
      <c r="AD8">
        <f>HYPERLINK("https://klasma.github.io/Logging_2513/tillsynsmail/A 23373-2026 tillsynsbegäran mail.docx", "A 23373-2026")</f>
        <v/>
      </c>
      <c r="AE8">
        <f>HYPERLINK("https://klasma.github.io/Logging_2513/fåglar/A 23373-2026 prioriterade fågelarter.docx", "A 23373-2026")</f>
        <v/>
      </c>
    </row>
    <row r="9" ht="15" customHeight="1">
      <c r="A9" t="inlineStr">
        <is>
          <t>S 177-2023</t>
        </is>
      </c>
      <c r="B9" t="inlineStr">
        <is>
          <t>samrådsanmälan</t>
        </is>
      </c>
      <c r="C9" t="inlineStr">
        <is>
          <t>Skogsgödsling</t>
        </is>
      </c>
      <c r="D9" s="1" t="n">
        <v>44943</v>
      </c>
      <c r="E9" s="1" t="n">
        <v>46316</v>
      </c>
      <c r="F9" t="inlineStr">
        <is>
          <t>NORRBOTTENS LÄN</t>
        </is>
      </c>
      <c r="G9" t="inlineStr">
        <is>
          <t>ÖVERKALIX</t>
        </is>
      </c>
      <c r="H9" t="inlineStr">
        <is>
          <t>SCA</t>
        </is>
      </c>
      <c r="I9" t="n">
        <v>1117.7</v>
      </c>
      <c r="J9" t="n">
        <v>6</v>
      </c>
      <c r="K9" t="n">
        <v>1</v>
      </c>
      <c r="L9" t="n">
        <v>2</v>
      </c>
      <c r="M9" t="n">
        <v>4</v>
      </c>
      <c r="N9" t="n">
        <v>0</v>
      </c>
      <c r="O9" t="n">
        <v>0</v>
      </c>
      <c r="P9" t="n">
        <v>0</v>
      </c>
      <c r="Q9" t="n">
        <v>6</v>
      </c>
      <c r="R9" t="n">
        <v>4</v>
      </c>
      <c r="S9" t="n">
        <v>9</v>
      </c>
      <c r="T9" t="n">
        <v>15</v>
      </c>
      <c r="U9" t="n">
        <v>11</v>
      </c>
      <c r="V9" s="2" t="inlineStr">
        <is>
          <t>Hökuggla
Knärot
Skrovlig taggsvamp
Tallmusseron
Brunklöver
Lavskrika
Korallrot
Smålom
Fläcknycklar</t>
        </is>
      </c>
      <c r="W9">
        <f>HYPERLINK("https://klasma.github.io/Logging_2513/artfynd/S 177-2023 artfynd.xlsx", "S 177-2023")</f>
        <v/>
      </c>
      <c r="X9">
        <f>HYPERLINK("https://klasma.github.io/Logging_2513/kartor/S 177-2023 karta.png", "S 177-2023")</f>
        <v/>
      </c>
      <c r="Y9">
        <f>HYPERLINK("https://klasma.github.io/Logging_2513/kartor_geotiff/S 177-2023 georefererad karta.tif", "S 177-2023")</f>
        <v/>
      </c>
      <c r="Z9">
        <f>HYPERLINK("https://klasma.github.io/Logging_2513/knärot/S 177-2023 karta knärot.png", "S 177-2023")</f>
        <v/>
      </c>
      <c r="AA9">
        <f>HYPERLINK("https://klasma.github.io/Logging_2513/klagomål/S 177-2023 FSC-klagomål.docx", "S 177-2023")</f>
        <v/>
      </c>
      <c r="AB9">
        <f>HYPERLINK("https://klasma.github.io/Logging_2513/klagomålsmail/S 177-2023 FSC-klagomål mail.docx", "S 177-2023")</f>
        <v/>
      </c>
      <c r="AC9">
        <f>HYPERLINK("https://klasma.github.io/Logging_2513/tillsyn/S 177-2023 tillsynsbegäran.docx", "S 177-2023")</f>
        <v/>
      </c>
      <c r="AD9">
        <f>HYPERLINK("https://klasma.github.io/Logging_2513/tillsynsmail/S 177-2023 tillsynsbegäran mail.docx", "S 177-2023")</f>
        <v/>
      </c>
      <c r="AE9">
        <f>HYPERLINK("https://klasma.github.io/Logging_2513/fåglar/S 177-2023 prioriterade fågelarter.docx", "S 177-2023")</f>
        <v/>
      </c>
    </row>
    <row r="10" ht="15" customHeight="1">
      <c r="A10" t="inlineStr">
        <is>
          <t>S 3227-2025</t>
        </is>
      </c>
      <c r="B10" t="inlineStr">
        <is>
          <t>samrådsanmälan</t>
        </is>
      </c>
      <c r="C10" t="inlineStr">
        <is>
          <t>Annan skogsbruksåtgärd</t>
        </is>
      </c>
      <c r="D10" s="1" t="n">
        <v>45981</v>
      </c>
      <c r="E10" s="1" t="n">
        <v>46316</v>
      </c>
      <c r="F10" t="inlineStr">
        <is>
          <t>NORRBOTTENS LÄN</t>
        </is>
      </c>
      <c r="G10" t="inlineStr">
        <is>
          <t>ÖVERKALIX</t>
        </is>
      </c>
      <c r="H10" t="inlineStr">
        <is>
          <t>Sveaskog</t>
        </is>
      </c>
      <c r="I10" t="n">
        <v>3.3</v>
      </c>
      <c r="J10" t="n">
        <v>3</v>
      </c>
      <c r="K10" t="n">
        <v>5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1</v>
      </c>
      <c r="S10" t="n">
        <v>8</v>
      </c>
      <c r="T10" t="n">
        <v>17</v>
      </c>
      <c r="U10" t="n">
        <v>0</v>
      </c>
      <c r="V10" s="2" t="inlineStr">
        <is>
          <t>Garnlav
Gammelgransskål
Lunglav
Bollvitmossa
Korallrot
Lappranunkel
Spindelblomster
Ögonpyrola</t>
        </is>
      </c>
      <c r="W10">
        <f>HYPERLINK("https://klasma.github.io/Logging_2513/artfynd/S 3227-2025 artfynd.xlsx", "S 3227-2025")</f>
        <v/>
      </c>
      <c r="X10">
        <f>HYPERLINK("https://klasma.github.io/Logging_2513/kartor/S 3227-2025 karta.png", "S 3227-2025")</f>
        <v/>
      </c>
      <c r="Y10">
        <f>HYPERLINK("https://klasma.github.io/Logging_2513/kartor_geotiff/S 3227-2025 georefererad karta.tif", "S 3227-2025")</f>
        <v/>
      </c>
      <c r="AA10">
        <f>HYPERLINK("https://klasma.github.io/Logging_2513/klagomål/S 3227-2025 FSC-klagomål.docx", "S 3227-2025")</f>
        <v/>
      </c>
      <c r="AB10">
        <f>HYPERLINK("https://klasma.github.io/Logging_2513/klagomålsmail/S 3227-2025 FSC-klagomål mail.docx", "S 3227-2025")</f>
        <v/>
      </c>
      <c r="AC10">
        <f>HYPERLINK("https://klasma.github.io/Logging_2513/tillsyn/S 3227-2025 tillsynsbegäran.docx", "S 3227-2025")</f>
        <v/>
      </c>
      <c r="AD10">
        <f>HYPERLINK("https://klasma.github.io/Logging_2513/tillsynsmail/S 3227-2025 tillsynsbegäran mail.docx", "S 3227-2025")</f>
        <v/>
      </c>
    </row>
    <row r="11" ht="15" customHeight="1">
      <c r="A11" t="inlineStr">
        <is>
          <t>A 37997-2024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45544</v>
      </c>
      <c r="E11" s="1" t="n">
        <v>46316</v>
      </c>
      <c r="F11" t="inlineStr">
        <is>
          <t>NORRBOTTENS LÄN</t>
        </is>
      </c>
      <c r="G11" t="inlineStr">
        <is>
          <t>ÖVERKALIX</t>
        </is>
      </c>
      <c r="H11" t="inlineStr">
        <is>
          <t>Sveaskog</t>
        </is>
      </c>
      <c r="I11" t="n">
        <v>1.9</v>
      </c>
      <c r="J11" t="n">
        <v>3</v>
      </c>
      <c r="K11" t="n">
        <v>1</v>
      </c>
      <c r="L11" t="n">
        <v>4</v>
      </c>
      <c r="M11" t="n">
        <v>1</v>
      </c>
      <c r="N11" t="n">
        <v>0</v>
      </c>
      <c r="O11" t="n">
        <v>0</v>
      </c>
      <c r="P11" t="n">
        <v>0</v>
      </c>
      <c r="Q11" t="n">
        <v>5</v>
      </c>
      <c r="R11" t="n">
        <v>1</v>
      </c>
      <c r="S11" t="n">
        <v>7</v>
      </c>
      <c r="T11" t="n">
        <v>11</v>
      </c>
      <c r="U11" t="n">
        <v>11</v>
      </c>
      <c r="V11" s="2" t="inlineStr">
        <is>
          <t>Knärot
Gammelgransskål
Kolflarnlav
Lunglav
Motaggsvamp
Spindelblomster
Fläcknycklar</t>
        </is>
      </c>
      <c r="W11">
        <f>HYPERLINK("https://klasma.github.io/Logging_2513/artfynd/A 37997-2024 artfynd.xlsx", "A 37997-2024")</f>
        <v/>
      </c>
      <c r="X11">
        <f>HYPERLINK("https://klasma.github.io/Logging_2513/kartor/A 37997-2024 karta.png", "A 37997-2024")</f>
        <v/>
      </c>
      <c r="Y11">
        <f>HYPERLINK("https://klasma.github.io/Logging_2513/kartor_geotiff/A 37997-2024 georefererad karta.tif", "A 37997-2024")</f>
        <v/>
      </c>
      <c r="Z11">
        <f>HYPERLINK("https://klasma.github.io/Logging_2513/knärot/A 37997-2024 karta knärot.png", "A 37997-2024")</f>
        <v/>
      </c>
      <c r="AA11">
        <f>HYPERLINK("https://klasma.github.io/Logging_2513/klagomål/A 37997-2024 FSC-klagomål.docx", "A 37997-2024")</f>
        <v/>
      </c>
      <c r="AB11">
        <f>HYPERLINK("https://klasma.github.io/Logging_2513/klagomålsmail/A 37997-2024 FSC-klagomål mail.docx", "A 37997-2024")</f>
        <v/>
      </c>
      <c r="AC11">
        <f>HYPERLINK("https://klasma.github.io/Logging_2513/tillsyn/A 37997-2024 tillsynsbegäran.docx", "A 37997-2024")</f>
        <v/>
      </c>
      <c r="AD11">
        <f>HYPERLINK("https://klasma.github.io/Logging_2513/tillsynsmail/A 37997-2024 tillsynsbegäran mail.docx", "A 37997-2024")</f>
        <v/>
      </c>
    </row>
    <row r="12" ht="15" customHeight="1">
      <c r="A12" t="inlineStr">
        <is>
          <t>A 38989-2023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45163</v>
      </c>
      <c r="E12" s="1" t="n">
        <v>46316</v>
      </c>
      <c r="F12" t="inlineStr">
        <is>
          <t>NORRBOTTENS LÄN</t>
        </is>
      </c>
      <c r="G12" t="inlineStr">
        <is>
          <t>ÖVERKALIX</t>
        </is>
      </c>
      <c r="H12" t="inlineStr">
        <is>
          <t>Sveaskog</t>
        </is>
      </c>
      <c r="I12" t="n">
        <v>2</v>
      </c>
      <c r="J12" t="n">
        <v>0</v>
      </c>
      <c r="K12" t="n">
        <v>0</v>
      </c>
      <c r="L12" t="n">
        <v>4</v>
      </c>
      <c r="M12" t="n">
        <v>1</v>
      </c>
      <c r="N12" t="n">
        <v>0</v>
      </c>
      <c r="O12" t="n">
        <v>0</v>
      </c>
      <c r="P12" t="n">
        <v>0</v>
      </c>
      <c r="Q12" t="n">
        <v>5</v>
      </c>
      <c r="R12" t="n">
        <v>1</v>
      </c>
      <c r="S12" t="n">
        <v>5</v>
      </c>
      <c r="T12" t="n">
        <v>9</v>
      </c>
      <c r="U12" t="n">
        <v>9</v>
      </c>
      <c r="V12" s="2" t="inlineStr">
        <is>
          <t>Goliatmusseron
Blå taggsvamp
Dropptaggsvamp
Motaggsvamp
Orange taggsvamp</t>
        </is>
      </c>
      <c r="W12">
        <f>HYPERLINK("https://klasma.github.io/Logging_2513/artfynd/A 38989-2023 artfynd.xlsx", "A 38989-2023")</f>
        <v/>
      </c>
      <c r="X12">
        <f>HYPERLINK("https://klasma.github.io/Logging_2513/kartor/A 38989-2023 karta.png", "A 38989-2023")</f>
        <v/>
      </c>
      <c r="Y12">
        <f>HYPERLINK("https://klasma.github.io/Logging_2513/kartor_geotiff/A 38989-2023 georefererad karta.tif", "A 38989-2023")</f>
        <v/>
      </c>
      <c r="AA12">
        <f>HYPERLINK("https://klasma.github.io/Logging_2513/klagomål/A 38989-2023 FSC-klagomål.docx", "A 38989-2023")</f>
        <v/>
      </c>
      <c r="AB12">
        <f>HYPERLINK("https://klasma.github.io/Logging_2513/klagomålsmail/A 38989-2023 FSC-klagomål mail.docx", "A 38989-2023")</f>
        <v/>
      </c>
      <c r="AC12">
        <f>HYPERLINK("https://klasma.github.io/Logging_2513/tillsyn/A 38989-2023 tillsynsbegäran.docx", "A 38989-2023")</f>
        <v/>
      </c>
      <c r="AD12">
        <f>HYPERLINK("https://klasma.github.io/Logging_2513/tillsynsmail/A 38989-2023 tillsynsbegäran mail.docx", "A 38989-2023")</f>
        <v/>
      </c>
    </row>
    <row r="13" ht="15" customHeight="1">
      <c r="A13" t="inlineStr">
        <is>
          <t>A 49422-2023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45211</v>
      </c>
      <c r="E13" s="1" t="n">
        <v>46316</v>
      </c>
      <c r="F13" t="inlineStr">
        <is>
          <t>NORRBOTTENS LÄN</t>
        </is>
      </c>
      <c r="G13" t="inlineStr">
        <is>
          <t>ÖVERKALIX</t>
        </is>
      </c>
      <c r="H13" t="inlineStr">
        <is>
          <t>Sveaskog</t>
        </is>
      </c>
      <c r="I13" t="n">
        <v>5.6</v>
      </c>
      <c r="J13" t="n">
        <v>0</v>
      </c>
      <c r="K13" t="n">
        <v>0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1</v>
      </c>
      <c r="S13" t="n">
        <v>5</v>
      </c>
      <c r="T13" t="n">
        <v>6</v>
      </c>
      <c r="U13" t="n">
        <v>6</v>
      </c>
      <c r="V13" s="2" t="inlineStr">
        <is>
          <t>Tallgråticka
Blå taggsvamp
Dropptaggsvamp
Orange taggsvamp
Svartvit taggsvamp</t>
        </is>
      </c>
      <c r="W13">
        <f>HYPERLINK("https://klasma.github.io/Logging_2513/artfynd/A 49422-2023 artfynd.xlsx", "A 49422-2023")</f>
        <v/>
      </c>
      <c r="X13">
        <f>HYPERLINK("https://klasma.github.io/Logging_2513/kartor/A 49422-2023 karta.png", "A 49422-2023")</f>
        <v/>
      </c>
      <c r="Y13">
        <f>HYPERLINK("https://klasma.github.io/Logging_2513/kartor_geotiff/A 49422-2023 georefererad karta.tif", "A 49422-2023")</f>
        <v/>
      </c>
      <c r="AA13">
        <f>HYPERLINK("https://klasma.github.io/Logging_2513/klagomål/A 49422-2023 FSC-klagomål.docx", "A 49422-2023")</f>
        <v/>
      </c>
      <c r="AB13">
        <f>HYPERLINK("https://klasma.github.io/Logging_2513/klagomålsmail/A 49422-2023 FSC-klagomål mail.docx", "A 49422-2023")</f>
        <v/>
      </c>
      <c r="AC13">
        <f>HYPERLINK("https://klasma.github.io/Logging_2513/tillsyn/A 49422-2023 tillsynsbegäran.docx", "A 49422-2023")</f>
        <v/>
      </c>
      <c r="AD13">
        <f>HYPERLINK("https://klasma.github.io/Logging_2513/tillsynsmail/A 49422-2023 tillsynsbegäran mail.docx", "A 49422-2023")</f>
        <v/>
      </c>
    </row>
    <row r="14" ht="15" customHeight="1">
      <c r="A14" t="inlineStr">
        <is>
          <t>A 31751-2025</t>
        </is>
      </c>
      <c r="B14" t="inlineStr">
        <is>
          <t>avverkningsanmälan</t>
        </is>
      </c>
      <c r="C14" t="inlineStr">
        <is>
          <t>Avverkning för annat ändamål</t>
        </is>
      </c>
      <c r="D14" s="1" t="n">
        <v>45834</v>
      </c>
      <c r="E14" s="1" t="n">
        <v>46316</v>
      </c>
      <c r="F14" t="inlineStr">
        <is>
          <t>NORRBOTTENS LÄN</t>
        </is>
      </c>
      <c r="G14" t="inlineStr">
        <is>
          <t>ÖVERKALIX</t>
        </is>
      </c>
      <c r="I14" t="n">
        <v>0.9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5</v>
      </c>
      <c r="T14" t="n">
        <v>5</v>
      </c>
      <c r="U14" t="n">
        <v>0</v>
      </c>
      <c r="V14" s="2" t="inlineStr">
        <is>
          <t>Blå taggsvamp
Orange taggsvamp
Skarp dropptaggsvamp
Tallfingersvamp
Vaxspindling</t>
        </is>
      </c>
      <c r="W14">
        <f>HYPERLINK("https://klasma.github.io/Logging_2513/artfynd/A 31751-2025 artfynd.xlsx", "A 31751-2025")</f>
        <v/>
      </c>
      <c r="X14">
        <f>HYPERLINK("https://klasma.github.io/Logging_2513/kartor/A 31751-2025 karta.png", "A 31751-2025")</f>
        <v/>
      </c>
      <c r="Y14">
        <f>HYPERLINK("https://klasma.github.io/Logging_2513/kartor_geotiff/A 31751-2025 georefererad karta.tif", "A 31751-2025")</f>
        <v/>
      </c>
      <c r="AA14">
        <f>HYPERLINK("https://klasma.github.io/Logging_2513/klagomål/A 31751-2025 FSC-klagomål.docx", "A 31751-2025")</f>
        <v/>
      </c>
      <c r="AB14">
        <f>HYPERLINK("https://klasma.github.io/Logging_2513/klagomålsmail/A 31751-2025 FSC-klagomål mail.docx", "A 31751-2025")</f>
        <v/>
      </c>
      <c r="AC14">
        <f>HYPERLINK("https://klasma.github.io/Logging_2513/tillsyn/A 31751-2025 tillsynsbegäran.docx", "A 31751-2025")</f>
        <v/>
      </c>
      <c r="AD14">
        <f>HYPERLINK("https://klasma.github.io/Logging_2513/tillsynsmail/A 31751-2025 tillsynsbegäran mail.docx", "A 31751-2025")</f>
        <v/>
      </c>
    </row>
    <row r="15" ht="15" customHeight="1">
      <c r="A15" t="inlineStr">
        <is>
          <t>A 39772-2026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46290</v>
      </c>
      <c r="E15" s="1" t="n">
        <v>46316</v>
      </c>
      <c r="F15" t="inlineStr">
        <is>
          <t>NORRBOTTENS LÄN</t>
        </is>
      </c>
      <c r="G15" t="inlineStr">
        <is>
          <t>ÖVERKALIX</t>
        </is>
      </c>
      <c r="H15" t="inlineStr">
        <is>
          <t>Sveaskog</t>
        </is>
      </c>
      <c r="I15" t="n">
        <v>13.2</v>
      </c>
      <c r="J15" t="n">
        <v>0</v>
      </c>
      <c r="K15" t="n">
        <v>0</v>
      </c>
      <c r="L15" t="n">
        <v>4</v>
      </c>
      <c r="M15" t="n">
        <v>1</v>
      </c>
      <c r="N15" t="n">
        <v>0</v>
      </c>
      <c r="O15" t="n">
        <v>0</v>
      </c>
      <c r="P15" t="n">
        <v>0</v>
      </c>
      <c r="Q15" t="n">
        <v>5</v>
      </c>
      <c r="R15" t="n">
        <v>1</v>
      </c>
      <c r="S15" t="n">
        <v>5</v>
      </c>
      <c r="T15" t="n">
        <v>11</v>
      </c>
      <c r="U15" t="n">
        <v>0</v>
      </c>
      <c r="V15" s="2" t="inlineStr">
        <is>
          <t>Tallgråticka
Blå taggsvamp
Orange taggsvamp
Talltaggsvamp
Vaddporing</t>
        </is>
      </c>
      <c r="W15">
        <f>HYPERLINK("https://klasma.github.io/Logging_2513/artfynd/A 39772-2026 artfynd.xlsx", "A 39772-2026")</f>
        <v/>
      </c>
      <c r="X15">
        <f>HYPERLINK("https://klasma.github.io/Logging_2513/kartor/A 39772-2026 karta.png", "A 39772-2026")</f>
        <v/>
      </c>
      <c r="Y15">
        <f>HYPERLINK("https://klasma.github.io/Logging_2513/kartor_geotiff/A 39772-2026 georefererad karta.tif", "A 39772-2026")</f>
        <v/>
      </c>
      <c r="AA15">
        <f>HYPERLINK("https://klasma.github.io/Logging_2513/klagomål/A 39772-2026 FSC-klagomål.docx", "A 39772-2026")</f>
        <v/>
      </c>
      <c r="AB15">
        <f>HYPERLINK("https://klasma.github.io/Logging_2513/klagomålsmail/A 39772-2026 FSC-klagomål mail.docx", "A 39772-2026")</f>
        <v/>
      </c>
      <c r="AC15">
        <f>HYPERLINK("https://klasma.github.io/Logging_2513/tillsyn/A 39772-2026 tillsynsbegäran.docx", "A 39772-2026")</f>
        <v/>
      </c>
      <c r="AD15">
        <f>HYPERLINK("https://klasma.github.io/Logging_2513/tillsynsmail/A 39772-2026 tillsynsbegäran mail.docx", "A 39772-2026")</f>
        <v/>
      </c>
    </row>
    <row r="16" ht="15" customHeight="1">
      <c r="A16" t="inlineStr">
        <is>
          <t>A 1827-2025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45671</v>
      </c>
      <c r="E16" s="1" t="n">
        <v>46316</v>
      </c>
      <c r="F16" t="inlineStr">
        <is>
          <t>NORRBOTTENS LÄN</t>
        </is>
      </c>
      <c r="G16" t="inlineStr">
        <is>
          <t>ÖVERKALIX</t>
        </is>
      </c>
      <c r="I16" t="n">
        <v>7</v>
      </c>
      <c r="J16" t="n">
        <v>2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4</v>
      </c>
      <c r="T16" t="n">
        <v>4</v>
      </c>
      <c r="U16" t="n">
        <v>0</v>
      </c>
      <c r="V16" s="2" t="inlineStr">
        <is>
          <t>Garnlav
Stuplav
Spillkråka
Tjäder</t>
        </is>
      </c>
      <c r="W16">
        <f>HYPERLINK("https://klasma.github.io/Logging_2513/artfynd/A 1827-2025 artfynd.xlsx", "A 1827-2025")</f>
        <v/>
      </c>
      <c r="X16">
        <f>HYPERLINK("https://klasma.github.io/Logging_2513/kartor/A 1827-2025 karta.png", "A 1827-2025")</f>
        <v/>
      </c>
      <c r="Y16">
        <f>HYPERLINK("https://klasma.github.io/Logging_2513/kartor_geotiff/A 1827-2025 georefererad karta.tif", "A 1827-2025")</f>
        <v/>
      </c>
      <c r="AA16">
        <f>HYPERLINK("https://klasma.github.io/Logging_2513/klagomål/A 1827-2025 FSC-klagomål.docx", "A 1827-2025")</f>
        <v/>
      </c>
      <c r="AB16">
        <f>HYPERLINK("https://klasma.github.io/Logging_2513/klagomålsmail/A 1827-2025 FSC-klagomål mail.docx", "A 1827-2025")</f>
        <v/>
      </c>
      <c r="AC16">
        <f>HYPERLINK("https://klasma.github.io/Logging_2513/tillsyn/A 1827-2025 tillsynsbegäran.docx", "A 1827-2025")</f>
        <v/>
      </c>
      <c r="AD16">
        <f>HYPERLINK("https://klasma.github.io/Logging_2513/tillsynsmail/A 1827-2025 tillsynsbegäran mail.docx", "A 1827-2025")</f>
        <v/>
      </c>
      <c r="AE16">
        <f>HYPERLINK("https://klasma.github.io/Logging_2513/fåglar/A 1827-2025 prioriterade fågelarter.docx", "A 1827-2025")</f>
        <v/>
      </c>
    </row>
    <row r="17" ht="15" customHeight="1">
      <c r="A17" t="inlineStr">
        <is>
          <t>S 440-2023</t>
        </is>
      </c>
      <c r="B17" t="inlineStr">
        <is>
          <t>samrådsanmälan</t>
        </is>
      </c>
      <c r="C17" t="inlineStr">
        <is>
          <t>Skogsgödsling</t>
        </is>
      </c>
      <c r="D17" s="1" t="n">
        <v>44960</v>
      </c>
      <c r="E17" s="1" t="n">
        <v>46316</v>
      </c>
      <c r="F17" t="inlineStr">
        <is>
          <t>NORRBOTTENS LÄN</t>
        </is>
      </c>
      <c r="G17" t="inlineStr">
        <is>
          <t>ÖVERKALIX</t>
        </is>
      </c>
      <c r="H17" t="inlineStr">
        <is>
          <t>SCA</t>
        </is>
      </c>
      <c r="I17" t="n">
        <v>164.8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4</v>
      </c>
      <c r="U17" t="n">
        <v>1</v>
      </c>
      <c r="V17" s="2" t="inlineStr">
        <is>
          <t>Älg
Järpe
Spillkråka
Tallbit</t>
        </is>
      </c>
      <c r="W17">
        <f>HYPERLINK("https://klasma.github.io/Logging_2513/artfynd/S 440-2023 artfynd.xlsx", "S 440-2023")</f>
        <v/>
      </c>
      <c r="X17">
        <f>HYPERLINK("https://klasma.github.io/Logging_2513/kartor/S 440-2023 karta.png", "S 440-2023")</f>
        <v/>
      </c>
      <c r="Y17">
        <f>HYPERLINK("https://klasma.github.io/Logging_2513/kartor_geotiff/S 440-2023 georefererad karta.tif", "S 440-2023")</f>
        <v/>
      </c>
      <c r="AA17">
        <f>HYPERLINK("https://klasma.github.io/Logging_2513/klagomål/S 440-2023 FSC-klagomål.docx", "S 440-2023")</f>
        <v/>
      </c>
      <c r="AB17">
        <f>HYPERLINK("https://klasma.github.io/Logging_2513/klagomålsmail/S 440-2023 FSC-klagomål mail.docx", "S 440-2023")</f>
        <v/>
      </c>
      <c r="AC17">
        <f>HYPERLINK("https://klasma.github.io/Logging_2513/tillsyn/S 440-2023 tillsynsbegäran.docx", "S 440-2023")</f>
        <v/>
      </c>
      <c r="AD17">
        <f>HYPERLINK("https://klasma.github.io/Logging_2513/tillsynsmail/S 440-2023 tillsynsbegäran mail.docx", "S 440-2023")</f>
        <v/>
      </c>
      <c r="AE17">
        <f>HYPERLINK("https://klasma.github.io/Logging_2513/fåglar/S 440-2023 prioriterade fågelarter.docx", "S 440-2023")</f>
        <v/>
      </c>
    </row>
    <row r="18" ht="15" customHeight="1">
      <c r="A18" t="inlineStr">
        <is>
          <t>S 2267-2025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45874</v>
      </c>
      <c r="E18" s="1" t="n">
        <v>46316</v>
      </c>
      <c r="F18" t="inlineStr">
        <is>
          <t>NORRBOTTENS LÄN</t>
        </is>
      </c>
      <c r="G18" t="inlineStr">
        <is>
          <t>ÖVERKALIX</t>
        </is>
      </c>
      <c r="H18" t="inlineStr">
        <is>
          <t>Sveaskog</t>
        </is>
      </c>
      <c r="I18" t="n">
        <v>1.7</v>
      </c>
      <c r="J18" t="n">
        <v>1</v>
      </c>
      <c r="K18" t="n">
        <v>0</v>
      </c>
      <c r="L18" t="n">
        <v>2</v>
      </c>
      <c r="M18" t="n">
        <v>1</v>
      </c>
      <c r="N18" t="n">
        <v>1</v>
      </c>
      <c r="O18" t="n">
        <v>0</v>
      </c>
      <c r="P18" t="n">
        <v>0</v>
      </c>
      <c r="Q18" t="n">
        <v>4</v>
      </c>
      <c r="R18" t="n">
        <v>2</v>
      </c>
      <c r="S18" t="n">
        <v>4</v>
      </c>
      <c r="T18" t="n">
        <v>4</v>
      </c>
      <c r="U18" t="n">
        <v>0</v>
      </c>
      <c r="V18" s="2" t="inlineStr">
        <is>
          <t>Djupsvart brunbagge
Tornseglare
Rosenticka
Ullticka</t>
        </is>
      </c>
      <c r="W18">
        <f>HYPERLINK("https://klasma.github.io/Logging_2513/artfynd/S 2267-2025 artfynd.xlsx", "S 2267-2025")</f>
        <v/>
      </c>
      <c r="X18">
        <f>HYPERLINK("https://klasma.github.io/Logging_2513/kartor/S 2267-2025 karta.png", "S 2267-2025")</f>
        <v/>
      </c>
      <c r="Y18">
        <f>HYPERLINK("https://klasma.github.io/Logging_2513/kartor_geotiff/S 2267-2025 georefererad karta.tif", "S 2267-2025")</f>
        <v/>
      </c>
      <c r="AA18">
        <f>HYPERLINK("https://klasma.github.io/Logging_2513/klagomål/S 2267-2025 FSC-klagomål.docx", "S 2267-2025")</f>
        <v/>
      </c>
      <c r="AB18">
        <f>HYPERLINK("https://klasma.github.io/Logging_2513/klagomålsmail/S 2267-2025 FSC-klagomål mail.docx", "S 2267-2025")</f>
        <v/>
      </c>
      <c r="AC18">
        <f>HYPERLINK("https://klasma.github.io/Logging_2513/tillsyn/S 2267-2025 tillsynsbegäran.docx", "S 2267-2025")</f>
        <v/>
      </c>
      <c r="AD18">
        <f>HYPERLINK("https://klasma.github.io/Logging_2513/tillsynsmail/S 2267-2025 tillsynsbegäran mail.docx", "S 2267-2025")</f>
        <v/>
      </c>
      <c r="AE18">
        <f>HYPERLINK("https://klasma.github.io/Logging_2513/fåglar/S 2267-2025 prioriterade fågelarter.docx", "S 2267-2025")</f>
        <v/>
      </c>
    </row>
    <row r="19" ht="15" customHeight="1">
      <c r="A19" t="inlineStr">
        <is>
          <t>A 42861-2025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45908</v>
      </c>
      <c r="E19" s="1" t="n">
        <v>46316</v>
      </c>
      <c r="F19" t="inlineStr">
        <is>
          <t>NORRBOTTENS LÄN</t>
        </is>
      </c>
      <c r="G19" t="inlineStr">
        <is>
          <t>ÖVERKALIX</t>
        </is>
      </c>
      <c r="H19" t="inlineStr">
        <is>
          <t>Sveaskog</t>
        </is>
      </c>
      <c r="I19" t="n">
        <v>3.7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3</v>
      </c>
      <c r="U19" t="n">
        <v>3</v>
      </c>
      <c r="V19" s="2" t="inlineStr">
        <is>
          <t>Blå taggsvamp
Dropptaggsvamp
Skarp dropptaggsvamp</t>
        </is>
      </c>
      <c r="W19">
        <f>HYPERLINK("https://klasma.github.io/Logging_2513/artfynd/A 42861-2025 artfynd.xlsx", "A 42861-2025")</f>
        <v/>
      </c>
      <c r="X19">
        <f>HYPERLINK("https://klasma.github.io/Logging_2513/kartor/A 42861-2025 karta.png", "A 42861-2025")</f>
        <v/>
      </c>
      <c r="Y19">
        <f>HYPERLINK("https://klasma.github.io/Logging_2513/kartor_geotiff/A 42861-2025 georefererad karta.tif", "A 42861-2025")</f>
        <v/>
      </c>
      <c r="AA19">
        <f>HYPERLINK("https://klasma.github.io/Logging_2513/klagomål/A 42861-2025 FSC-klagomål.docx", "A 42861-2025")</f>
        <v/>
      </c>
      <c r="AB19">
        <f>HYPERLINK("https://klasma.github.io/Logging_2513/klagomålsmail/A 42861-2025 FSC-klagomål mail.docx", "A 42861-2025")</f>
        <v/>
      </c>
      <c r="AC19">
        <f>HYPERLINK("https://klasma.github.io/Logging_2513/tillsyn/A 42861-2025 tillsynsbegäran.docx", "A 42861-2025")</f>
        <v/>
      </c>
      <c r="AD19">
        <f>HYPERLINK("https://klasma.github.io/Logging_2513/tillsynsmail/A 42861-2025 tillsynsbegäran mail.docx", "A 42861-2025")</f>
        <v/>
      </c>
    </row>
    <row r="20" ht="15" customHeight="1">
      <c r="A20" t="inlineStr">
        <is>
          <t>A 42872-2025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45908</v>
      </c>
      <c r="E20" s="1" t="n">
        <v>46316</v>
      </c>
      <c r="F20" t="inlineStr">
        <is>
          <t>NORRBOTTENS LÄN</t>
        </is>
      </c>
      <c r="G20" t="inlineStr">
        <is>
          <t>ÖVERKALIX</t>
        </is>
      </c>
      <c r="H20" t="inlineStr">
        <is>
          <t>Sveaskog</t>
        </is>
      </c>
      <c r="I20" t="n">
        <v>13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3</v>
      </c>
      <c r="T20" t="n">
        <v>6</v>
      </c>
      <c r="U20" t="n">
        <v>6</v>
      </c>
      <c r="V20" s="2" t="inlineStr">
        <is>
          <t>Blå taggsvamp
Dropptaggsvamp
Skarp dropptaggsvamp</t>
        </is>
      </c>
      <c r="W20">
        <f>HYPERLINK("https://klasma.github.io/Logging_2513/artfynd/A 42872-2025 artfynd.xlsx", "A 42872-2025")</f>
        <v/>
      </c>
      <c r="X20">
        <f>HYPERLINK("https://klasma.github.io/Logging_2513/kartor/A 42872-2025 karta.png", "A 42872-2025")</f>
        <v/>
      </c>
      <c r="Y20">
        <f>HYPERLINK("https://klasma.github.io/Logging_2513/kartor_geotiff/A 42872-2025 georefererad karta.tif", "A 42872-2025")</f>
        <v/>
      </c>
      <c r="AA20">
        <f>HYPERLINK("https://klasma.github.io/Logging_2513/klagomål/A 42872-2025 FSC-klagomål.docx", "A 42872-2025")</f>
        <v/>
      </c>
      <c r="AB20">
        <f>HYPERLINK("https://klasma.github.io/Logging_2513/klagomålsmail/A 42872-2025 FSC-klagomål mail.docx", "A 42872-2025")</f>
        <v/>
      </c>
      <c r="AC20">
        <f>HYPERLINK("https://klasma.github.io/Logging_2513/tillsyn/A 42872-2025 tillsynsbegäran.docx", "A 42872-2025")</f>
        <v/>
      </c>
      <c r="AD20">
        <f>HYPERLINK("https://klasma.github.io/Logging_2513/tillsynsmail/A 42872-2025 tillsynsbegäran mail.docx", "A 42872-2025")</f>
        <v/>
      </c>
    </row>
    <row r="21" ht="15" customHeight="1">
      <c r="A21" t="inlineStr">
        <is>
          <t>A 17802-2025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45758</v>
      </c>
      <c r="E21" s="1" t="n">
        <v>46316</v>
      </c>
      <c r="F21" t="inlineStr">
        <is>
          <t>NORRBOTTENS LÄN</t>
        </is>
      </c>
      <c r="G21" t="inlineStr">
        <is>
          <t>ÖVERKALIX</t>
        </is>
      </c>
      <c r="H21" t="inlineStr">
        <is>
          <t>Sveaskog</t>
        </is>
      </c>
      <c r="I21" t="n">
        <v>1.6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3</v>
      </c>
      <c r="T21" t="n">
        <v>3</v>
      </c>
      <c r="U21" t="n">
        <v>0</v>
      </c>
      <c r="V21" s="2" t="inlineStr">
        <is>
          <t>Hökuggla
Älg
Tjäder</t>
        </is>
      </c>
      <c r="W21">
        <f>HYPERLINK("https://klasma.github.io/Logging_2513/artfynd/A 17802-2025 artfynd.xlsx", "A 17802-2025")</f>
        <v/>
      </c>
      <c r="X21">
        <f>HYPERLINK("https://klasma.github.io/Logging_2513/kartor/A 17802-2025 karta.png", "A 17802-2025")</f>
        <v/>
      </c>
      <c r="Y21">
        <f>HYPERLINK("https://klasma.github.io/Logging_2513/kartor_geotiff/A 17802-2025 georefererad karta.tif", "A 17802-2025")</f>
        <v/>
      </c>
      <c r="AA21">
        <f>HYPERLINK("https://klasma.github.io/Logging_2513/klagomål/A 17802-2025 FSC-klagomål.docx", "A 17802-2025")</f>
        <v/>
      </c>
      <c r="AB21">
        <f>HYPERLINK("https://klasma.github.io/Logging_2513/klagomålsmail/A 17802-2025 FSC-klagomål mail.docx", "A 17802-2025")</f>
        <v/>
      </c>
      <c r="AC21">
        <f>HYPERLINK("https://klasma.github.io/Logging_2513/tillsyn/A 17802-2025 tillsynsbegäran.docx", "A 17802-2025")</f>
        <v/>
      </c>
      <c r="AD21">
        <f>HYPERLINK("https://klasma.github.io/Logging_2513/tillsynsmail/A 17802-2025 tillsynsbegäran mail.docx", "A 17802-2025")</f>
        <v/>
      </c>
      <c r="AE21">
        <f>HYPERLINK("https://klasma.github.io/Logging_2513/fåglar/A 17802-2025 prioriterade fågelarter.docx", "A 17802-2025")</f>
        <v/>
      </c>
    </row>
    <row r="22" ht="15" customHeight="1">
      <c r="A22" t="inlineStr">
        <is>
          <t>A 28577-2024</t>
        </is>
      </c>
      <c r="B22" t="inlineStr">
        <is>
          <t>avverkningsanmälan</t>
        </is>
      </c>
      <c r="C22" t="inlineStr">
        <is>
          <t>Avverkning för att bevara och utveckla /försöksver</t>
        </is>
      </c>
      <c r="D22" s="1" t="n">
        <v>45478</v>
      </c>
      <c r="E22" s="1" t="n">
        <v>46316</v>
      </c>
      <c r="F22" t="inlineStr">
        <is>
          <t>NORRBOTTENS LÄN</t>
        </is>
      </c>
      <c r="G22" t="inlineStr">
        <is>
          <t>ÖVERKALIX</t>
        </is>
      </c>
      <c r="H22" t="inlineStr">
        <is>
          <t>Sveaskog</t>
        </is>
      </c>
      <c r="I22" t="n">
        <v>0.8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12</v>
      </c>
      <c r="U22" t="n">
        <v>0</v>
      </c>
      <c r="V22" s="2" t="inlineStr">
        <is>
          <t>Månlåsbräken
Plattlummer
Fläcknycklar</t>
        </is>
      </c>
      <c r="W22">
        <f>HYPERLINK("https://klasma.github.io/Logging_2513/artfynd/A 28577-2024 artfynd.xlsx", "A 28577-2024")</f>
        <v/>
      </c>
      <c r="X22">
        <f>HYPERLINK("https://klasma.github.io/Logging_2513/kartor/A 28577-2024 karta.png", "A 28577-2024")</f>
        <v/>
      </c>
      <c r="Y22">
        <f>HYPERLINK("https://klasma.github.io/Logging_2513/kartor_geotiff/A 28577-2024 georefererad karta.tif", "A 28577-2024")</f>
        <v/>
      </c>
      <c r="AA22">
        <f>HYPERLINK("https://klasma.github.io/Logging_2513/klagomål/A 28577-2024 FSC-klagomål.docx", "A 28577-2024")</f>
        <v/>
      </c>
      <c r="AB22">
        <f>HYPERLINK("https://klasma.github.io/Logging_2513/klagomålsmail/A 28577-2024 FSC-klagomål mail.docx", "A 28577-2024")</f>
        <v/>
      </c>
      <c r="AC22">
        <f>HYPERLINK("https://klasma.github.io/Logging_2513/tillsyn/A 28577-2024 tillsynsbegäran.docx", "A 28577-2024")</f>
        <v/>
      </c>
      <c r="AD22">
        <f>HYPERLINK("https://klasma.github.io/Logging_2513/tillsynsmail/A 28577-2024 tillsynsbegäran mail.docx", "A 28577-2024")</f>
        <v/>
      </c>
    </row>
    <row r="23" ht="15" customHeight="1">
      <c r="A23" t="inlineStr">
        <is>
          <t>A 30525-2025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45831</v>
      </c>
      <c r="E23" s="1" t="n">
        <v>46316</v>
      </c>
      <c r="F23" t="inlineStr">
        <is>
          <t>NORRBOTTENS LÄN</t>
        </is>
      </c>
      <c r="G23" t="inlineStr">
        <is>
          <t>ÖVERKALIX</t>
        </is>
      </c>
      <c r="H23" t="inlineStr">
        <is>
          <t>Sveaskog</t>
        </is>
      </c>
      <c r="I23" t="n">
        <v>5.3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3</v>
      </c>
      <c r="U23" t="n">
        <v>2</v>
      </c>
      <c r="V23" s="2" t="inlineStr">
        <is>
          <t>Gammelgransskål
Bollvitmossa
Järpe</t>
        </is>
      </c>
      <c r="W23">
        <f>HYPERLINK("https://klasma.github.io/Logging_2513/artfynd/A 30525-2025 artfynd.xlsx", "A 30525-2025")</f>
        <v/>
      </c>
      <c r="X23">
        <f>HYPERLINK("https://klasma.github.io/Logging_2513/kartor/A 30525-2025 karta.png", "A 30525-2025")</f>
        <v/>
      </c>
      <c r="Y23">
        <f>HYPERLINK("https://klasma.github.io/Logging_2513/kartor_geotiff/A 30525-2025 georefererad karta.tif", "A 30525-2025")</f>
        <v/>
      </c>
      <c r="AA23">
        <f>HYPERLINK("https://klasma.github.io/Logging_2513/klagomål/A 30525-2025 FSC-klagomål.docx", "A 30525-2025")</f>
        <v/>
      </c>
      <c r="AB23">
        <f>HYPERLINK("https://klasma.github.io/Logging_2513/klagomålsmail/A 30525-2025 FSC-klagomål mail.docx", "A 30525-2025")</f>
        <v/>
      </c>
      <c r="AC23">
        <f>HYPERLINK("https://klasma.github.io/Logging_2513/tillsyn/A 30525-2025 tillsynsbegäran.docx", "A 30525-2025")</f>
        <v/>
      </c>
      <c r="AD23">
        <f>HYPERLINK("https://klasma.github.io/Logging_2513/tillsynsmail/A 30525-2025 tillsynsbegäran mail.docx", "A 30525-2025")</f>
        <v/>
      </c>
      <c r="AE23">
        <f>HYPERLINK("https://klasma.github.io/Logging_2513/fåglar/A 30525-2025 prioriterade fågelarter.docx", "A 30525-2025")</f>
        <v/>
      </c>
    </row>
    <row r="24" ht="15" customHeight="1">
      <c r="A24" t="inlineStr">
        <is>
          <t>A 19275-2025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45769</v>
      </c>
      <c r="E24" s="1" t="n">
        <v>46316</v>
      </c>
      <c r="F24" t="inlineStr">
        <is>
          <t>NORRBOTTENS LÄN</t>
        </is>
      </c>
      <c r="G24" t="inlineStr">
        <is>
          <t>ÖVERKALIX</t>
        </is>
      </c>
      <c r="H24" t="inlineStr">
        <is>
          <t>Sveaskog</t>
        </is>
      </c>
      <c r="I24" t="n">
        <v>16.3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3</v>
      </c>
      <c r="T24" t="n">
        <v>5</v>
      </c>
      <c r="U24" t="n">
        <v>3</v>
      </c>
      <c r="V24" s="2" t="inlineStr">
        <is>
          <t>Fläckporing
Knärot
Plattlummer</t>
        </is>
      </c>
      <c r="W24">
        <f>HYPERLINK("https://klasma.github.io/Logging_2513/artfynd/A 19275-2025 artfynd.xlsx", "A 19275-2025")</f>
        <v/>
      </c>
      <c r="X24">
        <f>HYPERLINK("https://klasma.github.io/Logging_2513/kartor/A 19275-2025 karta.png", "A 19275-2025")</f>
        <v/>
      </c>
      <c r="Y24">
        <f>HYPERLINK("https://klasma.github.io/Logging_2513/kartor_geotiff/A 19275-2025 georefererad karta.tif", "A 19275-2025")</f>
        <v/>
      </c>
      <c r="Z24">
        <f>HYPERLINK("https://klasma.github.io/Logging_2513/knärot/A 19275-2025 karta knärot.png", "A 19275-2025")</f>
        <v/>
      </c>
      <c r="AA24">
        <f>HYPERLINK("https://klasma.github.io/Logging_2513/klagomål/A 19275-2025 FSC-klagomål.docx", "A 19275-2025")</f>
        <v/>
      </c>
      <c r="AB24">
        <f>HYPERLINK("https://klasma.github.io/Logging_2513/klagomålsmail/A 19275-2025 FSC-klagomål mail.docx", "A 19275-2025")</f>
        <v/>
      </c>
      <c r="AC24">
        <f>HYPERLINK("https://klasma.github.io/Logging_2513/tillsyn/A 19275-2025 tillsynsbegäran.docx", "A 19275-2025")</f>
        <v/>
      </c>
      <c r="AD24">
        <f>HYPERLINK("https://klasma.github.io/Logging_2513/tillsynsmail/A 19275-2025 tillsynsbegäran mail.docx", "A 19275-2025")</f>
        <v/>
      </c>
    </row>
    <row r="25" ht="15" customHeight="1">
      <c r="A25" t="inlineStr">
        <is>
          <t>A 25544-2026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46177</v>
      </c>
      <c r="E25" s="1" t="n">
        <v>46316</v>
      </c>
      <c r="F25" t="inlineStr">
        <is>
          <t>NORRBOTTENS LÄN</t>
        </is>
      </c>
      <c r="G25" t="inlineStr">
        <is>
          <t>ÖVERKALIX</t>
        </is>
      </c>
      <c r="H25" t="inlineStr">
        <is>
          <t>Sveaskog</t>
        </is>
      </c>
      <c r="I25" t="n">
        <v>3</v>
      </c>
      <c r="J25" t="n">
        <v>0</v>
      </c>
      <c r="K25" t="n">
        <v>0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1</v>
      </c>
      <c r="S25" t="n">
        <v>3</v>
      </c>
      <c r="T25" t="n">
        <v>3</v>
      </c>
      <c r="U25" t="n">
        <v>0</v>
      </c>
      <c r="V25" s="2" t="inlineStr">
        <is>
          <t>Tallgråticka
Blå taggsvamp
Skarp dropptaggsvamp</t>
        </is>
      </c>
      <c r="W25">
        <f>HYPERLINK("https://klasma.github.io/Logging_2513/artfynd/A 25544-2026 artfynd.xlsx", "A 25544-2026")</f>
        <v/>
      </c>
      <c r="X25">
        <f>HYPERLINK("https://klasma.github.io/Logging_2513/kartor/A 25544-2026 karta.png", "A 25544-2026")</f>
        <v/>
      </c>
      <c r="Y25">
        <f>HYPERLINK("https://klasma.github.io/Logging_2513/kartor_geotiff/A 25544-2026 georefererad karta.tif", "A 25544-2026")</f>
        <v/>
      </c>
      <c r="AA25">
        <f>HYPERLINK("https://klasma.github.io/Logging_2513/klagomål/A 25544-2026 FSC-klagomål.docx", "A 25544-2026")</f>
        <v/>
      </c>
      <c r="AB25">
        <f>HYPERLINK("https://klasma.github.io/Logging_2513/klagomålsmail/A 25544-2026 FSC-klagomål mail.docx", "A 25544-2026")</f>
        <v/>
      </c>
      <c r="AC25">
        <f>HYPERLINK("https://klasma.github.io/Logging_2513/tillsyn/A 25544-2026 tillsynsbegäran.docx", "A 25544-2026")</f>
        <v/>
      </c>
      <c r="AD25">
        <f>HYPERLINK("https://klasma.github.io/Logging_2513/tillsynsmail/A 25544-2026 tillsynsbegäran mail.docx", "A 25544-2026")</f>
        <v/>
      </c>
    </row>
    <row r="26" ht="15" customHeight="1">
      <c r="A26" t="inlineStr">
        <is>
          <t>A 13467-2022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44645</v>
      </c>
      <c r="E26" s="1" t="n">
        <v>46316</v>
      </c>
      <c r="F26" t="inlineStr">
        <is>
          <t>NORRBOTTENS LÄN</t>
        </is>
      </c>
      <c r="G26" t="inlineStr">
        <is>
          <t>ÖVERKALIX</t>
        </is>
      </c>
      <c r="I26" t="n">
        <v>6.8</v>
      </c>
      <c r="J26" t="n">
        <v>3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3</v>
      </c>
      <c r="T26" t="n">
        <v>3</v>
      </c>
      <c r="U26" t="n">
        <v>2</v>
      </c>
      <c r="V26" s="2" t="inlineStr">
        <is>
          <t>Jorduggla
Järpe
Revlummer</t>
        </is>
      </c>
      <c r="W26">
        <f>HYPERLINK("https://klasma.github.io/Logging_2513/artfynd/A 13467-2022 artfynd.xlsx", "A 13467-2022")</f>
        <v/>
      </c>
      <c r="X26">
        <f>HYPERLINK("https://klasma.github.io/Logging_2513/kartor/A 13467-2022 karta.png", "A 13467-2022")</f>
        <v/>
      </c>
      <c r="Y26">
        <f>HYPERLINK("https://klasma.github.io/Logging_2513/kartor_geotiff/A 13467-2022 georefererad karta.tif", "A 13467-2022")</f>
        <v/>
      </c>
      <c r="AA26">
        <f>HYPERLINK("https://klasma.github.io/Logging_2513/klagomål/A 13467-2022 FSC-klagomål.docx", "A 13467-2022")</f>
        <v/>
      </c>
      <c r="AB26">
        <f>HYPERLINK("https://klasma.github.io/Logging_2513/klagomålsmail/A 13467-2022 FSC-klagomål mail.docx", "A 13467-2022")</f>
        <v/>
      </c>
      <c r="AC26">
        <f>HYPERLINK("https://klasma.github.io/Logging_2513/tillsyn/A 13467-2022 tillsynsbegäran.docx", "A 13467-2022")</f>
        <v/>
      </c>
      <c r="AD26">
        <f>HYPERLINK("https://klasma.github.io/Logging_2513/tillsynsmail/A 13467-2022 tillsynsbegäran mail.docx", "A 13467-2022")</f>
        <v/>
      </c>
      <c r="AE26">
        <f>HYPERLINK("https://klasma.github.io/Logging_2513/fåglar/A 13467-2022 prioriterade fågelarter.docx", "A 13467-2022")</f>
        <v/>
      </c>
    </row>
    <row r="27" ht="15" customHeight="1">
      <c r="A27" t="inlineStr">
        <is>
          <t>A 25551-2026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46177</v>
      </c>
      <c r="E27" s="1" t="n">
        <v>46316</v>
      </c>
      <c r="F27" t="inlineStr">
        <is>
          <t>NORRBOTTENS LÄN</t>
        </is>
      </c>
      <c r="G27" t="inlineStr">
        <is>
          <t>ÖVERKALIX</t>
        </is>
      </c>
      <c r="H27" t="inlineStr">
        <is>
          <t>Sveaskog</t>
        </is>
      </c>
      <c r="I27" t="n">
        <v>3.9</v>
      </c>
      <c r="J27" t="n">
        <v>0</v>
      </c>
      <c r="K27" t="n">
        <v>0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3</v>
      </c>
      <c r="T27" t="n">
        <v>5</v>
      </c>
      <c r="U27" t="n">
        <v>0</v>
      </c>
      <c r="V27" s="2" t="inlineStr">
        <is>
          <t>Goliatmusseron
Blå taggsvamp
Orange taggsvamp</t>
        </is>
      </c>
      <c r="W27">
        <f>HYPERLINK("https://klasma.github.io/Logging_2513/artfynd/A 25551-2026 artfynd.xlsx", "A 25551-2026")</f>
        <v/>
      </c>
      <c r="X27">
        <f>HYPERLINK("https://klasma.github.io/Logging_2513/kartor/A 25551-2026 karta.png", "A 25551-2026")</f>
        <v/>
      </c>
      <c r="Y27">
        <f>HYPERLINK("https://klasma.github.io/Logging_2513/kartor_geotiff/A 25551-2026 georefererad karta.tif", "A 25551-2026")</f>
        <v/>
      </c>
      <c r="AA27">
        <f>HYPERLINK("https://klasma.github.io/Logging_2513/klagomål/A 25551-2026 FSC-klagomål.docx", "A 25551-2026")</f>
        <v/>
      </c>
      <c r="AB27">
        <f>HYPERLINK("https://klasma.github.io/Logging_2513/klagomålsmail/A 25551-2026 FSC-klagomål mail.docx", "A 25551-2026")</f>
        <v/>
      </c>
      <c r="AC27">
        <f>HYPERLINK("https://klasma.github.io/Logging_2513/tillsyn/A 25551-2026 tillsynsbegäran.docx", "A 25551-2026")</f>
        <v/>
      </c>
      <c r="AD27">
        <f>HYPERLINK("https://klasma.github.io/Logging_2513/tillsynsmail/A 25551-2026 tillsynsbegäran mail.docx", "A 25551-2026")</f>
        <v/>
      </c>
    </row>
    <row r="28" ht="15" customHeight="1">
      <c r="A28" t="inlineStr">
        <is>
          <t>A 28998-2026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46199</v>
      </c>
      <c r="E28" s="1" t="n">
        <v>46316</v>
      </c>
      <c r="F28" t="inlineStr">
        <is>
          <t>NORRBOTTENS LÄN</t>
        </is>
      </c>
      <c r="G28" t="inlineStr">
        <is>
          <t>ÖVERKALIX</t>
        </is>
      </c>
      <c r="H28" t="inlineStr">
        <is>
          <t>Sveaskog</t>
        </is>
      </c>
      <c r="I28" t="n">
        <v>46.7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3</v>
      </c>
      <c r="T28" t="n">
        <v>9</v>
      </c>
      <c r="U28" t="n">
        <v>2</v>
      </c>
      <c r="V28" s="2" t="inlineStr">
        <is>
          <t>Garnlav
Lunglav
Fläcknycklar</t>
        </is>
      </c>
      <c r="W28">
        <f>HYPERLINK("https://klasma.github.io/Logging_2513/artfynd/A 28998-2026 artfynd.xlsx", "A 28998-2026")</f>
        <v/>
      </c>
      <c r="X28">
        <f>HYPERLINK("https://klasma.github.io/Logging_2513/kartor/A 28998-2026 karta.png", "A 28998-2026")</f>
        <v/>
      </c>
      <c r="Y28">
        <f>HYPERLINK("https://klasma.github.io/Logging_2513/kartor_geotiff/A 28998-2026 georefererad karta.tif", "A 28998-2026")</f>
        <v/>
      </c>
      <c r="AA28">
        <f>HYPERLINK("https://klasma.github.io/Logging_2513/klagomål/A 28998-2026 FSC-klagomål.docx", "A 28998-2026")</f>
        <v/>
      </c>
      <c r="AB28">
        <f>HYPERLINK("https://klasma.github.io/Logging_2513/klagomålsmail/A 28998-2026 FSC-klagomål mail.docx", "A 28998-2026")</f>
        <v/>
      </c>
      <c r="AC28">
        <f>HYPERLINK("https://klasma.github.io/Logging_2513/tillsyn/A 28998-2026 tillsynsbegäran.docx", "A 28998-2026")</f>
        <v/>
      </c>
      <c r="AD28">
        <f>HYPERLINK("https://klasma.github.io/Logging_2513/tillsynsmail/A 28998-2026 tillsynsbegäran mail.docx", "A 28998-2026")</f>
        <v/>
      </c>
    </row>
    <row r="29" ht="15" customHeight="1">
      <c r="A29" t="inlineStr">
        <is>
          <t>A 34842-2026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46258</v>
      </c>
      <c r="E29" s="1" t="n">
        <v>46316</v>
      </c>
      <c r="F29" t="inlineStr">
        <is>
          <t>NORRBOTTENS LÄN</t>
        </is>
      </c>
      <c r="G29" t="inlineStr">
        <is>
          <t>ÖVERKALIX</t>
        </is>
      </c>
      <c r="H29" t="inlineStr">
        <is>
          <t>Sveaskog</t>
        </is>
      </c>
      <c r="I29" t="n">
        <v>12.1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3</v>
      </c>
      <c r="T29" t="n">
        <v>3</v>
      </c>
      <c r="U29" t="n">
        <v>0</v>
      </c>
      <c r="V29" s="2" t="inlineStr">
        <is>
          <t>Dropptaggsvamp
Talltaggsvamp
Plattlummer</t>
        </is>
      </c>
      <c r="W29">
        <f>HYPERLINK("https://klasma.github.io/Logging_2513/artfynd/A 34842-2026 artfynd.xlsx", "A 34842-2026")</f>
        <v/>
      </c>
      <c r="X29">
        <f>HYPERLINK("https://klasma.github.io/Logging_2513/kartor/A 34842-2026 karta.png", "A 34842-2026")</f>
        <v/>
      </c>
      <c r="Y29">
        <f>HYPERLINK("https://klasma.github.io/Logging_2513/kartor_geotiff/A 34842-2026 georefererad karta.tif", "A 34842-2026")</f>
        <v/>
      </c>
      <c r="AA29">
        <f>HYPERLINK("https://klasma.github.io/Logging_2513/klagomål/A 34842-2026 FSC-klagomål.docx", "A 34842-2026")</f>
        <v/>
      </c>
      <c r="AB29">
        <f>HYPERLINK("https://klasma.github.io/Logging_2513/klagomålsmail/A 34842-2026 FSC-klagomål mail.docx", "A 34842-2026")</f>
        <v/>
      </c>
      <c r="AC29">
        <f>HYPERLINK("https://klasma.github.io/Logging_2513/tillsyn/A 34842-2026 tillsynsbegäran.docx", "A 34842-2026")</f>
        <v/>
      </c>
      <c r="AD29">
        <f>HYPERLINK("https://klasma.github.io/Logging_2513/tillsynsmail/A 34842-2026 tillsynsbegäran mail.docx", "A 34842-2026")</f>
        <v/>
      </c>
    </row>
    <row r="30" ht="15" customHeight="1">
      <c r="A30" t="inlineStr">
        <is>
          <t>A 5797-2022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44596</v>
      </c>
      <c r="E30" s="1" t="n">
        <v>46316</v>
      </c>
      <c r="F30" t="inlineStr">
        <is>
          <t>NORRBOTTENS LÄN</t>
        </is>
      </c>
      <c r="G30" t="inlineStr">
        <is>
          <t>ÖVERKALIX</t>
        </is>
      </c>
      <c r="H30" t="inlineStr">
        <is>
          <t>Sveaskog</t>
        </is>
      </c>
      <c r="I30" t="n">
        <v>2.4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Skarp dropptaggsvamp
Violmussling</t>
        </is>
      </c>
      <c r="W30">
        <f>HYPERLINK("https://klasma.github.io/Logging_2513/artfynd/A 5797-2022 artfynd.xlsx", "A 5797-2022")</f>
        <v/>
      </c>
      <c r="X30">
        <f>HYPERLINK("https://klasma.github.io/Logging_2513/kartor/A 5797-2022 karta.png", "A 5797-2022")</f>
        <v/>
      </c>
      <c r="Y30">
        <f>HYPERLINK("https://klasma.github.io/Logging_2513/kartor_geotiff/A 5797-2022 georefererad karta.tif", "A 5797-2022")</f>
        <v/>
      </c>
      <c r="AA30">
        <f>HYPERLINK("https://klasma.github.io/Logging_2513/klagomål/A 5797-2022 FSC-klagomål.docx", "A 5797-2022")</f>
        <v/>
      </c>
      <c r="AB30">
        <f>HYPERLINK("https://klasma.github.io/Logging_2513/klagomålsmail/A 5797-2022 FSC-klagomål mail.docx", "A 5797-2022")</f>
        <v/>
      </c>
      <c r="AC30">
        <f>HYPERLINK("https://klasma.github.io/Logging_2513/tillsyn/A 5797-2022 tillsynsbegäran.docx", "A 5797-2022")</f>
        <v/>
      </c>
      <c r="AD30">
        <f>HYPERLINK("https://klasma.github.io/Logging_2513/tillsynsmail/A 5797-2022 tillsynsbegäran mail.docx", "A 5797-2022")</f>
        <v/>
      </c>
    </row>
    <row r="31" ht="15" customHeight="1">
      <c r="A31" t="inlineStr">
        <is>
          <t>A 62951-2025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46009</v>
      </c>
      <c r="E31" s="1" t="n">
        <v>46316</v>
      </c>
      <c r="F31" t="inlineStr">
        <is>
          <t>NORRBOTTENS LÄN</t>
        </is>
      </c>
      <c r="G31" t="inlineStr">
        <is>
          <t>ÖVERKALIX</t>
        </is>
      </c>
      <c r="H31" t="inlineStr">
        <is>
          <t>SCA</t>
        </is>
      </c>
      <c r="I31" t="n">
        <v>4.2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1</v>
      </c>
      <c r="S31" t="n">
        <v>2</v>
      </c>
      <c r="T31" t="n">
        <v>2</v>
      </c>
      <c r="U31" t="n">
        <v>0</v>
      </c>
      <c r="V31" s="2" t="inlineStr">
        <is>
          <t>Garnlav
Ullticka</t>
        </is>
      </c>
      <c r="W31">
        <f>HYPERLINK("https://klasma.github.io/Logging_2513/artfynd/A 62951-2025 artfynd.xlsx", "A 62951-2025")</f>
        <v/>
      </c>
      <c r="X31">
        <f>HYPERLINK("https://klasma.github.io/Logging_2513/kartor/A 62951-2025 karta.png", "A 62951-2025")</f>
        <v/>
      </c>
      <c r="Y31">
        <f>HYPERLINK("https://klasma.github.io/Logging_2513/kartor_geotiff/A 62951-2025 georefererad karta.tif", "A 62951-2025")</f>
        <v/>
      </c>
      <c r="AA31">
        <f>HYPERLINK("https://klasma.github.io/Logging_2513/klagomål/A 62951-2025 FSC-klagomål.docx", "A 62951-2025")</f>
        <v/>
      </c>
      <c r="AB31">
        <f>HYPERLINK("https://klasma.github.io/Logging_2513/klagomålsmail/A 62951-2025 FSC-klagomål mail.docx", "A 62951-2025")</f>
        <v/>
      </c>
      <c r="AC31">
        <f>HYPERLINK("https://klasma.github.io/Logging_2513/tillsyn/A 62951-2025 tillsynsbegäran.docx", "A 62951-2025")</f>
        <v/>
      </c>
      <c r="AD31">
        <f>HYPERLINK("https://klasma.github.io/Logging_2513/tillsynsmail/A 62951-2025 tillsynsbegäran mail.docx", "A 62951-2025")</f>
        <v/>
      </c>
    </row>
    <row r="32" ht="15" customHeight="1">
      <c r="A32" t="inlineStr">
        <is>
          <t>A 26452-2025</t>
        </is>
      </c>
      <c r="B32" t="inlineStr">
        <is>
          <t>avverkningsanmälan</t>
        </is>
      </c>
      <c r="C32" t="inlineStr">
        <is>
          <t>Avverkning för annat ändamål</t>
        </is>
      </c>
      <c r="D32" s="1" t="n">
        <v>45807</v>
      </c>
      <c r="E32" s="1" t="n">
        <v>46316</v>
      </c>
      <c r="F32" t="inlineStr">
        <is>
          <t>NORRBOTTENS LÄN</t>
        </is>
      </c>
      <c r="G32" t="inlineStr">
        <is>
          <t>ÖVERKALIX</t>
        </is>
      </c>
      <c r="H32" t="inlineStr">
        <is>
          <t>Sveaskog</t>
        </is>
      </c>
      <c r="I32" t="n">
        <v>1.2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2</v>
      </c>
      <c r="U32" t="n">
        <v>2</v>
      </c>
      <c r="V32" s="2" t="inlineStr">
        <is>
          <t>Gammelgransskål
Stor aspticka</t>
        </is>
      </c>
      <c r="W32">
        <f>HYPERLINK("https://klasma.github.io/Logging_2513/artfynd/A 26452-2025 artfynd.xlsx", "A 26452-2025")</f>
        <v/>
      </c>
      <c r="X32">
        <f>HYPERLINK("https://klasma.github.io/Logging_2513/kartor/A 26452-2025 karta.png", "A 26452-2025")</f>
        <v/>
      </c>
      <c r="Y32">
        <f>HYPERLINK("https://klasma.github.io/Logging_2513/kartor_geotiff/A 26452-2025 georefererad karta.tif", "A 26452-2025")</f>
        <v/>
      </c>
      <c r="AA32">
        <f>HYPERLINK("https://klasma.github.io/Logging_2513/klagomål/A 26452-2025 FSC-klagomål.docx", "A 26452-2025")</f>
        <v/>
      </c>
      <c r="AB32">
        <f>HYPERLINK("https://klasma.github.io/Logging_2513/klagomålsmail/A 26452-2025 FSC-klagomål mail.docx", "A 26452-2025")</f>
        <v/>
      </c>
      <c r="AC32">
        <f>HYPERLINK("https://klasma.github.io/Logging_2513/tillsyn/A 26452-2025 tillsynsbegäran.docx", "A 26452-2025")</f>
        <v/>
      </c>
      <c r="AD32">
        <f>HYPERLINK("https://klasma.github.io/Logging_2513/tillsynsmail/A 26452-2025 tillsynsbegäran mail.docx", "A 26452-2025")</f>
        <v/>
      </c>
    </row>
    <row r="33" ht="15" customHeight="1">
      <c r="A33" t="inlineStr">
        <is>
          <t>A 40116-2025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45894</v>
      </c>
      <c r="E33" s="1" t="n">
        <v>46316</v>
      </c>
      <c r="F33" t="inlineStr">
        <is>
          <t>NORRBOTTENS LÄN</t>
        </is>
      </c>
      <c r="G33" t="inlineStr">
        <is>
          <t>ÖVERKALIX</t>
        </is>
      </c>
      <c r="H33" t="inlineStr">
        <is>
          <t>Sveaskog</t>
        </is>
      </c>
      <c r="I33" t="n">
        <v>29.7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5</v>
      </c>
      <c r="U33" t="n">
        <v>3</v>
      </c>
      <c r="V33" s="2" t="inlineStr">
        <is>
          <t>Lunglav
Skrovellav</t>
        </is>
      </c>
      <c r="W33">
        <f>HYPERLINK("https://klasma.github.io/Logging_2513/artfynd/A 40116-2025 artfynd.xlsx", "A 40116-2025")</f>
        <v/>
      </c>
      <c r="X33">
        <f>HYPERLINK("https://klasma.github.io/Logging_2513/kartor/A 40116-2025 karta.png", "A 40116-2025")</f>
        <v/>
      </c>
      <c r="Y33">
        <f>HYPERLINK("https://klasma.github.io/Logging_2513/kartor_geotiff/A 40116-2025 georefererad karta.tif", "A 40116-2025")</f>
        <v/>
      </c>
      <c r="AA33">
        <f>HYPERLINK("https://klasma.github.io/Logging_2513/klagomål/A 40116-2025 FSC-klagomål.docx", "A 40116-2025")</f>
        <v/>
      </c>
      <c r="AB33">
        <f>HYPERLINK("https://klasma.github.io/Logging_2513/klagomålsmail/A 40116-2025 FSC-klagomål mail.docx", "A 40116-2025")</f>
        <v/>
      </c>
      <c r="AC33">
        <f>HYPERLINK("https://klasma.github.io/Logging_2513/tillsyn/A 40116-2025 tillsynsbegäran.docx", "A 40116-2025")</f>
        <v/>
      </c>
      <c r="AD33">
        <f>HYPERLINK("https://klasma.github.io/Logging_2513/tillsynsmail/A 40116-2025 tillsynsbegäran mail.docx", "A 40116-2025")</f>
        <v/>
      </c>
    </row>
    <row r="34" ht="15" customHeight="1">
      <c r="A34" t="inlineStr">
        <is>
          <t>A 42285-2025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45904</v>
      </c>
      <c r="E34" s="1" t="n">
        <v>46316</v>
      </c>
      <c r="F34" t="inlineStr">
        <is>
          <t>NORRBOTTENS LÄN</t>
        </is>
      </c>
      <c r="G34" t="inlineStr">
        <is>
          <t>ÖVERKALIX</t>
        </is>
      </c>
      <c r="I34" t="n">
        <v>0.3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0</v>
      </c>
      <c r="V34" s="2" t="inlineStr">
        <is>
          <t>Kungsfågel
Vanlig padda</t>
        </is>
      </c>
      <c r="W34">
        <f>HYPERLINK("https://klasma.github.io/Logging_2513/artfynd/A 42285-2025 artfynd.xlsx", "A 42285-2025")</f>
        <v/>
      </c>
      <c r="X34">
        <f>HYPERLINK("https://klasma.github.io/Logging_2513/kartor/A 42285-2025 karta.png", "A 42285-2025")</f>
        <v/>
      </c>
      <c r="Y34">
        <f>HYPERLINK("https://klasma.github.io/Logging_2513/kartor_geotiff/A 42285-2025 georefererad karta.tif", "A 42285-2025")</f>
        <v/>
      </c>
      <c r="AA34">
        <f>HYPERLINK("https://klasma.github.io/Logging_2513/klagomål/A 42285-2025 FSC-klagomål.docx", "A 42285-2025")</f>
        <v/>
      </c>
      <c r="AB34">
        <f>HYPERLINK("https://klasma.github.io/Logging_2513/klagomålsmail/A 42285-2025 FSC-klagomål mail.docx", "A 42285-2025")</f>
        <v/>
      </c>
      <c r="AC34">
        <f>HYPERLINK("https://klasma.github.io/Logging_2513/tillsyn/A 42285-2025 tillsynsbegäran.docx", "A 42285-2025")</f>
        <v/>
      </c>
      <c r="AD34">
        <f>HYPERLINK("https://klasma.github.io/Logging_2513/tillsynsmail/A 42285-2025 tillsynsbegäran mail.docx", "A 42285-2025")</f>
        <v/>
      </c>
    </row>
    <row r="35" ht="15" customHeight="1">
      <c r="A35" t="inlineStr">
        <is>
          <t>A 40706-2023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45170</v>
      </c>
      <c r="E35" s="1" t="n">
        <v>46316</v>
      </c>
      <c r="F35" t="inlineStr">
        <is>
          <t>NORRBOTTENS LÄN</t>
        </is>
      </c>
      <c r="G35" t="inlineStr">
        <is>
          <t>ÖVERKALIX</t>
        </is>
      </c>
      <c r="H35" t="inlineStr">
        <is>
          <t>Sveaskog</t>
        </is>
      </c>
      <c r="I35" t="n">
        <v>7.1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n">
        <v>2</v>
      </c>
      <c r="T35" t="n">
        <v>2</v>
      </c>
      <c r="U35" t="n">
        <v>2</v>
      </c>
      <c r="V35" s="2" t="inlineStr">
        <is>
          <t>Knärot
Dropptaggsvamp</t>
        </is>
      </c>
      <c r="W35">
        <f>HYPERLINK("https://klasma.github.io/Logging_2513/artfynd/A 40706-2023 artfynd.xlsx", "A 40706-2023")</f>
        <v/>
      </c>
      <c r="X35">
        <f>HYPERLINK("https://klasma.github.io/Logging_2513/kartor/A 40706-2023 karta.png", "A 40706-2023")</f>
        <v/>
      </c>
      <c r="Y35">
        <f>HYPERLINK("https://klasma.github.io/Logging_2513/kartor_geotiff/A 40706-2023 georefererad karta.tif", "A 40706-2023")</f>
        <v/>
      </c>
      <c r="Z35">
        <f>HYPERLINK("https://klasma.github.io/Logging_2513/knärot/A 40706-2023 karta knärot.png", "A 40706-2023")</f>
        <v/>
      </c>
      <c r="AA35">
        <f>HYPERLINK("https://klasma.github.io/Logging_2513/klagomål/A 40706-2023 FSC-klagomål.docx", "A 40706-2023")</f>
        <v/>
      </c>
      <c r="AB35">
        <f>HYPERLINK("https://klasma.github.io/Logging_2513/klagomålsmail/A 40706-2023 FSC-klagomål mail.docx", "A 40706-2023")</f>
        <v/>
      </c>
      <c r="AC35">
        <f>HYPERLINK("https://klasma.github.io/Logging_2513/tillsyn/A 40706-2023 tillsynsbegäran.docx", "A 40706-2023")</f>
        <v/>
      </c>
      <c r="AD35">
        <f>HYPERLINK("https://klasma.github.io/Logging_2513/tillsynsmail/A 40706-2023 tillsynsbegäran mail.docx", "A 40706-2023")</f>
        <v/>
      </c>
    </row>
    <row r="36" ht="15" customHeight="1">
      <c r="A36" t="inlineStr">
        <is>
          <t>A 14152-2026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46099</v>
      </c>
      <c r="E36" s="1" t="n">
        <v>46316</v>
      </c>
      <c r="F36" t="inlineStr">
        <is>
          <t>NORRBOTTENS LÄN</t>
        </is>
      </c>
      <c r="G36" t="inlineStr">
        <is>
          <t>ÖVERKALIX</t>
        </is>
      </c>
      <c r="I36" t="n">
        <v>4.6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s="2" t="inlineStr">
        <is>
          <t>Källpraktmossa
Spädstarr</t>
        </is>
      </c>
      <c r="W36">
        <f>HYPERLINK("https://klasma.github.io/Logging_2513/artfynd/A 14152-2026 artfynd.xlsx", "A 14152-2026")</f>
        <v/>
      </c>
      <c r="X36">
        <f>HYPERLINK("https://klasma.github.io/Logging_2513/kartor/A 14152-2026 karta.png", "A 14152-2026")</f>
        <v/>
      </c>
      <c r="Y36">
        <f>HYPERLINK("https://klasma.github.io/Logging_2513/kartor_geotiff/A 14152-2026 georefererad karta.tif", "A 14152-2026")</f>
        <v/>
      </c>
      <c r="AA36">
        <f>HYPERLINK("https://klasma.github.io/Logging_2513/klagomål/A 14152-2026 FSC-klagomål.docx", "A 14152-2026")</f>
        <v/>
      </c>
      <c r="AB36">
        <f>HYPERLINK("https://klasma.github.io/Logging_2513/klagomålsmail/A 14152-2026 FSC-klagomål mail.docx", "A 14152-2026")</f>
        <v/>
      </c>
      <c r="AC36">
        <f>HYPERLINK("https://klasma.github.io/Logging_2513/tillsyn/A 14152-2026 tillsynsbegäran.docx", "A 14152-2026")</f>
        <v/>
      </c>
      <c r="AD36">
        <f>HYPERLINK("https://klasma.github.io/Logging_2513/tillsynsmail/A 14152-2026 tillsynsbegäran mail.docx", "A 14152-2026")</f>
        <v/>
      </c>
    </row>
    <row r="37" ht="15" customHeight="1">
      <c r="A37" t="inlineStr">
        <is>
          <t>A 34921-2025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45849</v>
      </c>
      <c r="E37" s="1" t="n">
        <v>46316</v>
      </c>
      <c r="F37" t="inlineStr">
        <is>
          <t>NORRBOTTENS LÄN</t>
        </is>
      </c>
      <c r="G37" t="inlineStr">
        <is>
          <t>ÖVERKALIX</t>
        </is>
      </c>
      <c r="H37" t="inlineStr">
        <is>
          <t>Sveaskog</t>
        </is>
      </c>
      <c r="I37" t="n">
        <v>16.4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2</v>
      </c>
      <c r="T37" t="n">
        <v>2</v>
      </c>
      <c r="U37" t="n">
        <v>0</v>
      </c>
      <c r="V37" s="2" t="inlineStr">
        <is>
          <t>Gammelgransskål
Lunglav</t>
        </is>
      </c>
      <c r="W37">
        <f>HYPERLINK("https://klasma.github.io/Logging_2513/artfynd/A 34921-2025 artfynd.xlsx", "A 34921-2025")</f>
        <v/>
      </c>
      <c r="X37">
        <f>HYPERLINK("https://klasma.github.io/Logging_2513/kartor/A 34921-2025 karta.png", "A 34921-2025")</f>
        <v/>
      </c>
      <c r="Y37">
        <f>HYPERLINK("https://klasma.github.io/Logging_2513/kartor_geotiff/A 34921-2025 georefererad karta.tif", "A 34921-2025")</f>
        <v/>
      </c>
      <c r="AA37">
        <f>HYPERLINK("https://klasma.github.io/Logging_2513/klagomål/A 34921-2025 FSC-klagomål.docx", "A 34921-2025")</f>
        <v/>
      </c>
      <c r="AB37">
        <f>HYPERLINK("https://klasma.github.io/Logging_2513/klagomålsmail/A 34921-2025 FSC-klagomål mail.docx", "A 34921-2025")</f>
        <v/>
      </c>
      <c r="AC37">
        <f>HYPERLINK("https://klasma.github.io/Logging_2513/tillsyn/A 34921-2025 tillsynsbegäran.docx", "A 34921-2025")</f>
        <v/>
      </c>
      <c r="AD37">
        <f>HYPERLINK("https://klasma.github.io/Logging_2513/tillsynsmail/A 34921-2025 tillsynsbegäran mail.docx", "A 34921-2025")</f>
        <v/>
      </c>
    </row>
    <row r="38" ht="15" customHeight="1">
      <c r="A38" t="inlineStr">
        <is>
          <t>A 47680-2024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45588</v>
      </c>
      <c r="E38" s="1" t="n">
        <v>46316</v>
      </c>
      <c r="F38" t="inlineStr">
        <is>
          <t>NORRBOTTENS LÄN</t>
        </is>
      </c>
      <c r="G38" t="inlineStr">
        <is>
          <t>ÖVERKALIX</t>
        </is>
      </c>
      <c r="H38" t="inlineStr">
        <is>
          <t>Sveaskog</t>
        </is>
      </c>
      <c r="I38" t="n">
        <v>2.1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2</v>
      </c>
      <c r="T38" t="n">
        <v>2</v>
      </c>
      <c r="U38" t="n">
        <v>2</v>
      </c>
      <c r="V38" s="2" t="inlineStr">
        <is>
          <t>Blå taggsvamp
Skarp dropptaggsvamp</t>
        </is>
      </c>
      <c r="W38">
        <f>HYPERLINK("https://klasma.github.io/Logging_2513/artfynd/A 47680-2024 artfynd.xlsx", "A 47680-2024")</f>
        <v/>
      </c>
      <c r="X38">
        <f>HYPERLINK("https://klasma.github.io/Logging_2513/kartor/A 47680-2024 karta.png", "A 47680-2024")</f>
        <v/>
      </c>
      <c r="Y38">
        <f>HYPERLINK("https://klasma.github.io/Logging_2513/kartor_geotiff/A 47680-2024 georefererad karta.tif", "A 47680-2024")</f>
        <v/>
      </c>
      <c r="AA38">
        <f>HYPERLINK("https://klasma.github.io/Logging_2513/klagomål/A 47680-2024 FSC-klagomål.docx", "A 47680-2024")</f>
        <v/>
      </c>
      <c r="AB38">
        <f>HYPERLINK("https://klasma.github.io/Logging_2513/klagomålsmail/A 47680-2024 FSC-klagomål mail.docx", "A 47680-2024")</f>
        <v/>
      </c>
      <c r="AC38">
        <f>HYPERLINK("https://klasma.github.io/Logging_2513/tillsyn/A 47680-2024 tillsynsbegäran.docx", "A 47680-2024")</f>
        <v/>
      </c>
      <c r="AD38">
        <f>HYPERLINK("https://klasma.github.io/Logging_2513/tillsynsmail/A 47680-2024 tillsynsbegäran mail.docx", "A 47680-2024")</f>
        <v/>
      </c>
    </row>
    <row r="39" ht="15" customHeight="1">
      <c r="A39" t="inlineStr">
        <is>
          <t>A 7477-2023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44966</v>
      </c>
      <c r="E39" s="1" t="n">
        <v>46316</v>
      </c>
      <c r="F39" t="inlineStr">
        <is>
          <t>NORRBOTTENS LÄN</t>
        </is>
      </c>
      <c r="G39" t="inlineStr">
        <is>
          <t>ÖVERKALIX</t>
        </is>
      </c>
      <c r="I39" t="n">
        <v>2.6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2</v>
      </c>
      <c r="T39" t="n">
        <v>2</v>
      </c>
      <c r="U39" t="n">
        <v>2</v>
      </c>
      <c r="V39" s="2" t="inlineStr">
        <is>
          <t>Motaggsvamp
Skarp dropptaggsvamp</t>
        </is>
      </c>
      <c r="W39">
        <f>HYPERLINK("https://klasma.github.io/Logging_2513/artfynd/A 7477-2023 artfynd.xlsx", "A 7477-2023")</f>
        <v/>
      </c>
      <c r="X39">
        <f>HYPERLINK("https://klasma.github.io/Logging_2513/kartor/A 7477-2023 karta.png", "A 7477-2023")</f>
        <v/>
      </c>
      <c r="Y39">
        <f>HYPERLINK("https://klasma.github.io/Logging_2513/kartor_geotiff/A 7477-2023 georefererad karta.tif", "A 7477-2023")</f>
        <v/>
      </c>
      <c r="AA39">
        <f>HYPERLINK("https://klasma.github.io/Logging_2513/klagomål/A 7477-2023 FSC-klagomål.docx", "A 7477-2023")</f>
        <v/>
      </c>
      <c r="AB39">
        <f>HYPERLINK("https://klasma.github.io/Logging_2513/klagomålsmail/A 7477-2023 FSC-klagomål mail.docx", "A 7477-2023")</f>
        <v/>
      </c>
      <c r="AC39">
        <f>HYPERLINK("https://klasma.github.io/Logging_2513/tillsyn/A 7477-2023 tillsynsbegäran.docx", "A 7477-2023")</f>
        <v/>
      </c>
      <c r="AD39">
        <f>HYPERLINK("https://klasma.github.io/Logging_2513/tillsynsmail/A 7477-2023 tillsynsbegäran mail.docx", "A 7477-2023")</f>
        <v/>
      </c>
    </row>
    <row r="40" ht="15" customHeight="1">
      <c r="A40" t="inlineStr">
        <is>
          <t>A 28029-2026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46195</v>
      </c>
      <c r="E40" s="1" t="n">
        <v>46316</v>
      </c>
      <c r="F40" t="inlineStr">
        <is>
          <t>NORRBOTTENS LÄN</t>
        </is>
      </c>
      <c r="G40" t="inlineStr">
        <is>
          <t>ÖVERKALIX</t>
        </is>
      </c>
      <c r="H40" t="inlineStr">
        <is>
          <t>Sveaskog</t>
        </is>
      </c>
      <c r="I40" t="n">
        <v>1.4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2</v>
      </c>
      <c r="U40" t="n">
        <v>0</v>
      </c>
      <c r="V40" s="2" t="inlineStr">
        <is>
          <t>Blå taggsvamp
Bollvitmossa</t>
        </is>
      </c>
      <c r="W40">
        <f>HYPERLINK("https://klasma.github.io/Logging_2513/artfynd/A 28029-2026 artfynd.xlsx", "A 28029-2026")</f>
        <v/>
      </c>
      <c r="X40">
        <f>HYPERLINK("https://klasma.github.io/Logging_2513/kartor/A 28029-2026 karta.png", "A 28029-2026")</f>
        <v/>
      </c>
      <c r="Y40">
        <f>HYPERLINK("https://klasma.github.io/Logging_2513/kartor_geotiff/A 28029-2026 georefererad karta.tif", "A 28029-2026")</f>
        <v/>
      </c>
      <c r="AA40">
        <f>HYPERLINK("https://klasma.github.io/Logging_2513/klagomål/A 28029-2026 FSC-klagomål.docx", "A 28029-2026")</f>
        <v/>
      </c>
      <c r="AB40">
        <f>HYPERLINK("https://klasma.github.io/Logging_2513/klagomålsmail/A 28029-2026 FSC-klagomål mail.docx", "A 28029-2026")</f>
        <v/>
      </c>
      <c r="AC40">
        <f>HYPERLINK("https://klasma.github.io/Logging_2513/tillsyn/A 28029-2026 tillsynsbegäran.docx", "A 28029-2026")</f>
        <v/>
      </c>
      <c r="AD40">
        <f>HYPERLINK("https://klasma.github.io/Logging_2513/tillsynsmail/A 28029-2026 tillsynsbegäran mail.docx", "A 28029-2026")</f>
        <v/>
      </c>
    </row>
    <row r="41" ht="15" customHeight="1">
      <c r="A41" t="inlineStr">
        <is>
          <t>A 28929-2026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46199</v>
      </c>
      <c r="E41" s="1" t="n">
        <v>46316</v>
      </c>
      <c r="F41" t="inlineStr">
        <is>
          <t>NORRBOTTENS LÄN</t>
        </is>
      </c>
      <c r="G41" t="inlineStr">
        <is>
          <t>ÖVERKALIX</t>
        </is>
      </c>
      <c r="H41" t="inlineStr">
        <is>
          <t>Sveaskog</t>
        </is>
      </c>
      <c r="I41" t="n">
        <v>3.9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5</v>
      </c>
      <c r="U41" t="n">
        <v>5</v>
      </c>
      <c r="V41" s="2" t="inlineStr">
        <is>
          <t>Knärot
Fläcknycklar</t>
        </is>
      </c>
      <c r="W41">
        <f>HYPERLINK("https://klasma.github.io/Logging_2513/artfynd/A 28929-2026 artfynd.xlsx", "A 28929-2026")</f>
        <v/>
      </c>
      <c r="X41">
        <f>HYPERLINK("https://klasma.github.io/Logging_2513/kartor/A 28929-2026 karta.png", "A 28929-2026")</f>
        <v/>
      </c>
      <c r="Y41">
        <f>HYPERLINK("https://klasma.github.io/Logging_2513/kartor_geotiff/A 28929-2026 georefererad karta.tif", "A 28929-2026")</f>
        <v/>
      </c>
      <c r="Z41">
        <f>HYPERLINK("https://klasma.github.io/Logging_2513/knärot/A 28929-2026 karta knärot.png", "A 28929-2026")</f>
        <v/>
      </c>
      <c r="AA41">
        <f>HYPERLINK("https://klasma.github.io/Logging_2513/klagomål/A 28929-2026 FSC-klagomål.docx", "A 28929-2026")</f>
        <v/>
      </c>
      <c r="AB41">
        <f>HYPERLINK("https://klasma.github.io/Logging_2513/klagomålsmail/A 28929-2026 FSC-klagomål mail.docx", "A 28929-2026")</f>
        <v/>
      </c>
      <c r="AC41">
        <f>HYPERLINK("https://klasma.github.io/Logging_2513/tillsyn/A 28929-2026 tillsynsbegäran.docx", "A 28929-2026")</f>
        <v/>
      </c>
      <c r="AD41">
        <f>HYPERLINK("https://klasma.github.io/Logging_2513/tillsynsmail/A 28929-2026 tillsynsbegäran mail.docx", "A 28929-2026")</f>
        <v/>
      </c>
    </row>
    <row r="42" ht="15" customHeight="1">
      <c r="A42" t="inlineStr">
        <is>
          <t>A 36803-2023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45154</v>
      </c>
      <c r="E42" s="1" t="n">
        <v>46316</v>
      </c>
      <c r="F42" t="inlineStr">
        <is>
          <t>NORRBOTTENS LÄN</t>
        </is>
      </c>
      <c r="G42" t="inlineStr">
        <is>
          <t>ÖVERKALIX</t>
        </is>
      </c>
      <c r="I42" t="n">
        <v>3.1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2</v>
      </c>
      <c r="T42" t="n">
        <v>6</v>
      </c>
      <c r="U42" t="n">
        <v>6</v>
      </c>
      <c r="V42" s="2" t="inlineStr">
        <is>
          <t>Knärot
Revlummer</t>
        </is>
      </c>
      <c r="W42">
        <f>HYPERLINK("https://klasma.github.io/Logging_2513/artfynd/A 36803-2023 artfynd.xlsx", "A 36803-2023")</f>
        <v/>
      </c>
      <c r="X42">
        <f>HYPERLINK("https://klasma.github.io/Logging_2513/kartor/A 36803-2023 karta.png", "A 36803-2023")</f>
        <v/>
      </c>
      <c r="Y42">
        <f>HYPERLINK("https://klasma.github.io/Logging_2513/kartor_geotiff/A 36803-2023 georefererad karta.tif", "A 36803-2023")</f>
        <v/>
      </c>
      <c r="Z42">
        <f>HYPERLINK("https://klasma.github.io/Logging_2513/knärot/A 36803-2023 karta knärot.png", "A 36803-2023")</f>
        <v/>
      </c>
      <c r="AA42">
        <f>HYPERLINK("https://klasma.github.io/Logging_2513/klagomål/A 36803-2023 FSC-klagomål.docx", "A 36803-2023")</f>
        <v/>
      </c>
      <c r="AB42">
        <f>HYPERLINK("https://klasma.github.io/Logging_2513/klagomålsmail/A 36803-2023 FSC-klagomål mail.docx", "A 36803-2023")</f>
        <v/>
      </c>
      <c r="AC42">
        <f>HYPERLINK("https://klasma.github.io/Logging_2513/tillsyn/A 36803-2023 tillsynsbegäran.docx", "A 36803-2023")</f>
        <v/>
      </c>
      <c r="AD42">
        <f>HYPERLINK("https://klasma.github.io/Logging_2513/tillsynsmail/A 36803-2023 tillsynsbegäran mail.docx", "A 36803-2023")</f>
        <v/>
      </c>
    </row>
    <row r="43" ht="15" customHeight="1">
      <c r="A43" t="inlineStr">
        <is>
          <t>A 31704-2026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46226</v>
      </c>
      <c r="E43" s="1" t="n">
        <v>46316</v>
      </c>
      <c r="F43" t="inlineStr">
        <is>
          <t>NORRBOTTENS LÄN</t>
        </is>
      </c>
      <c r="G43" t="inlineStr">
        <is>
          <t>ÖVERKALIX</t>
        </is>
      </c>
      <c r="H43" t="inlineStr">
        <is>
          <t>Sveaskog</t>
        </is>
      </c>
      <c r="I43" t="n">
        <v>2.2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2</v>
      </c>
      <c r="T43" t="n">
        <v>2</v>
      </c>
      <c r="U43" t="n">
        <v>1</v>
      </c>
      <c r="V43" s="2" t="inlineStr">
        <is>
          <t>Blå taggsvamp
Skarp dropptaggsvamp</t>
        </is>
      </c>
      <c r="W43">
        <f>HYPERLINK("https://klasma.github.io/Logging_2513/artfynd/A 31704-2026 artfynd.xlsx", "A 31704-2026")</f>
        <v/>
      </c>
      <c r="X43">
        <f>HYPERLINK("https://klasma.github.io/Logging_2513/kartor/A 31704-2026 karta.png", "A 31704-2026")</f>
        <v/>
      </c>
      <c r="Y43">
        <f>HYPERLINK("https://klasma.github.io/Logging_2513/kartor_geotiff/A 31704-2026 georefererad karta.tif", "A 31704-2026")</f>
        <v/>
      </c>
      <c r="AA43">
        <f>HYPERLINK("https://klasma.github.io/Logging_2513/klagomål/A 31704-2026 FSC-klagomål.docx", "A 31704-2026")</f>
        <v/>
      </c>
      <c r="AB43">
        <f>HYPERLINK("https://klasma.github.io/Logging_2513/klagomålsmail/A 31704-2026 FSC-klagomål mail.docx", "A 31704-2026")</f>
        <v/>
      </c>
      <c r="AC43">
        <f>HYPERLINK("https://klasma.github.io/Logging_2513/tillsyn/A 31704-2026 tillsynsbegäran.docx", "A 31704-2026")</f>
        <v/>
      </c>
      <c r="AD43">
        <f>HYPERLINK("https://klasma.github.io/Logging_2513/tillsynsmail/A 31704-2026 tillsynsbegäran mail.docx", "A 31704-2026")</f>
        <v/>
      </c>
    </row>
    <row r="44" ht="15" customHeight="1">
      <c r="A44" t="inlineStr">
        <is>
          <t>A 36378-2024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45534</v>
      </c>
      <c r="E44" s="1" t="n">
        <v>46316</v>
      </c>
      <c r="F44" t="inlineStr">
        <is>
          <t>NORRBOTTENS LÄN</t>
        </is>
      </c>
      <c r="G44" t="inlineStr">
        <is>
          <t>ÖVERKALIX</t>
        </is>
      </c>
      <c r="H44" t="inlineStr">
        <is>
          <t>Sveaskog</t>
        </is>
      </c>
      <c r="I44" t="n">
        <v>21.5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2</v>
      </c>
      <c r="T44" t="n">
        <v>2</v>
      </c>
      <c r="U44" t="n">
        <v>1</v>
      </c>
      <c r="V44" s="2" t="inlineStr">
        <is>
          <t>Lunglav
Fläcknycklar</t>
        </is>
      </c>
      <c r="W44">
        <f>HYPERLINK("https://klasma.github.io/Logging_2513/artfynd/A 36378-2024 artfynd.xlsx", "A 36378-2024")</f>
        <v/>
      </c>
      <c r="X44">
        <f>HYPERLINK("https://klasma.github.io/Logging_2513/kartor/A 36378-2024 karta.png", "A 36378-2024")</f>
        <v/>
      </c>
      <c r="Y44">
        <f>HYPERLINK("https://klasma.github.io/Logging_2513/kartor_geotiff/A 36378-2024 georefererad karta.tif", "A 36378-2024")</f>
        <v/>
      </c>
      <c r="AA44">
        <f>HYPERLINK("https://klasma.github.io/Logging_2513/klagomål/A 36378-2024 FSC-klagomål.docx", "A 36378-2024")</f>
        <v/>
      </c>
      <c r="AB44">
        <f>HYPERLINK("https://klasma.github.io/Logging_2513/klagomålsmail/A 36378-2024 FSC-klagomål mail.docx", "A 36378-2024")</f>
        <v/>
      </c>
      <c r="AC44">
        <f>HYPERLINK("https://klasma.github.io/Logging_2513/tillsyn/A 36378-2024 tillsynsbegäran.docx", "A 36378-2024")</f>
        <v/>
      </c>
      <c r="AD44">
        <f>HYPERLINK("https://klasma.github.io/Logging_2513/tillsynsmail/A 36378-2024 tillsynsbegäran mail.docx", "A 36378-2024")</f>
        <v/>
      </c>
    </row>
    <row r="45" ht="15" customHeight="1">
      <c r="A45" t="inlineStr">
        <is>
          <t>A 36381-2024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45534</v>
      </c>
      <c r="E45" s="1" t="n">
        <v>46316</v>
      </c>
      <c r="F45" t="inlineStr">
        <is>
          <t>NORRBOTTENS LÄN</t>
        </is>
      </c>
      <c r="G45" t="inlineStr">
        <is>
          <t>ÖVERKALIX</t>
        </is>
      </c>
      <c r="H45" t="inlineStr">
        <is>
          <t>Sveaskog</t>
        </is>
      </c>
      <c r="I45" t="n">
        <v>26.7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2</v>
      </c>
      <c r="T45" t="n">
        <v>3</v>
      </c>
      <c r="U45" t="n">
        <v>0</v>
      </c>
      <c r="V45" s="2" t="inlineStr">
        <is>
          <t>Gammelgransskål
Orre</t>
        </is>
      </c>
      <c r="W45">
        <f>HYPERLINK("https://klasma.github.io/Logging_2513/artfynd/A 36381-2024 artfynd.xlsx", "A 36381-2024")</f>
        <v/>
      </c>
      <c r="X45">
        <f>HYPERLINK("https://klasma.github.io/Logging_2513/kartor/A 36381-2024 karta.png", "A 36381-2024")</f>
        <v/>
      </c>
      <c r="Y45">
        <f>HYPERLINK("https://klasma.github.io/Logging_2513/kartor_geotiff/A 36381-2024 georefererad karta.tif", "A 36381-2024")</f>
        <v/>
      </c>
      <c r="AA45">
        <f>HYPERLINK("https://klasma.github.io/Logging_2513/klagomål/A 36381-2024 FSC-klagomål.docx", "A 36381-2024")</f>
        <v/>
      </c>
      <c r="AB45">
        <f>HYPERLINK("https://klasma.github.io/Logging_2513/klagomålsmail/A 36381-2024 FSC-klagomål mail.docx", "A 36381-2024")</f>
        <v/>
      </c>
      <c r="AC45">
        <f>HYPERLINK("https://klasma.github.io/Logging_2513/tillsyn/A 36381-2024 tillsynsbegäran.docx", "A 36381-2024")</f>
        <v/>
      </c>
      <c r="AD45">
        <f>HYPERLINK("https://klasma.github.io/Logging_2513/tillsynsmail/A 36381-2024 tillsynsbegäran mail.docx", "A 36381-2024")</f>
        <v/>
      </c>
      <c r="AE45">
        <f>HYPERLINK("https://klasma.github.io/Logging_2513/fåglar/A 36381-2024 prioriterade fågelarter.docx", "A 36381-2024")</f>
        <v/>
      </c>
    </row>
    <row r="46" ht="15" customHeight="1">
      <c r="A46" t="inlineStr">
        <is>
          <t>A 41591-2026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46302</v>
      </c>
      <c r="E46" s="1" t="n">
        <v>46316</v>
      </c>
      <c r="F46" t="inlineStr">
        <is>
          <t>NORRBOTTENS LÄN</t>
        </is>
      </c>
      <c r="G46" t="inlineStr">
        <is>
          <t>ÖVERKALIX</t>
        </is>
      </c>
      <c r="H46" t="inlineStr">
        <is>
          <t>SCA</t>
        </is>
      </c>
      <c r="I46" t="n">
        <v>1.8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2</v>
      </c>
      <c r="T46" t="n">
        <v>2</v>
      </c>
      <c r="U46" t="n">
        <v>0</v>
      </c>
      <c r="V46" s="2" t="inlineStr">
        <is>
          <t>Lunglav
Tallticka</t>
        </is>
      </c>
      <c r="W46">
        <f>HYPERLINK("https://klasma.github.io/Logging_2513/artfynd/A 41591-2026 artfynd.xlsx", "A 41591-2026")</f>
        <v/>
      </c>
      <c r="X46">
        <f>HYPERLINK("https://klasma.github.io/Logging_2513/kartor/A 41591-2026 karta.png", "A 41591-2026")</f>
        <v/>
      </c>
      <c r="Y46">
        <f>HYPERLINK("https://klasma.github.io/Logging_2513/kartor_geotiff/A 41591-2026 georefererad karta.tif", "A 41591-2026")</f>
        <v/>
      </c>
      <c r="AA46">
        <f>HYPERLINK("https://klasma.github.io/Logging_2513/klagomål/A 41591-2026 FSC-klagomål.docx", "A 41591-2026")</f>
        <v/>
      </c>
      <c r="AB46">
        <f>HYPERLINK("https://klasma.github.io/Logging_2513/klagomålsmail/A 41591-2026 FSC-klagomål mail.docx", "A 41591-2026")</f>
        <v/>
      </c>
      <c r="AC46">
        <f>HYPERLINK("https://klasma.github.io/Logging_2513/tillsyn/A 41591-2026 tillsynsbegäran.docx", "A 41591-2026")</f>
        <v/>
      </c>
      <c r="AD46">
        <f>HYPERLINK("https://klasma.github.io/Logging_2513/tillsynsmail/A 41591-2026 tillsynsbegäran mail.docx", "A 41591-2026")</f>
        <v/>
      </c>
    </row>
    <row r="47" ht="15" customHeight="1">
      <c r="A47" t="inlineStr">
        <is>
          <t>A 35594-2026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46262</v>
      </c>
      <c r="E47" s="1" t="n">
        <v>46316</v>
      </c>
      <c r="F47" t="inlineStr">
        <is>
          <t>NORRBOTTENS LÄN</t>
        </is>
      </c>
      <c r="G47" t="inlineStr">
        <is>
          <t>ÖVERKALIX</t>
        </is>
      </c>
      <c r="H47" t="inlineStr">
        <is>
          <t>Sveaskog</t>
        </is>
      </c>
      <c r="I47" t="n">
        <v>40.3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2</v>
      </c>
      <c r="R47" t="n">
        <v>0</v>
      </c>
      <c r="S47" t="n">
        <v>2</v>
      </c>
      <c r="T47" t="n">
        <v>7</v>
      </c>
      <c r="U47" t="n">
        <v>4</v>
      </c>
      <c r="V47" s="2" t="inlineStr">
        <is>
          <t>Dropptaggsvamp
Lunglav</t>
        </is>
      </c>
      <c r="W47">
        <f>HYPERLINK("https://klasma.github.io/Logging_2513/artfynd/A 35594-2026 artfynd.xlsx", "A 35594-2026")</f>
        <v/>
      </c>
      <c r="X47">
        <f>HYPERLINK("https://klasma.github.io/Logging_2513/kartor/A 35594-2026 karta.png", "A 35594-2026")</f>
        <v/>
      </c>
      <c r="Y47">
        <f>HYPERLINK("https://klasma.github.io/Logging_2513/kartor_geotiff/A 35594-2026 georefererad karta.tif", "A 35594-2026")</f>
        <v/>
      </c>
      <c r="AA47">
        <f>HYPERLINK("https://klasma.github.io/Logging_2513/klagomål/A 35594-2026 FSC-klagomål.docx", "A 35594-2026")</f>
        <v/>
      </c>
      <c r="AB47">
        <f>HYPERLINK("https://klasma.github.io/Logging_2513/klagomålsmail/A 35594-2026 FSC-klagomål mail.docx", "A 35594-2026")</f>
        <v/>
      </c>
      <c r="AC47">
        <f>HYPERLINK("https://klasma.github.io/Logging_2513/tillsyn/A 35594-2026 tillsynsbegäran.docx", "A 35594-2026")</f>
        <v/>
      </c>
      <c r="AD47">
        <f>HYPERLINK("https://klasma.github.io/Logging_2513/tillsynsmail/A 35594-2026 tillsynsbegäran mail.docx", "A 35594-2026")</f>
        <v/>
      </c>
    </row>
    <row r="48" ht="15" customHeight="1">
      <c r="A48" t="inlineStr">
        <is>
          <t>A 50691-2024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45602</v>
      </c>
      <c r="E48" s="1" t="n">
        <v>46316</v>
      </c>
      <c r="F48" t="inlineStr">
        <is>
          <t>NORRBOTTENS LÄN</t>
        </is>
      </c>
      <c r="G48" t="inlineStr">
        <is>
          <t>ÖVERKALIX</t>
        </is>
      </c>
      <c r="H48" t="inlineStr">
        <is>
          <t>Sveaskog</t>
        </is>
      </c>
      <c r="I48" t="n">
        <v>4.2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2</v>
      </c>
      <c r="T48" t="n">
        <v>2</v>
      </c>
      <c r="U48" t="n">
        <v>0</v>
      </c>
      <c r="V48" s="2" t="inlineStr">
        <is>
          <t>Gammelgransskål
Vedticka</t>
        </is>
      </c>
      <c r="W48">
        <f>HYPERLINK("https://klasma.github.io/Logging_2513/artfynd/A 50691-2024 artfynd.xlsx", "A 50691-2024")</f>
        <v/>
      </c>
      <c r="X48">
        <f>HYPERLINK("https://klasma.github.io/Logging_2513/kartor/A 50691-2024 karta.png", "A 50691-2024")</f>
        <v/>
      </c>
      <c r="Y48">
        <f>HYPERLINK("https://klasma.github.io/Logging_2513/kartor_geotiff/A 50691-2024 georefererad karta.tif", "A 50691-2024")</f>
        <v/>
      </c>
      <c r="AA48">
        <f>HYPERLINK("https://klasma.github.io/Logging_2513/klagomål/A 50691-2024 FSC-klagomål.docx", "A 50691-2024")</f>
        <v/>
      </c>
      <c r="AB48">
        <f>HYPERLINK("https://klasma.github.io/Logging_2513/klagomålsmail/A 50691-2024 FSC-klagomål mail.docx", "A 50691-2024")</f>
        <v/>
      </c>
      <c r="AC48">
        <f>HYPERLINK("https://klasma.github.io/Logging_2513/tillsyn/A 50691-2024 tillsynsbegäran.docx", "A 50691-2024")</f>
        <v/>
      </c>
      <c r="AD48">
        <f>HYPERLINK("https://klasma.github.io/Logging_2513/tillsynsmail/A 50691-2024 tillsynsbegäran mail.docx", "A 50691-2024")</f>
        <v/>
      </c>
    </row>
    <row r="49" ht="15" customHeight="1">
      <c r="A49" t="inlineStr">
        <is>
          <t>A 60509-2021</t>
        </is>
      </c>
      <c r="B49" t="inlineStr">
        <is>
          <t>avverkningsanmälan</t>
        </is>
      </c>
      <c r="C49" t="inlineStr">
        <is>
          <t>Avverkning för att bevara och utveckla /försöksver</t>
        </is>
      </c>
      <c r="D49" s="1" t="n">
        <v>44496</v>
      </c>
      <c r="E49" s="1" t="n">
        <v>46316</v>
      </c>
      <c r="F49" t="inlineStr">
        <is>
          <t>NORRBOTTENS LÄN</t>
        </is>
      </c>
      <c r="G49" t="inlineStr">
        <is>
          <t>ÖVERKALIX</t>
        </is>
      </c>
      <c r="H49" t="inlineStr">
        <is>
          <t>Sveaskog</t>
        </is>
      </c>
      <c r="I49" t="n">
        <v>13.5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2</v>
      </c>
      <c r="V49" s="2" t="inlineStr">
        <is>
          <t>Stor aspticka
Vedticka</t>
        </is>
      </c>
      <c r="W49">
        <f>HYPERLINK("https://klasma.github.io/Logging_2513/artfynd/A 60509-2021 artfynd.xlsx", "A 60509-2021")</f>
        <v/>
      </c>
      <c r="X49">
        <f>HYPERLINK("https://klasma.github.io/Logging_2513/kartor/A 60509-2021 karta.png", "A 60509-2021")</f>
        <v/>
      </c>
      <c r="Y49">
        <f>HYPERLINK("https://klasma.github.io/Logging_2513/kartor_geotiff/A 60509-2021 georefererad karta.tif", "A 60509-2021")</f>
        <v/>
      </c>
      <c r="AA49">
        <f>HYPERLINK("https://klasma.github.io/Logging_2513/klagomål/A 60509-2021 FSC-klagomål.docx", "A 60509-2021")</f>
        <v/>
      </c>
      <c r="AB49">
        <f>HYPERLINK("https://klasma.github.io/Logging_2513/klagomålsmail/A 60509-2021 FSC-klagomål mail.docx", "A 60509-2021")</f>
        <v/>
      </c>
      <c r="AC49">
        <f>HYPERLINK("https://klasma.github.io/Logging_2513/tillsyn/A 60509-2021 tillsynsbegäran.docx", "A 60509-2021")</f>
        <v/>
      </c>
      <c r="AD49">
        <f>HYPERLINK("https://klasma.github.io/Logging_2513/tillsynsmail/A 60509-2021 tillsynsbegäran mail.docx", "A 60509-2021")</f>
        <v/>
      </c>
    </row>
    <row r="50" ht="15" customHeight="1">
      <c r="A50" t="inlineStr">
        <is>
          <t>S 2701-2024</t>
        </is>
      </c>
      <c r="B50" t="inlineStr">
        <is>
          <t>samrådsanmälan</t>
        </is>
      </c>
      <c r="C50" t="inlineStr">
        <is>
          <t>Annan skogsbruksåtgärd</t>
        </is>
      </c>
      <c r="D50" s="1" t="n">
        <v>45482</v>
      </c>
      <c r="E50" s="1" t="n">
        <v>46316</v>
      </c>
      <c r="F50" t="inlineStr">
        <is>
          <t>NORRBOTTENS LÄN</t>
        </is>
      </c>
      <c r="G50" t="inlineStr">
        <is>
          <t>ÖVERKALIX</t>
        </is>
      </c>
      <c r="H50" t="inlineStr">
        <is>
          <t>Sveaskog</t>
        </is>
      </c>
      <c r="I50" t="n">
        <v>2.2</v>
      </c>
      <c r="J50" t="n">
        <v>1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0</v>
      </c>
      <c r="S50" t="n">
        <v>2</v>
      </c>
      <c r="T50" t="n">
        <v>8</v>
      </c>
      <c r="U50" t="n">
        <v>0</v>
      </c>
      <c r="V50" s="2" t="inlineStr">
        <is>
          <t>Höstlåsbräken
Månlåsbräken</t>
        </is>
      </c>
      <c r="W50">
        <f>HYPERLINK("https://klasma.github.io/Logging_2513/artfynd/S 2701-2024 artfynd.xlsx", "S 2701-2024")</f>
        <v/>
      </c>
      <c r="X50">
        <f>HYPERLINK("https://klasma.github.io/Logging_2513/kartor/S 2701-2024 karta.png", "S 2701-2024")</f>
        <v/>
      </c>
      <c r="Y50">
        <f>HYPERLINK("https://klasma.github.io/Logging_2513/kartor_geotiff/S 2701-2024 georefererad karta.tif", "S 2701-2024")</f>
        <v/>
      </c>
      <c r="AA50">
        <f>HYPERLINK("https://klasma.github.io/Logging_2513/klagomål/S 2701-2024 FSC-klagomål.docx", "S 2701-2024")</f>
        <v/>
      </c>
      <c r="AB50">
        <f>HYPERLINK("https://klasma.github.io/Logging_2513/klagomålsmail/S 2701-2024 FSC-klagomål mail.docx", "S 2701-2024")</f>
        <v/>
      </c>
      <c r="AC50">
        <f>HYPERLINK("https://klasma.github.io/Logging_2513/tillsyn/S 2701-2024 tillsynsbegäran.docx", "S 2701-2024")</f>
        <v/>
      </c>
      <c r="AD50">
        <f>HYPERLINK("https://klasma.github.io/Logging_2513/tillsynsmail/S 2701-2024 tillsynsbegäran mail.docx", "S 2701-2024")</f>
        <v/>
      </c>
    </row>
    <row r="51" ht="15" customHeight="1">
      <c r="A51" t="inlineStr">
        <is>
          <t>A 15137-2022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44658</v>
      </c>
      <c r="E51" s="1" t="n">
        <v>46316</v>
      </c>
      <c r="F51" t="inlineStr">
        <is>
          <t>NORRBOTTENS LÄN</t>
        </is>
      </c>
      <c r="G51" t="inlineStr">
        <is>
          <t>ÖVERKALIX</t>
        </is>
      </c>
      <c r="I51" t="n">
        <v>5.7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s="2" t="inlineStr">
        <is>
          <t>Kortskaftad ärgspik</t>
        </is>
      </c>
      <c r="W51">
        <f>HYPERLINK("https://klasma.github.io/Logging_2513/artfynd/A 15137-2022 artfynd.xlsx", "A 15137-2022")</f>
        <v/>
      </c>
      <c r="X51">
        <f>HYPERLINK("https://klasma.github.io/Logging_2513/kartor/A 15137-2022 karta.png", "A 15137-2022")</f>
        <v/>
      </c>
      <c r="Y51">
        <f>HYPERLINK("https://klasma.github.io/Logging_2513/kartor_geotiff/A 15137-2022 georefererad karta.tif", "A 15137-2022")</f>
        <v/>
      </c>
      <c r="AA51">
        <f>HYPERLINK("https://klasma.github.io/Logging_2513/klagomål/A 15137-2022 FSC-klagomål.docx", "A 15137-2022")</f>
        <v/>
      </c>
      <c r="AB51">
        <f>HYPERLINK("https://klasma.github.io/Logging_2513/klagomålsmail/A 15137-2022 FSC-klagomål mail.docx", "A 15137-2022")</f>
        <v/>
      </c>
      <c r="AC51">
        <f>HYPERLINK("https://klasma.github.io/Logging_2513/tillsyn/A 15137-2022 tillsynsbegäran.docx", "A 15137-2022")</f>
        <v/>
      </c>
      <c r="AD51">
        <f>HYPERLINK("https://klasma.github.io/Logging_2513/tillsynsmail/A 15137-2022 tillsynsbegäran mail.docx", "A 15137-2022")</f>
        <v/>
      </c>
    </row>
    <row r="52" ht="15" customHeight="1">
      <c r="A52" t="inlineStr">
        <is>
          <t>A 26305-2025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45805</v>
      </c>
      <c r="E52" s="1" t="n">
        <v>46316</v>
      </c>
      <c r="F52" t="inlineStr">
        <is>
          <t>NORRBOTTENS LÄN</t>
        </is>
      </c>
      <c r="G52" t="inlineStr">
        <is>
          <t>ÖVERKALIX</t>
        </is>
      </c>
      <c r="H52" t="inlineStr">
        <is>
          <t>Sveaskog</t>
        </is>
      </c>
      <c r="I52" t="n">
        <v>5.2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Luddlav</t>
        </is>
      </c>
      <c r="W52">
        <f>HYPERLINK("https://klasma.github.io/Logging_2513/artfynd/A 26305-2025 artfynd.xlsx", "A 26305-2025")</f>
        <v/>
      </c>
      <c r="X52">
        <f>HYPERLINK("https://klasma.github.io/Logging_2513/kartor/A 26305-2025 karta.png", "A 26305-2025")</f>
        <v/>
      </c>
      <c r="Y52">
        <f>HYPERLINK("https://klasma.github.io/Logging_2513/kartor_geotiff/A 26305-2025 georefererad karta.tif", "A 26305-2025")</f>
        <v/>
      </c>
      <c r="AA52">
        <f>HYPERLINK("https://klasma.github.io/Logging_2513/klagomål/A 26305-2025 FSC-klagomål.docx", "A 26305-2025")</f>
        <v/>
      </c>
      <c r="AB52">
        <f>HYPERLINK("https://klasma.github.io/Logging_2513/klagomålsmail/A 26305-2025 FSC-klagomål mail.docx", "A 26305-2025")</f>
        <v/>
      </c>
      <c r="AC52">
        <f>HYPERLINK("https://klasma.github.io/Logging_2513/tillsyn/A 26305-2025 tillsynsbegäran.docx", "A 26305-2025")</f>
        <v/>
      </c>
      <c r="AD52">
        <f>HYPERLINK("https://klasma.github.io/Logging_2513/tillsynsmail/A 26305-2025 tillsynsbegäran mail.docx", "A 26305-2025")</f>
        <v/>
      </c>
    </row>
    <row r="53" ht="15" customHeight="1">
      <c r="A53" t="inlineStr">
        <is>
          <t>A 27452-2025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45813</v>
      </c>
      <c r="E53" s="1" t="n">
        <v>46316</v>
      </c>
      <c r="F53" t="inlineStr">
        <is>
          <t>NORRBOTTENS LÄN</t>
        </is>
      </c>
      <c r="G53" t="inlineStr">
        <is>
          <t>ÖVERKALIX</t>
        </is>
      </c>
      <c r="H53" t="inlineStr">
        <is>
          <t>SCA</t>
        </is>
      </c>
      <c r="I53" t="n">
        <v>6.3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s="2" t="inlineStr">
        <is>
          <t>Tjäder</t>
        </is>
      </c>
      <c r="W53">
        <f>HYPERLINK("https://klasma.github.io/Logging_2513/artfynd/A 27452-2025 artfynd.xlsx", "A 27452-2025")</f>
        <v/>
      </c>
      <c r="X53">
        <f>HYPERLINK("https://klasma.github.io/Logging_2513/kartor/A 27452-2025 karta.png", "A 27452-2025")</f>
        <v/>
      </c>
      <c r="Y53">
        <f>HYPERLINK("https://klasma.github.io/Logging_2513/kartor_geotiff/A 27452-2025 georefererad karta.tif", "A 27452-2025")</f>
        <v/>
      </c>
      <c r="AA53">
        <f>HYPERLINK("https://klasma.github.io/Logging_2513/klagomål/A 27452-2025 FSC-klagomål.docx", "A 27452-2025")</f>
        <v/>
      </c>
      <c r="AB53">
        <f>HYPERLINK("https://klasma.github.io/Logging_2513/klagomålsmail/A 27452-2025 FSC-klagomål mail.docx", "A 27452-2025")</f>
        <v/>
      </c>
      <c r="AC53">
        <f>HYPERLINK("https://klasma.github.io/Logging_2513/tillsyn/A 27452-2025 tillsynsbegäran.docx", "A 27452-2025")</f>
        <v/>
      </c>
      <c r="AD53">
        <f>HYPERLINK("https://klasma.github.io/Logging_2513/tillsynsmail/A 27452-2025 tillsynsbegäran mail.docx", "A 27452-2025")</f>
        <v/>
      </c>
      <c r="AE53">
        <f>HYPERLINK("https://klasma.github.io/Logging_2513/fåglar/A 27452-2025 prioriterade fågelarter.docx", "A 27452-2025")</f>
        <v/>
      </c>
    </row>
    <row r="54" ht="15" customHeight="1">
      <c r="A54" t="inlineStr">
        <is>
          <t>A 22977-2022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44717</v>
      </c>
      <c r="E54" s="1" t="n">
        <v>46316</v>
      </c>
      <c r="F54" t="inlineStr">
        <is>
          <t>NORRBOTTENS LÄN</t>
        </is>
      </c>
      <c r="G54" t="inlineStr">
        <is>
          <t>ÖVERKALIX</t>
        </is>
      </c>
      <c r="I54" t="n">
        <v>19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1</v>
      </c>
      <c r="U54" t="n">
        <v>1</v>
      </c>
      <c r="V54" s="2" t="inlineStr">
        <is>
          <t>Bivråk</t>
        </is>
      </c>
      <c r="W54">
        <f>HYPERLINK("https://klasma.github.io/Logging_2513/artfynd/A 22977-2022 artfynd.xlsx", "A 22977-2022")</f>
        <v/>
      </c>
      <c r="X54">
        <f>HYPERLINK("https://klasma.github.io/Logging_2513/kartor/A 22977-2022 karta.png", "A 22977-2022")</f>
        <v/>
      </c>
      <c r="Y54">
        <f>HYPERLINK("https://klasma.github.io/Logging_2513/kartor_geotiff/A 22977-2022 georefererad karta.tif", "A 22977-2022")</f>
        <v/>
      </c>
      <c r="AA54">
        <f>HYPERLINK("https://klasma.github.io/Logging_2513/klagomål/A 22977-2022 FSC-klagomål.docx", "A 22977-2022")</f>
        <v/>
      </c>
      <c r="AB54">
        <f>HYPERLINK("https://klasma.github.io/Logging_2513/klagomålsmail/A 22977-2022 FSC-klagomål mail.docx", "A 22977-2022")</f>
        <v/>
      </c>
      <c r="AC54">
        <f>HYPERLINK("https://klasma.github.io/Logging_2513/tillsyn/A 22977-2022 tillsynsbegäran.docx", "A 22977-2022")</f>
        <v/>
      </c>
      <c r="AD54">
        <f>HYPERLINK("https://klasma.github.io/Logging_2513/tillsynsmail/A 22977-2022 tillsynsbegäran mail.docx", "A 22977-2022")</f>
        <v/>
      </c>
      <c r="AE54">
        <f>HYPERLINK("https://klasma.github.io/Logging_2513/fåglar/A 22977-2022 prioriterade fågelarter.docx", "A 22977-2022")</f>
        <v/>
      </c>
    </row>
    <row r="55" ht="15" customHeight="1">
      <c r="A55" t="inlineStr">
        <is>
          <t>A 37532-2022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44809</v>
      </c>
      <c r="E55" s="1" t="n">
        <v>46316</v>
      </c>
      <c r="F55" t="inlineStr">
        <is>
          <t>NORRBOTTENS LÄN</t>
        </is>
      </c>
      <c r="G55" t="inlineStr">
        <is>
          <t>ÖVERKALIX</t>
        </is>
      </c>
      <c r="H55" t="inlineStr">
        <is>
          <t>Sveaskog</t>
        </is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s="2" t="inlineStr">
        <is>
          <t>Blå taggsvamp</t>
        </is>
      </c>
      <c r="W55">
        <f>HYPERLINK("https://klasma.github.io/Logging_2513/artfynd/A 37532-2022 artfynd.xlsx", "A 37532-2022")</f>
        <v/>
      </c>
      <c r="X55">
        <f>HYPERLINK("https://klasma.github.io/Logging_2513/kartor/A 37532-2022 karta.png", "A 37532-2022")</f>
        <v/>
      </c>
      <c r="Y55">
        <f>HYPERLINK("https://klasma.github.io/Logging_2513/kartor_geotiff/A 37532-2022 georefererad karta.tif", "A 37532-2022")</f>
        <v/>
      </c>
      <c r="AA55">
        <f>HYPERLINK("https://klasma.github.io/Logging_2513/klagomål/A 37532-2022 FSC-klagomål.docx", "A 37532-2022")</f>
        <v/>
      </c>
      <c r="AB55">
        <f>HYPERLINK("https://klasma.github.io/Logging_2513/klagomålsmail/A 37532-2022 FSC-klagomål mail.docx", "A 37532-2022")</f>
        <v/>
      </c>
      <c r="AC55">
        <f>HYPERLINK("https://klasma.github.io/Logging_2513/tillsyn/A 37532-2022 tillsynsbegäran.docx", "A 37532-2022")</f>
        <v/>
      </c>
      <c r="AD55">
        <f>HYPERLINK("https://klasma.github.io/Logging_2513/tillsynsmail/A 37532-2022 tillsynsbegäran mail.docx", "A 37532-2022")</f>
        <v/>
      </c>
    </row>
    <row r="56" ht="15" customHeight="1">
      <c r="A56" t="inlineStr">
        <is>
          <t>A 46280-2024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45581</v>
      </c>
      <c r="E56" s="1" t="n">
        <v>46316</v>
      </c>
      <c r="F56" t="inlineStr">
        <is>
          <t>NORRBOTTENS LÄN</t>
        </is>
      </c>
      <c r="G56" t="inlineStr">
        <is>
          <t>ÖVERKALIX</t>
        </is>
      </c>
      <c r="H56" t="inlineStr">
        <is>
          <t>SCA</t>
        </is>
      </c>
      <c r="I56" t="n">
        <v>6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s="2" t="inlineStr">
        <is>
          <t>Spillkråka</t>
        </is>
      </c>
      <c r="W56">
        <f>HYPERLINK("https://klasma.github.io/Logging_2513/artfynd/A 46280-2024 artfynd.xlsx", "A 46280-2024")</f>
        <v/>
      </c>
      <c r="X56">
        <f>HYPERLINK("https://klasma.github.io/Logging_2513/kartor/A 46280-2024 karta.png", "A 46280-2024")</f>
        <v/>
      </c>
      <c r="Y56">
        <f>HYPERLINK("https://klasma.github.io/Logging_2513/kartor_geotiff/A 46280-2024 georefererad karta.tif", "A 46280-2024")</f>
        <v/>
      </c>
      <c r="AA56">
        <f>HYPERLINK("https://klasma.github.io/Logging_2513/klagomål/A 46280-2024 FSC-klagomål.docx", "A 46280-2024")</f>
        <v/>
      </c>
      <c r="AB56">
        <f>HYPERLINK("https://klasma.github.io/Logging_2513/klagomålsmail/A 46280-2024 FSC-klagomål mail.docx", "A 46280-2024")</f>
        <v/>
      </c>
      <c r="AC56">
        <f>HYPERLINK("https://klasma.github.io/Logging_2513/tillsyn/A 46280-2024 tillsynsbegäran.docx", "A 46280-2024")</f>
        <v/>
      </c>
      <c r="AD56">
        <f>HYPERLINK("https://klasma.github.io/Logging_2513/tillsynsmail/A 46280-2024 tillsynsbegäran mail.docx", "A 46280-2024")</f>
        <v/>
      </c>
      <c r="AE56">
        <f>HYPERLINK("https://klasma.github.io/Logging_2513/fåglar/A 46280-2024 prioriterade fågelarter.docx", "A 46280-2024")</f>
        <v/>
      </c>
    </row>
    <row r="57" ht="15" customHeight="1">
      <c r="A57" t="inlineStr">
        <is>
          <t>A 46281-2024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45581</v>
      </c>
      <c r="E57" s="1" t="n">
        <v>46316</v>
      </c>
      <c r="F57" t="inlineStr">
        <is>
          <t>NORRBOTTENS LÄN</t>
        </is>
      </c>
      <c r="G57" t="inlineStr">
        <is>
          <t>ÖVERKALIX</t>
        </is>
      </c>
      <c r="H57" t="inlineStr">
        <is>
          <t>SCA</t>
        </is>
      </c>
      <c r="I57" t="n">
        <v>1.2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s="2" t="inlineStr">
        <is>
          <t>Blå taggsvamp</t>
        </is>
      </c>
      <c r="W57">
        <f>HYPERLINK("https://klasma.github.io/Logging_2513/artfynd/A 46281-2024 artfynd.xlsx", "A 46281-2024")</f>
        <v/>
      </c>
      <c r="X57">
        <f>HYPERLINK("https://klasma.github.io/Logging_2513/kartor/A 46281-2024 karta.png", "A 46281-2024")</f>
        <v/>
      </c>
      <c r="Y57">
        <f>HYPERLINK("https://klasma.github.io/Logging_2513/kartor_geotiff/A 46281-2024 georefererad karta.tif", "A 46281-2024")</f>
        <v/>
      </c>
      <c r="AA57">
        <f>HYPERLINK("https://klasma.github.io/Logging_2513/klagomål/A 46281-2024 FSC-klagomål.docx", "A 46281-2024")</f>
        <v/>
      </c>
      <c r="AB57">
        <f>HYPERLINK("https://klasma.github.io/Logging_2513/klagomålsmail/A 46281-2024 FSC-klagomål mail.docx", "A 46281-2024")</f>
        <v/>
      </c>
      <c r="AC57">
        <f>HYPERLINK("https://klasma.github.io/Logging_2513/tillsyn/A 46281-2024 tillsynsbegäran.docx", "A 46281-2024")</f>
        <v/>
      </c>
      <c r="AD57">
        <f>HYPERLINK("https://klasma.github.io/Logging_2513/tillsynsmail/A 46281-2024 tillsynsbegäran mail.docx", "A 46281-2024")</f>
        <v/>
      </c>
    </row>
    <row r="58" ht="15" customHeight="1">
      <c r="A58" t="inlineStr">
        <is>
          <t>A 35602-2025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45859</v>
      </c>
      <c r="E58" s="1" t="n">
        <v>46316</v>
      </c>
      <c r="F58" t="inlineStr">
        <is>
          <t>NORRBOTTENS LÄN</t>
        </is>
      </c>
      <c r="G58" t="inlineStr">
        <is>
          <t>ÖVERKALIX</t>
        </is>
      </c>
      <c r="H58" t="inlineStr">
        <is>
          <t>Sveaskog</t>
        </is>
      </c>
      <c r="I58" t="n">
        <v>2.9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1</v>
      </c>
      <c r="V58" s="2" t="inlineStr">
        <is>
          <t>Fläcknycklar</t>
        </is>
      </c>
      <c r="W58">
        <f>HYPERLINK("https://klasma.github.io/Logging_2513/artfynd/A 35602-2025 artfynd.xlsx", "A 35602-2025")</f>
        <v/>
      </c>
      <c r="X58">
        <f>HYPERLINK("https://klasma.github.io/Logging_2513/kartor/A 35602-2025 karta.png", "A 35602-2025")</f>
        <v/>
      </c>
      <c r="Y58">
        <f>HYPERLINK("https://klasma.github.io/Logging_2513/kartor_geotiff/A 35602-2025 georefererad karta.tif", "A 35602-2025")</f>
        <v/>
      </c>
      <c r="AA58">
        <f>HYPERLINK("https://klasma.github.io/Logging_2513/klagomål/A 35602-2025 FSC-klagomål.docx", "A 35602-2025")</f>
        <v/>
      </c>
      <c r="AB58">
        <f>HYPERLINK("https://klasma.github.io/Logging_2513/klagomålsmail/A 35602-2025 FSC-klagomål mail.docx", "A 35602-2025")</f>
        <v/>
      </c>
      <c r="AC58">
        <f>HYPERLINK("https://klasma.github.io/Logging_2513/tillsyn/A 35602-2025 tillsynsbegäran.docx", "A 35602-2025")</f>
        <v/>
      </c>
      <c r="AD58">
        <f>HYPERLINK("https://klasma.github.io/Logging_2513/tillsynsmail/A 35602-2025 tillsynsbegäran mail.docx", "A 35602-2025")</f>
        <v/>
      </c>
    </row>
    <row r="59" ht="15" customHeight="1">
      <c r="A59" t="inlineStr">
        <is>
          <t>A 71902-2021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44539</v>
      </c>
      <c r="E59" s="1" t="n">
        <v>46316</v>
      </c>
      <c r="F59" t="inlineStr">
        <is>
          <t>NORRBOTTENS LÄN</t>
        </is>
      </c>
      <c r="G59" t="inlineStr">
        <is>
          <t>ÖVERKALIX</t>
        </is>
      </c>
      <c r="I59" t="n">
        <v>24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Tjäder</t>
        </is>
      </c>
      <c r="W59">
        <f>HYPERLINK("https://klasma.github.io/Logging_2513/artfynd/A 71902-2021 artfynd.xlsx", "A 71902-2021")</f>
        <v/>
      </c>
      <c r="X59">
        <f>HYPERLINK("https://klasma.github.io/Logging_2513/kartor/A 71902-2021 karta.png", "A 71902-2021")</f>
        <v/>
      </c>
      <c r="Y59">
        <f>HYPERLINK("https://klasma.github.io/Logging_2513/kartor_geotiff/A 71902-2021 georefererad karta.tif", "A 71902-2021")</f>
        <v/>
      </c>
      <c r="AA59">
        <f>HYPERLINK("https://klasma.github.io/Logging_2513/klagomål/A 71902-2021 FSC-klagomål.docx", "A 71902-2021")</f>
        <v/>
      </c>
      <c r="AB59">
        <f>HYPERLINK("https://klasma.github.io/Logging_2513/klagomålsmail/A 71902-2021 FSC-klagomål mail.docx", "A 71902-2021")</f>
        <v/>
      </c>
      <c r="AC59">
        <f>HYPERLINK("https://klasma.github.io/Logging_2513/tillsyn/A 71902-2021 tillsynsbegäran.docx", "A 71902-2021")</f>
        <v/>
      </c>
      <c r="AD59">
        <f>HYPERLINK("https://klasma.github.io/Logging_2513/tillsynsmail/A 71902-2021 tillsynsbegäran mail.docx", "A 71902-2021")</f>
        <v/>
      </c>
      <c r="AE59">
        <f>HYPERLINK("https://klasma.github.io/Logging_2513/fåglar/A 71902-2021 prioriterade fågelarter.docx", "A 71902-2021")</f>
        <v/>
      </c>
    </row>
    <row r="60" ht="15" customHeight="1">
      <c r="A60" t="inlineStr">
        <is>
          <t>A 7234-2023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44970</v>
      </c>
      <c r="E60" s="1" t="n">
        <v>46316</v>
      </c>
      <c r="F60" t="inlineStr">
        <is>
          <t>NORRBOTTENS LÄN</t>
        </is>
      </c>
      <c r="G60" t="inlineStr">
        <is>
          <t>ÖVERKALIX</t>
        </is>
      </c>
      <c r="I60" t="n">
        <v>5.2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1</v>
      </c>
      <c r="V60" s="2" t="inlineStr">
        <is>
          <t>Spillkråka</t>
        </is>
      </c>
      <c r="W60">
        <f>HYPERLINK("https://klasma.github.io/Logging_2513/artfynd/A 7234-2023 artfynd.xlsx", "A 7234-2023")</f>
        <v/>
      </c>
      <c r="X60">
        <f>HYPERLINK("https://klasma.github.io/Logging_2513/kartor/A 7234-2023 karta.png", "A 7234-2023")</f>
        <v/>
      </c>
      <c r="Y60">
        <f>HYPERLINK("https://klasma.github.io/Logging_2513/kartor_geotiff/A 7234-2023 georefererad karta.tif", "A 7234-2023")</f>
        <v/>
      </c>
      <c r="AA60">
        <f>HYPERLINK("https://klasma.github.io/Logging_2513/klagomål/A 7234-2023 FSC-klagomål.docx", "A 7234-2023")</f>
        <v/>
      </c>
      <c r="AB60">
        <f>HYPERLINK("https://klasma.github.io/Logging_2513/klagomålsmail/A 7234-2023 FSC-klagomål mail.docx", "A 7234-2023")</f>
        <v/>
      </c>
      <c r="AC60">
        <f>HYPERLINK("https://klasma.github.io/Logging_2513/tillsyn/A 7234-2023 tillsynsbegäran.docx", "A 7234-2023")</f>
        <v/>
      </c>
      <c r="AD60">
        <f>HYPERLINK("https://klasma.github.io/Logging_2513/tillsynsmail/A 7234-2023 tillsynsbegäran mail.docx", "A 7234-2023")</f>
        <v/>
      </c>
      <c r="AE60">
        <f>HYPERLINK("https://klasma.github.io/Logging_2513/fåglar/A 7234-2023 prioriterade fågelarter.docx", "A 7234-2023")</f>
        <v/>
      </c>
    </row>
    <row r="61" ht="15" customHeight="1">
      <c r="A61" t="inlineStr">
        <is>
          <t>A 8407-2025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45709</v>
      </c>
      <c r="E61" s="1" t="n">
        <v>46316</v>
      </c>
      <c r="F61" t="inlineStr">
        <is>
          <t>NORRBOTTENS LÄN</t>
        </is>
      </c>
      <c r="G61" t="inlineStr">
        <is>
          <t>ÖVERKALIX</t>
        </is>
      </c>
      <c r="I61" t="n">
        <v>1.5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s="2" t="inlineStr">
        <is>
          <t>Tallbit</t>
        </is>
      </c>
      <c r="W61">
        <f>HYPERLINK("https://klasma.github.io/Logging_2513/artfynd/A 8407-2025 artfynd.xlsx", "A 8407-2025")</f>
        <v/>
      </c>
      <c r="X61">
        <f>HYPERLINK("https://klasma.github.io/Logging_2513/kartor/A 8407-2025 karta.png", "A 8407-2025")</f>
        <v/>
      </c>
      <c r="Y61">
        <f>HYPERLINK("https://klasma.github.io/Logging_2513/kartor_geotiff/A 8407-2025 georefererad karta.tif", "A 8407-2025")</f>
        <v/>
      </c>
      <c r="AA61">
        <f>HYPERLINK("https://klasma.github.io/Logging_2513/klagomål/A 8407-2025 FSC-klagomål.docx", "A 8407-2025")</f>
        <v/>
      </c>
      <c r="AB61">
        <f>HYPERLINK("https://klasma.github.io/Logging_2513/klagomålsmail/A 8407-2025 FSC-klagomål mail.docx", "A 8407-2025")</f>
        <v/>
      </c>
      <c r="AC61">
        <f>HYPERLINK("https://klasma.github.io/Logging_2513/tillsyn/A 8407-2025 tillsynsbegäran.docx", "A 8407-2025")</f>
        <v/>
      </c>
      <c r="AD61">
        <f>HYPERLINK("https://klasma.github.io/Logging_2513/tillsynsmail/A 8407-2025 tillsynsbegäran mail.docx", "A 8407-2025")</f>
        <v/>
      </c>
      <c r="AE61">
        <f>HYPERLINK("https://klasma.github.io/Logging_2513/fåglar/A 8407-2025 prioriterade fågelarter.docx", "A 8407-2025")</f>
        <v/>
      </c>
    </row>
    <row r="62" ht="15" customHeight="1">
      <c r="A62" t="inlineStr">
        <is>
          <t>A 27087-2026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46187</v>
      </c>
      <c r="E62" s="1" t="n">
        <v>46316</v>
      </c>
      <c r="F62" t="inlineStr">
        <is>
          <t>NORRBOTTENS LÄN</t>
        </is>
      </c>
      <c r="G62" t="inlineStr">
        <is>
          <t>ÖVERKALIX</t>
        </is>
      </c>
      <c r="H62" t="inlineStr">
        <is>
          <t>SCA</t>
        </is>
      </c>
      <c r="I62" t="n">
        <v>5.1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1</v>
      </c>
      <c r="V62" s="2" t="inlineStr">
        <is>
          <t>Talltita</t>
        </is>
      </c>
      <c r="W62">
        <f>HYPERLINK("https://klasma.github.io/Logging_2513/artfynd/A 27087-2026 artfynd.xlsx", "A 27087-2026")</f>
        <v/>
      </c>
      <c r="X62">
        <f>HYPERLINK("https://klasma.github.io/Logging_2513/kartor/A 27087-2026 karta.png", "A 27087-2026")</f>
        <v/>
      </c>
      <c r="Y62">
        <f>HYPERLINK("https://klasma.github.io/Logging_2513/kartor_geotiff/A 27087-2026 georefererad karta.tif", "A 27087-2026")</f>
        <v/>
      </c>
      <c r="AA62">
        <f>HYPERLINK("https://klasma.github.io/Logging_2513/klagomål/A 27087-2026 FSC-klagomål.docx", "A 27087-2026")</f>
        <v/>
      </c>
      <c r="AB62">
        <f>HYPERLINK("https://klasma.github.io/Logging_2513/klagomålsmail/A 27087-2026 FSC-klagomål mail.docx", "A 27087-2026")</f>
        <v/>
      </c>
      <c r="AC62">
        <f>HYPERLINK("https://klasma.github.io/Logging_2513/tillsyn/A 27087-2026 tillsynsbegäran.docx", "A 27087-2026")</f>
        <v/>
      </c>
      <c r="AD62">
        <f>HYPERLINK("https://klasma.github.io/Logging_2513/tillsynsmail/A 27087-2026 tillsynsbegäran mail.docx", "A 27087-2026")</f>
        <v/>
      </c>
      <c r="AE62">
        <f>HYPERLINK("https://klasma.github.io/Logging_2513/fåglar/A 27087-2026 prioriterade fågelarter.docx", "A 27087-2026")</f>
        <v/>
      </c>
    </row>
    <row r="63" ht="15" customHeight="1">
      <c r="A63" t="inlineStr">
        <is>
          <t>A 25335-2026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46176</v>
      </c>
      <c r="E63" s="1" t="n">
        <v>46316</v>
      </c>
      <c r="F63" t="inlineStr">
        <is>
          <t>NORRBOTTENS LÄN</t>
        </is>
      </c>
      <c r="G63" t="inlineStr">
        <is>
          <t>ÖVERKALIX</t>
        </is>
      </c>
      <c r="H63" t="inlineStr">
        <is>
          <t>Sveaskog</t>
        </is>
      </c>
      <c r="I63" t="n">
        <v>46.9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s="2" t="inlineStr">
        <is>
          <t>Lunglav</t>
        </is>
      </c>
      <c r="W63">
        <f>HYPERLINK("https://klasma.github.io/Logging_2513/artfynd/A 25335-2026 artfynd.xlsx", "A 25335-2026")</f>
        <v/>
      </c>
      <c r="X63">
        <f>HYPERLINK("https://klasma.github.io/Logging_2513/kartor/A 25335-2026 karta.png", "A 25335-2026")</f>
        <v/>
      </c>
      <c r="Y63">
        <f>HYPERLINK("https://klasma.github.io/Logging_2513/kartor_geotiff/A 25335-2026 georefererad karta.tif", "A 25335-2026")</f>
        <v/>
      </c>
      <c r="AA63">
        <f>HYPERLINK("https://klasma.github.io/Logging_2513/klagomål/A 25335-2026 FSC-klagomål.docx", "A 25335-2026")</f>
        <v/>
      </c>
      <c r="AB63">
        <f>HYPERLINK("https://klasma.github.io/Logging_2513/klagomålsmail/A 25335-2026 FSC-klagomål mail.docx", "A 25335-2026")</f>
        <v/>
      </c>
      <c r="AC63">
        <f>HYPERLINK("https://klasma.github.io/Logging_2513/tillsyn/A 25335-2026 tillsynsbegäran.docx", "A 25335-2026")</f>
        <v/>
      </c>
      <c r="AD63">
        <f>HYPERLINK("https://klasma.github.io/Logging_2513/tillsynsmail/A 25335-2026 tillsynsbegäran mail.docx", "A 25335-2026")</f>
        <v/>
      </c>
    </row>
    <row r="64" ht="15" customHeight="1">
      <c r="A64" t="inlineStr">
        <is>
          <t>A 20949-2026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46142</v>
      </c>
      <c r="E64" s="1" t="n">
        <v>46316</v>
      </c>
      <c r="F64" t="inlineStr">
        <is>
          <t>NORRBOTTENS LÄN</t>
        </is>
      </c>
      <c r="G64" t="inlineStr">
        <is>
          <t>ÖVERKALIX</t>
        </is>
      </c>
      <c r="H64" t="inlineStr">
        <is>
          <t>Sveaskog</t>
        </is>
      </c>
      <c r="I64" t="n">
        <v>9.1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  <c r="V64" s="2" t="inlineStr">
        <is>
          <t>Fläcknycklar</t>
        </is>
      </c>
      <c r="W64">
        <f>HYPERLINK("https://klasma.github.io/Logging_2513/artfynd/A 20949-2026 artfynd.xlsx", "A 20949-2026")</f>
        <v/>
      </c>
      <c r="X64">
        <f>HYPERLINK("https://klasma.github.io/Logging_2513/kartor/A 20949-2026 karta.png", "A 20949-2026")</f>
        <v/>
      </c>
      <c r="Y64">
        <f>HYPERLINK("https://klasma.github.io/Logging_2513/kartor_geotiff/A 20949-2026 georefererad karta.tif", "A 20949-2026")</f>
        <v/>
      </c>
      <c r="AA64">
        <f>HYPERLINK("https://klasma.github.io/Logging_2513/klagomål/A 20949-2026 FSC-klagomål.docx", "A 20949-2026")</f>
        <v/>
      </c>
      <c r="AB64">
        <f>HYPERLINK("https://klasma.github.io/Logging_2513/klagomålsmail/A 20949-2026 FSC-klagomål mail.docx", "A 20949-2026")</f>
        <v/>
      </c>
      <c r="AC64">
        <f>HYPERLINK("https://klasma.github.io/Logging_2513/tillsyn/A 20949-2026 tillsynsbegäran.docx", "A 20949-2026")</f>
        <v/>
      </c>
      <c r="AD64">
        <f>HYPERLINK("https://klasma.github.io/Logging_2513/tillsynsmail/A 20949-2026 tillsynsbegäran mail.docx", "A 20949-2026")</f>
        <v/>
      </c>
    </row>
    <row r="65" ht="15" customHeight="1">
      <c r="A65" t="inlineStr">
        <is>
          <t>A 31920-2026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46231</v>
      </c>
      <c r="E65" s="1" t="n">
        <v>46316</v>
      </c>
      <c r="F65" t="inlineStr">
        <is>
          <t>NORRBOTTENS LÄN</t>
        </is>
      </c>
      <c r="G65" t="inlineStr">
        <is>
          <t>ÖVERKALIX</t>
        </is>
      </c>
      <c r="H65" t="inlineStr">
        <is>
          <t>Sveaskog</t>
        </is>
      </c>
      <c r="I65" t="n">
        <v>3.8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s="2" t="inlineStr">
        <is>
          <t>Garnlav</t>
        </is>
      </c>
      <c r="W65">
        <f>HYPERLINK("https://klasma.github.io/Logging_2513/artfynd/A 31920-2026 artfynd.xlsx", "A 31920-2026")</f>
        <v/>
      </c>
      <c r="X65">
        <f>HYPERLINK("https://klasma.github.io/Logging_2513/kartor/A 31920-2026 karta.png", "A 31920-2026")</f>
        <v/>
      </c>
      <c r="Y65">
        <f>HYPERLINK("https://klasma.github.io/Logging_2513/kartor_geotiff/A 31920-2026 georefererad karta.tif", "A 31920-2026")</f>
        <v/>
      </c>
      <c r="AA65">
        <f>HYPERLINK("https://klasma.github.io/Logging_2513/klagomål/A 31920-2026 FSC-klagomål.docx", "A 31920-2026")</f>
        <v/>
      </c>
      <c r="AB65">
        <f>HYPERLINK("https://klasma.github.io/Logging_2513/klagomålsmail/A 31920-2026 FSC-klagomål mail.docx", "A 31920-2026")</f>
        <v/>
      </c>
      <c r="AC65">
        <f>HYPERLINK("https://klasma.github.io/Logging_2513/tillsyn/A 31920-2026 tillsynsbegäran.docx", "A 31920-2026")</f>
        <v/>
      </c>
      <c r="AD65">
        <f>HYPERLINK("https://klasma.github.io/Logging_2513/tillsynsmail/A 31920-2026 tillsynsbegäran mail.docx", "A 31920-2026")</f>
        <v/>
      </c>
    </row>
    <row r="66" ht="15" customHeight="1">
      <c r="A66" t="inlineStr">
        <is>
          <t>A 41569-2026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46301</v>
      </c>
      <c r="E66" s="1" t="n">
        <v>46316</v>
      </c>
      <c r="F66" t="inlineStr">
        <is>
          <t>NORRBOTTENS LÄN</t>
        </is>
      </c>
      <c r="G66" t="inlineStr">
        <is>
          <t>ÖVERKALIX</t>
        </is>
      </c>
      <c r="H66" t="inlineStr">
        <is>
          <t>SCA</t>
        </is>
      </c>
      <c r="I66" t="n">
        <v>2.8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0</v>
      </c>
      <c r="V66" s="2" t="inlineStr">
        <is>
          <t>Tallticka</t>
        </is>
      </c>
      <c r="W66">
        <f>HYPERLINK("https://klasma.github.io/Logging_2513/artfynd/A 41569-2026 artfynd.xlsx", "A 41569-2026")</f>
        <v/>
      </c>
      <c r="X66">
        <f>HYPERLINK("https://klasma.github.io/Logging_2513/kartor/A 41569-2026 karta.png", "A 41569-2026")</f>
        <v/>
      </c>
      <c r="Y66">
        <f>HYPERLINK("https://klasma.github.io/Logging_2513/kartor_geotiff/A 41569-2026 georefererad karta.tif", "A 41569-2026")</f>
        <v/>
      </c>
      <c r="AA66">
        <f>HYPERLINK("https://klasma.github.io/Logging_2513/klagomål/A 41569-2026 FSC-klagomål.docx", "A 41569-2026")</f>
        <v/>
      </c>
      <c r="AB66">
        <f>HYPERLINK("https://klasma.github.io/Logging_2513/klagomålsmail/A 41569-2026 FSC-klagomål mail.docx", "A 41569-2026")</f>
        <v/>
      </c>
      <c r="AC66">
        <f>HYPERLINK("https://klasma.github.io/Logging_2513/tillsyn/A 41569-2026 tillsynsbegäran.docx", "A 41569-2026")</f>
        <v/>
      </c>
      <c r="AD66">
        <f>HYPERLINK("https://klasma.github.io/Logging_2513/tillsynsmail/A 41569-2026 tillsynsbegäran mail.docx", "A 41569-2026")</f>
        <v/>
      </c>
    </row>
    <row r="67" ht="15" customHeight="1">
      <c r="A67" t="inlineStr">
        <is>
          <t>A 21777-2024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45442</v>
      </c>
      <c r="E67" s="1" t="n">
        <v>46316</v>
      </c>
      <c r="F67" t="inlineStr">
        <is>
          <t>NORRBOTTENS LÄN</t>
        </is>
      </c>
      <c r="G67" t="inlineStr">
        <is>
          <t>ÖVERKALIX</t>
        </is>
      </c>
      <c r="H67" t="inlineStr">
        <is>
          <t>Sveaskog</t>
        </is>
      </c>
      <c r="I67" t="n">
        <v>30.5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s="2" t="inlineStr">
        <is>
          <t>Lunglav</t>
        </is>
      </c>
      <c r="W67">
        <f>HYPERLINK("https://klasma.github.io/Logging_2513/artfynd/A 21777-2024 artfynd.xlsx", "A 21777-2024")</f>
        <v/>
      </c>
      <c r="X67">
        <f>HYPERLINK("https://klasma.github.io/Logging_2513/kartor/A 21777-2024 karta.png", "A 21777-2024")</f>
        <v/>
      </c>
      <c r="Y67">
        <f>HYPERLINK("https://klasma.github.io/Logging_2513/kartor_geotiff/A 21777-2024 georefererad karta.tif", "A 21777-2024")</f>
        <v/>
      </c>
      <c r="AA67">
        <f>HYPERLINK("https://klasma.github.io/Logging_2513/klagomål/A 21777-2024 FSC-klagomål.docx", "A 21777-2024")</f>
        <v/>
      </c>
      <c r="AB67">
        <f>HYPERLINK("https://klasma.github.io/Logging_2513/klagomålsmail/A 21777-2024 FSC-klagomål mail.docx", "A 21777-2024")</f>
        <v/>
      </c>
      <c r="AC67">
        <f>HYPERLINK("https://klasma.github.io/Logging_2513/tillsyn/A 21777-2024 tillsynsbegäran.docx", "A 21777-2024")</f>
        <v/>
      </c>
      <c r="AD67">
        <f>HYPERLINK("https://klasma.github.io/Logging_2513/tillsynsmail/A 21777-2024 tillsynsbegäran mail.docx", "A 21777-2024")</f>
        <v/>
      </c>
    </row>
    <row r="68" ht="15" customHeight="1">
      <c r="A68" t="inlineStr">
        <is>
          <t>S 4190-2024</t>
        </is>
      </c>
      <c r="B68" t="inlineStr">
        <is>
          <t>samrådsanmälan</t>
        </is>
      </c>
      <c r="C68" t="inlineStr">
        <is>
          <t>Annan skogsbruksåtgärd</t>
        </is>
      </c>
      <c r="D68" s="1" t="n">
        <v>45579</v>
      </c>
      <c r="E68" s="1" t="n">
        <v>46316</v>
      </c>
      <c r="F68" t="inlineStr">
        <is>
          <t>NORRBOTTENS LÄN</t>
        </is>
      </c>
      <c r="G68" t="inlineStr">
        <is>
          <t>ÖVERKALIX</t>
        </is>
      </c>
      <c r="H68" t="inlineStr">
        <is>
          <t>Sveaskog</t>
        </is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14</v>
      </c>
      <c r="U68" t="n">
        <v>0</v>
      </c>
      <c r="V68" s="2" t="inlineStr">
        <is>
          <t>Lunglav</t>
        </is>
      </c>
      <c r="W68">
        <f>HYPERLINK("https://klasma.github.io/Logging_2513/artfynd/S 4190-2024 artfynd.xlsx", "S 4190-2024")</f>
        <v/>
      </c>
      <c r="X68">
        <f>HYPERLINK("https://klasma.github.io/Logging_2513/kartor/S 4190-2024 karta.png", "S 4190-2024")</f>
        <v/>
      </c>
      <c r="Y68">
        <f>HYPERLINK("https://klasma.github.io/Logging_2513/kartor_geotiff/S 4190-2024 georefererad karta.tif", "S 4190-2024")</f>
        <v/>
      </c>
      <c r="AA68">
        <f>HYPERLINK("https://klasma.github.io/Logging_2513/klagomål/S 4190-2024 FSC-klagomål.docx", "S 4190-2024")</f>
        <v/>
      </c>
      <c r="AB68">
        <f>HYPERLINK("https://klasma.github.io/Logging_2513/klagomålsmail/S 4190-2024 FSC-klagomål mail.docx", "S 4190-2024")</f>
        <v/>
      </c>
      <c r="AC68">
        <f>HYPERLINK("https://klasma.github.io/Logging_2513/tillsyn/S 4190-2024 tillsynsbegäran.docx", "S 4190-2024")</f>
        <v/>
      </c>
      <c r="AD68">
        <f>HYPERLINK("https://klasma.github.io/Logging_2513/tillsynsmail/S 4190-2024 tillsynsbegäran mail.docx", "S 4190-2024")</f>
        <v/>
      </c>
    </row>
    <row r="69" ht="15" customHeight="1">
      <c r="A69" t="inlineStr">
        <is>
          <t>S 1156-2024</t>
        </is>
      </c>
      <c r="B69" t="inlineStr">
        <is>
          <t>samrådsanmälan</t>
        </is>
      </c>
      <c r="C69" t="inlineStr">
        <is>
          <t>Skogsgödsling</t>
        </is>
      </c>
      <c r="D69" s="1" t="n">
        <v>45394</v>
      </c>
      <c r="E69" s="1" t="n">
        <v>46316</v>
      </c>
      <c r="F69" t="inlineStr">
        <is>
          <t>NORRBOTTENS LÄN</t>
        </is>
      </c>
      <c r="G69" t="inlineStr">
        <is>
          <t>ÖVERKALIX</t>
        </is>
      </c>
      <c r="H69" t="inlineStr">
        <is>
          <t>Sveaskog</t>
        </is>
      </c>
      <c r="I69" t="n">
        <v>491.9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s="2" t="inlineStr">
        <is>
          <t>Sävsparv</t>
        </is>
      </c>
      <c r="W69">
        <f>HYPERLINK("https://klasma.github.io/Logging_2513/artfynd/S 1156-2024 artfynd.xlsx", "S 1156-2024")</f>
        <v/>
      </c>
      <c r="X69">
        <f>HYPERLINK("https://klasma.github.io/Logging_2513/kartor/S 1156-2024 karta.png", "S 1156-2024")</f>
        <v/>
      </c>
      <c r="Y69">
        <f>HYPERLINK("https://klasma.github.io/Logging_2513/kartor_geotiff/S 1156-2024 georefererad karta.tif", "S 1156-2024")</f>
        <v/>
      </c>
      <c r="AA69">
        <f>HYPERLINK("https://klasma.github.io/Logging_2513/klagomål/S 1156-2024 FSC-klagomål.docx", "S 1156-2024")</f>
        <v/>
      </c>
      <c r="AB69">
        <f>HYPERLINK("https://klasma.github.io/Logging_2513/klagomålsmail/S 1156-2024 FSC-klagomål mail.docx", "S 1156-2024")</f>
        <v/>
      </c>
      <c r="AC69">
        <f>HYPERLINK("https://klasma.github.io/Logging_2513/tillsyn/S 1156-2024 tillsynsbegäran.docx", "S 1156-2024")</f>
        <v/>
      </c>
      <c r="AD69">
        <f>HYPERLINK("https://klasma.github.io/Logging_2513/tillsynsmail/S 1156-2024 tillsynsbegäran mail.docx", "S 1156-2024")</f>
        <v/>
      </c>
      <c r="AE69">
        <f>HYPERLINK("https://klasma.github.io/Logging_2513/fåglar/S 1156-2024 prioriterade fågelarter.docx", "S 1156-2024")</f>
        <v/>
      </c>
    </row>
    <row r="70" ht="15" customHeight="1">
      <c r="A70" t="inlineStr">
        <is>
          <t>A 3174-2022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44582</v>
      </c>
      <c r="E70" s="1" t="n">
        <v>46316</v>
      </c>
      <c r="F70" t="inlineStr">
        <is>
          <t>NORRBOTTENS LÄN</t>
        </is>
      </c>
      <c r="G70" t="inlineStr">
        <is>
          <t>ÖVERKALIX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73348-2021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44550</v>
      </c>
      <c r="E71" s="1" t="n">
        <v>46316</v>
      </c>
      <c r="F71" t="inlineStr">
        <is>
          <t>NORRBOTTENS LÄN</t>
        </is>
      </c>
      <c r="G71" t="inlineStr">
        <is>
          <t>ÖVERKALIX</t>
        </is>
      </c>
      <c r="I71" t="n">
        <v>5.4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22988-2022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44718</v>
      </c>
      <c r="E72" s="1" t="n">
        <v>46316</v>
      </c>
      <c r="F72" t="inlineStr">
        <is>
          <t>NORRBOTTENS LÄN</t>
        </is>
      </c>
      <c r="G72" t="inlineStr">
        <is>
          <t>ÖVERKALIX</t>
        </is>
      </c>
      <c r="I72" t="n">
        <v>13.2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73757-2021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44551</v>
      </c>
      <c r="E73" s="1" t="n">
        <v>46316</v>
      </c>
      <c r="F73" t="inlineStr">
        <is>
          <t>NORRBOTTENS LÄN</t>
        </is>
      </c>
      <c r="G73" t="inlineStr">
        <is>
          <t>ÖVERKALIX</t>
        </is>
      </c>
      <c r="I73" t="n">
        <v>3.3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21847-2022</t>
        </is>
      </c>
      <c r="B74" t="inlineStr">
        <is>
          <t>avverkningsanmälan</t>
        </is>
      </c>
      <c r="C74" t="inlineStr">
        <is>
          <t>Avverkning för annat ändamål</t>
        </is>
      </c>
      <c r="D74" s="1" t="n">
        <v>44711</v>
      </c>
      <c r="E74" s="1" t="n">
        <v>46316</v>
      </c>
      <c r="F74" t="inlineStr">
        <is>
          <t>NORRBOTTENS LÄN</t>
        </is>
      </c>
      <c r="G74" t="inlineStr">
        <is>
          <t>ÖVERKALIX</t>
        </is>
      </c>
      <c r="H74" t="inlineStr">
        <is>
          <t>Sveaskog</t>
        </is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22976-2022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44717</v>
      </c>
      <c r="E75" s="1" t="n">
        <v>46316</v>
      </c>
      <c r="F75" t="inlineStr">
        <is>
          <t>NORRBOTTENS LÄN</t>
        </is>
      </c>
      <c r="G75" t="inlineStr">
        <is>
          <t>ÖVERKALIX</t>
        </is>
      </c>
      <c r="I75" t="n">
        <v>2.8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29706-2022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44755</v>
      </c>
      <c r="E76" s="1" t="n">
        <v>46316</v>
      </c>
      <c r="F76" t="inlineStr">
        <is>
          <t>NORRBOTTENS LÄN</t>
        </is>
      </c>
      <c r="G76" t="inlineStr">
        <is>
          <t>ÖVERKALIX</t>
        </is>
      </c>
      <c r="H76" t="inlineStr">
        <is>
          <t>Sveaskog</t>
        </is>
      </c>
      <c r="I76" t="n">
        <v>3.3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  <c r="Z76">
        <f>HYPERLINK("https://klasma.github.io/Logging_2513/knärot/A 29706-2022 karta knärot.png", "A 29706-2022")</f>
        <v/>
      </c>
      <c r="AA76">
        <f>HYPERLINK("https://klasma.github.io/Logging_2513/klagomål/A 29706-2022 FSC-klagomål.docx", "A 29706-2022")</f>
        <v/>
      </c>
      <c r="AB76">
        <f>HYPERLINK("https://klasma.github.io/Logging_2513/klagomålsmail/A 29706-2022 FSC-klagomål mail.docx", "A 29706-2022")</f>
        <v/>
      </c>
      <c r="AC76">
        <f>HYPERLINK("https://klasma.github.io/Logging_2513/tillsyn/A 29706-2022 tillsynsbegäran.docx", "A 29706-2022")</f>
        <v/>
      </c>
      <c r="AD76">
        <f>HYPERLINK("https://klasma.github.io/Logging_2513/tillsynsmail/A 29706-2022 tillsynsbegäran mail.docx", "A 29706-2022")</f>
        <v/>
      </c>
    </row>
    <row r="77" ht="15" customHeight="1">
      <c r="A77" t="inlineStr">
        <is>
          <t>A 6907-2022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44602</v>
      </c>
      <c r="E77" s="1" t="n">
        <v>46316</v>
      </c>
      <c r="F77" t="inlineStr">
        <is>
          <t>NORRBOTTENS LÄN</t>
        </is>
      </c>
      <c r="G77" t="inlineStr">
        <is>
          <t>ÖVERKALIX</t>
        </is>
      </c>
      <c r="I77" t="n">
        <v>0.5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49843-2022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44862</v>
      </c>
      <c r="E78" s="1" t="n">
        <v>46316</v>
      </c>
      <c r="F78" t="inlineStr">
        <is>
          <t>NORRBOTTENS LÄN</t>
        </is>
      </c>
      <c r="G78" t="inlineStr">
        <is>
          <t>ÖVERKALIX</t>
        </is>
      </c>
      <c r="I78" t="n">
        <v>9.699999999999999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33497-2022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44788</v>
      </c>
      <c r="E79" s="1" t="n">
        <v>46316</v>
      </c>
      <c r="F79" t="inlineStr">
        <is>
          <t>NORRBOTTENS LÄN</t>
        </is>
      </c>
      <c r="G79" t="inlineStr">
        <is>
          <t>ÖVERKALIX</t>
        </is>
      </c>
      <c r="I79" t="n">
        <v>0.5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10553-2022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44623</v>
      </c>
      <c r="E80" s="1" t="n">
        <v>46316</v>
      </c>
      <c r="F80" t="inlineStr">
        <is>
          <t>NORRBOTTENS LÄN</t>
        </is>
      </c>
      <c r="G80" t="inlineStr">
        <is>
          <t>ÖVERKALIX</t>
        </is>
      </c>
      <c r="H80" t="inlineStr">
        <is>
          <t>SCA</t>
        </is>
      </c>
      <c r="I80" t="n">
        <v>1.7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52993-2022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44875</v>
      </c>
      <c r="E81" s="1" t="n">
        <v>46316</v>
      </c>
      <c r="F81" t="inlineStr">
        <is>
          <t>NORRBOTTENS LÄN</t>
        </is>
      </c>
      <c r="G81" t="inlineStr">
        <is>
          <t>ÖVERKALIX</t>
        </is>
      </c>
      <c r="I81" t="n">
        <v>0.9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64304-2021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44510</v>
      </c>
      <c r="E82" s="1" t="n">
        <v>46316</v>
      </c>
      <c r="F82" t="inlineStr">
        <is>
          <t>NORRBOTTENS LÄN</t>
        </is>
      </c>
      <c r="G82" t="inlineStr">
        <is>
          <t>ÖVERKALIX</t>
        </is>
      </c>
      <c r="H82" t="inlineStr">
        <is>
          <t>SCA</t>
        </is>
      </c>
      <c r="I82" t="n">
        <v>6.6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69110-2021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44530</v>
      </c>
      <c r="E83" s="1" t="n">
        <v>46316</v>
      </c>
      <c r="F83" t="inlineStr">
        <is>
          <t>NORRBOTTENS LÄN</t>
        </is>
      </c>
      <c r="G83" t="inlineStr">
        <is>
          <t>ÖVERKALIX</t>
        </is>
      </c>
      <c r="I83" t="n">
        <v>1.5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7677-2022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44607</v>
      </c>
      <c r="E84" s="1" t="n">
        <v>46316</v>
      </c>
      <c r="F84" t="inlineStr">
        <is>
          <t>NORRBOTTENS LÄN</t>
        </is>
      </c>
      <c r="G84" t="inlineStr">
        <is>
          <t>ÖVERKALIX</t>
        </is>
      </c>
      <c r="H84" t="inlineStr">
        <is>
          <t>SCA</t>
        </is>
      </c>
      <c r="I84" t="n">
        <v>4.3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52027-2022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44872</v>
      </c>
      <c r="E85" s="1" t="n">
        <v>46316</v>
      </c>
      <c r="F85" t="inlineStr">
        <is>
          <t>NORRBOTTENS LÄN</t>
        </is>
      </c>
      <c r="G85" t="inlineStr">
        <is>
          <t>ÖVERKALIX</t>
        </is>
      </c>
      <c r="H85" t="inlineStr">
        <is>
          <t>SCA</t>
        </is>
      </c>
      <c r="I85" t="n">
        <v>5.9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6916-2022</t>
        </is>
      </c>
      <c r="B86" t="inlineStr">
        <is>
          <t>avverkningsanmälan</t>
        </is>
      </c>
      <c r="C86" t="inlineStr">
        <is>
          <t>Avverkning för att bevara och utveckla /försöksver</t>
        </is>
      </c>
      <c r="D86" s="1" t="n">
        <v>44602</v>
      </c>
      <c r="E86" s="1" t="n">
        <v>46316</v>
      </c>
      <c r="F86" t="inlineStr">
        <is>
          <t>NORRBOTTENS LÄN</t>
        </is>
      </c>
      <c r="G86" t="inlineStr">
        <is>
          <t>ÖVERKALIX</t>
        </is>
      </c>
      <c r="H86" t="inlineStr">
        <is>
          <t>SCA</t>
        </is>
      </c>
      <c r="I86" t="n">
        <v>15.6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20335-2022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44698</v>
      </c>
      <c r="E87" s="1" t="n">
        <v>46316</v>
      </c>
      <c r="F87" t="inlineStr">
        <is>
          <t>NORRBOTTENS LÄN</t>
        </is>
      </c>
      <c r="G87" t="inlineStr">
        <is>
          <t>ÖVERKALIX</t>
        </is>
      </c>
      <c r="I87" t="n">
        <v>6.9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62259-2021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44501</v>
      </c>
      <c r="E88" s="1" t="n">
        <v>46316</v>
      </c>
      <c r="F88" t="inlineStr">
        <is>
          <t>NORRBOTTENS LÄN</t>
        </is>
      </c>
      <c r="G88" t="inlineStr">
        <is>
          <t>ÖVERKALIX</t>
        </is>
      </c>
      <c r="I88" t="n">
        <v>3.7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54025-2023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45231</v>
      </c>
      <c r="E89" s="1" t="n">
        <v>46316</v>
      </c>
      <c r="F89" t="inlineStr">
        <is>
          <t>NORRBOTTENS LÄN</t>
        </is>
      </c>
      <c r="G89" t="inlineStr">
        <is>
          <t>ÖVERKALIX</t>
        </is>
      </c>
      <c r="I89" t="n">
        <v>0.8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44952-2024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45575</v>
      </c>
      <c r="E90" s="1" t="n">
        <v>46316</v>
      </c>
      <c r="F90" t="inlineStr">
        <is>
          <t>NORRBOTTENS LÄN</t>
        </is>
      </c>
      <c r="G90" t="inlineStr">
        <is>
          <t>ÖVERKALIX</t>
        </is>
      </c>
      <c r="H90" t="inlineStr">
        <is>
          <t>SCA</t>
        </is>
      </c>
      <c r="I90" t="n">
        <v>2.9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55853-2024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45622</v>
      </c>
      <c r="E91" s="1" t="n">
        <v>46316</v>
      </c>
      <c r="F91" t="inlineStr">
        <is>
          <t>NORRBOTTENS LÄN</t>
        </is>
      </c>
      <c r="G91" t="inlineStr">
        <is>
          <t>ÖVERKALIX</t>
        </is>
      </c>
      <c r="I91" t="n">
        <v>1.5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7039-2022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44603</v>
      </c>
      <c r="E92" s="1" t="n">
        <v>46316</v>
      </c>
      <c r="F92" t="inlineStr">
        <is>
          <t>NORRBOTTENS LÄN</t>
        </is>
      </c>
      <c r="G92" t="inlineStr">
        <is>
          <t>ÖVERKALIX</t>
        </is>
      </c>
      <c r="H92" t="inlineStr">
        <is>
          <t>Övriga statliga verk och myndigheter</t>
        </is>
      </c>
      <c r="I92" t="n">
        <v>10.3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53732-2022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44880</v>
      </c>
      <c r="E93" s="1" t="n">
        <v>46316</v>
      </c>
      <c r="F93" t="inlineStr">
        <is>
          <t>NORRBOTTENS LÄN</t>
        </is>
      </c>
      <c r="G93" t="inlineStr">
        <is>
          <t>ÖVERKALIX</t>
        </is>
      </c>
      <c r="I93" t="n">
        <v>5.6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6917-2023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44964</v>
      </c>
      <c r="E94" s="1" t="n">
        <v>46316</v>
      </c>
      <c r="F94" t="inlineStr">
        <is>
          <t>NORRBOTTENS LÄN</t>
        </is>
      </c>
      <c r="G94" t="inlineStr">
        <is>
          <t>ÖVERKALIX</t>
        </is>
      </c>
      <c r="I94" t="n">
        <v>9.4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41830-2024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45561</v>
      </c>
      <c r="E95" s="1" t="n">
        <v>46316</v>
      </c>
      <c r="F95" t="inlineStr">
        <is>
          <t>NORRBOTTENS LÄN</t>
        </is>
      </c>
      <c r="G95" t="inlineStr">
        <is>
          <t>ÖVERKALIX</t>
        </is>
      </c>
      <c r="H95" t="inlineStr">
        <is>
          <t>SCA</t>
        </is>
      </c>
      <c r="I95" t="n">
        <v>3.7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56402-2022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44890</v>
      </c>
      <c r="E96" s="1" t="n">
        <v>46316</v>
      </c>
      <c r="F96" t="inlineStr">
        <is>
          <t>NORRBOTTENS LÄN</t>
        </is>
      </c>
      <c r="G96" t="inlineStr">
        <is>
          <t>ÖVERKALIX</t>
        </is>
      </c>
      <c r="H96" t="inlineStr">
        <is>
          <t>SCA</t>
        </is>
      </c>
      <c r="I96" t="n">
        <v>13.8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54026-2023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45231</v>
      </c>
      <c r="E97" s="1" t="n">
        <v>46316</v>
      </c>
      <c r="F97" t="inlineStr">
        <is>
          <t>NORRBOTTENS LÄN</t>
        </is>
      </c>
      <c r="G97" t="inlineStr">
        <is>
          <t>ÖVERKALIX</t>
        </is>
      </c>
      <c r="I97" t="n">
        <v>2.1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60417-2024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45643</v>
      </c>
      <c r="E98" s="1" t="n">
        <v>46316</v>
      </c>
      <c r="F98" t="inlineStr">
        <is>
          <t>NORRBOTTENS LÄN</t>
        </is>
      </c>
      <c r="G98" t="inlineStr">
        <is>
          <t>ÖVERKALIX</t>
        </is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61706-2025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46002</v>
      </c>
      <c r="E99" s="1" t="n">
        <v>46316</v>
      </c>
      <c r="F99" t="inlineStr">
        <is>
          <t>NORRBOTTENS LÄN</t>
        </is>
      </c>
      <c r="G99" t="inlineStr">
        <is>
          <t>ÖVERKALIX</t>
        </is>
      </c>
      <c r="H99" t="inlineStr">
        <is>
          <t>SCA</t>
        </is>
      </c>
      <c r="I99" t="n">
        <v>3.1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23867-2025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45793</v>
      </c>
      <c r="E100" s="1" t="n">
        <v>46316</v>
      </c>
      <c r="F100" t="inlineStr">
        <is>
          <t>NORRBOTTENS LÄN</t>
        </is>
      </c>
      <c r="G100" t="inlineStr">
        <is>
          <t>ÖVERKALIX</t>
        </is>
      </c>
      <c r="H100" t="inlineStr">
        <is>
          <t>Sveaskog</t>
        </is>
      </c>
      <c r="I100" t="n">
        <v>2.4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23873-2025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45793</v>
      </c>
      <c r="E101" s="1" t="n">
        <v>46316</v>
      </c>
      <c r="F101" t="inlineStr">
        <is>
          <t>NORRBOTTENS LÄN</t>
        </is>
      </c>
      <c r="G101" t="inlineStr">
        <is>
          <t>ÖVERKALIX</t>
        </is>
      </c>
      <c r="H101" t="inlineStr">
        <is>
          <t>Sveaskog</t>
        </is>
      </c>
      <c r="I101" t="n">
        <v>0.5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23870-2025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45793</v>
      </c>
      <c r="E102" s="1" t="n">
        <v>46316</v>
      </c>
      <c r="F102" t="inlineStr">
        <is>
          <t>NORRBOTTENS LÄN</t>
        </is>
      </c>
      <c r="G102" t="inlineStr">
        <is>
          <t>ÖVERKALIX</t>
        </is>
      </c>
      <c r="H102" t="inlineStr">
        <is>
          <t>Sveaskog</t>
        </is>
      </c>
      <c r="I102" t="n">
        <v>8.5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24141-2025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45796</v>
      </c>
      <c r="E103" s="1" t="n">
        <v>46316</v>
      </c>
      <c r="F103" t="inlineStr">
        <is>
          <t>NORRBOTTENS LÄN</t>
        </is>
      </c>
      <c r="G103" t="inlineStr">
        <is>
          <t>ÖVERKALIX</t>
        </is>
      </c>
      <c r="H103" t="inlineStr">
        <is>
          <t>Sveaskog</t>
        </is>
      </c>
      <c r="I103" t="n">
        <v>4.7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24144-2025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45796</v>
      </c>
      <c r="E104" s="1" t="n">
        <v>46316</v>
      </c>
      <c r="F104" t="inlineStr">
        <is>
          <t>NORRBOTTENS LÄN</t>
        </is>
      </c>
      <c r="G104" t="inlineStr">
        <is>
          <t>ÖVERKALIX</t>
        </is>
      </c>
      <c r="H104" t="inlineStr">
        <is>
          <t>Sveaskog</t>
        </is>
      </c>
      <c r="I104" t="n">
        <v>0.7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5703-2023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44960</v>
      </c>
      <c r="E105" s="1" t="n">
        <v>46316</v>
      </c>
      <c r="F105" t="inlineStr">
        <is>
          <t>NORRBOTTENS LÄN</t>
        </is>
      </c>
      <c r="G105" t="inlineStr">
        <is>
          <t>ÖVERKALIX</t>
        </is>
      </c>
      <c r="H105" t="inlineStr">
        <is>
          <t>SCA</t>
        </is>
      </c>
      <c r="I105" t="n">
        <v>1.3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4114-2024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45323</v>
      </c>
      <c r="E106" s="1" t="n">
        <v>46316</v>
      </c>
      <c r="F106" t="inlineStr">
        <is>
          <t>NORRBOTTENS LÄN</t>
        </is>
      </c>
      <c r="G106" t="inlineStr">
        <is>
          <t>ÖVERKALIX</t>
        </is>
      </c>
      <c r="I106" t="n">
        <v>2.3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33301-2024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45518</v>
      </c>
      <c r="E107" s="1" t="n">
        <v>46316</v>
      </c>
      <c r="F107" t="inlineStr">
        <is>
          <t>NORRBOTTENS LÄN</t>
        </is>
      </c>
      <c r="G107" t="inlineStr">
        <is>
          <t>ÖVERKALIX</t>
        </is>
      </c>
      <c r="H107" t="inlineStr">
        <is>
          <t>SCA</t>
        </is>
      </c>
      <c r="I107" t="n">
        <v>3.3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2723-2025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45677</v>
      </c>
      <c r="E108" s="1" t="n">
        <v>46316</v>
      </c>
      <c r="F108" t="inlineStr">
        <is>
          <t>NORRBOTTENS LÄN</t>
        </is>
      </c>
      <c r="G108" t="inlineStr">
        <is>
          <t>ÖVERKALIX</t>
        </is>
      </c>
      <c r="I108" t="n">
        <v>2.9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25629-2025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45803</v>
      </c>
      <c r="E109" s="1" t="n">
        <v>46316</v>
      </c>
      <c r="F109" t="inlineStr">
        <is>
          <t>NORRBOTTENS LÄN</t>
        </is>
      </c>
      <c r="G109" t="inlineStr">
        <is>
          <t>ÖVERKALIX</t>
        </is>
      </c>
      <c r="H109" t="inlineStr">
        <is>
          <t>Sveaskog</t>
        </is>
      </c>
      <c r="I109" t="n">
        <v>6.5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26450-2025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45807</v>
      </c>
      <c r="E110" s="1" t="n">
        <v>46316</v>
      </c>
      <c r="F110" t="inlineStr">
        <is>
          <t>NORRBOTTENS LÄN</t>
        </is>
      </c>
      <c r="G110" t="inlineStr">
        <is>
          <t>ÖVERKALIX</t>
        </is>
      </c>
      <c r="H110" t="inlineStr">
        <is>
          <t>Sveaskog</t>
        </is>
      </c>
      <c r="I110" t="n">
        <v>8.300000000000001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63087-2025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46009</v>
      </c>
      <c r="E111" s="1" t="n">
        <v>46316</v>
      </c>
      <c r="F111" t="inlineStr">
        <is>
          <t>NORRBOTTENS LÄN</t>
        </is>
      </c>
      <c r="G111" t="inlineStr">
        <is>
          <t>ÖVERKALIX</t>
        </is>
      </c>
      <c r="H111" t="inlineStr">
        <is>
          <t>SCA</t>
        </is>
      </c>
      <c r="I111" t="n">
        <v>3.7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63023-2025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46009</v>
      </c>
      <c r="E112" s="1" t="n">
        <v>46316</v>
      </c>
      <c r="F112" t="inlineStr">
        <is>
          <t>NORRBOTTENS LÄN</t>
        </is>
      </c>
      <c r="G112" t="inlineStr">
        <is>
          <t>ÖVERKALIX</t>
        </is>
      </c>
      <c r="I112" t="n">
        <v>9.800000000000001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12177-2024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45377</v>
      </c>
      <c r="E113" s="1" t="n">
        <v>46316</v>
      </c>
      <c r="F113" t="inlineStr">
        <is>
          <t>NORRBOTTENS LÄN</t>
        </is>
      </c>
      <c r="G113" t="inlineStr">
        <is>
          <t>ÖVERKALIX</t>
        </is>
      </c>
      <c r="I113" t="n">
        <v>1.9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26449-2025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45807</v>
      </c>
      <c r="E114" s="1" t="n">
        <v>46316</v>
      </c>
      <c r="F114" t="inlineStr">
        <is>
          <t>NORRBOTTENS LÄN</t>
        </is>
      </c>
      <c r="G114" t="inlineStr">
        <is>
          <t>ÖVERKALIX</t>
        </is>
      </c>
      <c r="H114" t="inlineStr">
        <is>
          <t>Sveaskog</t>
        </is>
      </c>
      <c r="I114" t="n">
        <v>10.9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63545-2025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46013</v>
      </c>
      <c r="E115" s="1" t="n">
        <v>46316</v>
      </c>
      <c r="F115" t="inlineStr">
        <is>
          <t>NORRBOTTENS LÄN</t>
        </is>
      </c>
      <c r="G115" t="inlineStr">
        <is>
          <t>ÖVERKALIX</t>
        </is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55838-2024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45622</v>
      </c>
      <c r="E116" s="1" t="n">
        <v>46316</v>
      </c>
      <c r="F116" t="inlineStr">
        <is>
          <t>NORRBOTTENS LÄN</t>
        </is>
      </c>
      <c r="G116" t="inlineStr">
        <is>
          <t>ÖVERKALIX</t>
        </is>
      </c>
      <c r="I116" t="n">
        <v>6.1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63451-2025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46013</v>
      </c>
      <c r="E117" s="1" t="n">
        <v>46316</v>
      </c>
      <c r="F117" t="inlineStr">
        <is>
          <t>NORRBOTTENS LÄN</t>
        </is>
      </c>
      <c r="G117" t="inlineStr">
        <is>
          <t>ÖVERKALIX</t>
        </is>
      </c>
      <c r="I117" t="n">
        <v>1.4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63454-2025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46013</v>
      </c>
      <c r="E118" s="1" t="n">
        <v>46316</v>
      </c>
      <c r="F118" t="inlineStr">
        <is>
          <t>NORRBOTTENS LÄN</t>
        </is>
      </c>
      <c r="G118" t="inlineStr">
        <is>
          <t>ÖVERKALIX</t>
        </is>
      </c>
      <c r="I118" t="n">
        <v>1.5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9458-2025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45715</v>
      </c>
      <c r="E119" s="1" t="n">
        <v>46316</v>
      </c>
      <c r="F119" t="inlineStr">
        <is>
          <t>NORRBOTTENS LÄN</t>
        </is>
      </c>
      <c r="G119" t="inlineStr">
        <is>
          <t>ÖVERKALIX</t>
        </is>
      </c>
      <c r="I119" t="n">
        <v>2.6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25510-2024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45463</v>
      </c>
      <c r="E120" s="1" t="n">
        <v>46316</v>
      </c>
      <c r="F120" t="inlineStr">
        <is>
          <t>NORRBOTTENS LÄN</t>
        </is>
      </c>
      <c r="G120" t="inlineStr">
        <is>
          <t>ÖVERKALIX</t>
        </is>
      </c>
      <c r="H120" t="inlineStr">
        <is>
          <t>Sveaskog</t>
        </is>
      </c>
      <c r="I120" t="n">
        <v>2.1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26944-2025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45811</v>
      </c>
      <c r="E121" s="1" t="n">
        <v>46316</v>
      </c>
      <c r="F121" t="inlineStr">
        <is>
          <t>NORRBOTTENS LÄN</t>
        </is>
      </c>
      <c r="G121" t="inlineStr">
        <is>
          <t>ÖVERKALIX</t>
        </is>
      </c>
      <c r="I121" t="n">
        <v>1.9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26945-2025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45811</v>
      </c>
      <c r="E122" s="1" t="n">
        <v>46316</v>
      </c>
      <c r="F122" t="inlineStr">
        <is>
          <t>NORRBOTTENS LÄN</t>
        </is>
      </c>
      <c r="G122" t="inlineStr">
        <is>
          <t>ÖVERKALIX</t>
        </is>
      </c>
      <c r="I122" t="n">
        <v>4.4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26666-2025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45810</v>
      </c>
      <c r="E123" s="1" t="n">
        <v>46316</v>
      </c>
      <c r="F123" t="inlineStr">
        <is>
          <t>NORRBOTTENS LÄN</t>
        </is>
      </c>
      <c r="G123" t="inlineStr">
        <is>
          <t>ÖVERKALIX</t>
        </is>
      </c>
      <c r="H123" t="inlineStr">
        <is>
          <t>SCA</t>
        </is>
      </c>
      <c r="I123" t="n">
        <v>17.5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27461-2025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45813</v>
      </c>
      <c r="E124" s="1" t="n">
        <v>46316</v>
      </c>
      <c r="F124" t="inlineStr">
        <is>
          <t>NORRBOTTENS LÄN</t>
        </is>
      </c>
      <c r="G124" t="inlineStr">
        <is>
          <t>ÖVERKALIX</t>
        </is>
      </c>
      <c r="H124" t="inlineStr">
        <is>
          <t>SCA</t>
        </is>
      </c>
      <c r="I124" t="n">
        <v>4.8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27451-2025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45813</v>
      </c>
      <c r="E125" s="1" t="n">
        <v>46316</v>
      </c>
      <c r="F125" t="inlineStr">
        <is>
          <t>NORRBOTTENS LÄN</t>
        </is>
      </c>
      <c r="G125" t="inlineStr">
        <is>
          <t>ÖVERKALIX</t>
        </is>
      </c>
      <c r="H125" t="inlineStr">
        <is>
          <t>SCA</t>
        </is>
      </c>
      <c r="I125" t="n">
        <v>2.5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27456-2025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45813</v>
      </c>
      <c r="E126" s="1" t="n">
        <v>46316</v>
      </c>
      <c r="F126" t="inlineStr">
        <is>
          <t>NORRBOTTENS LÄN</t>
        </is>
      </c>
      <c r="G126" t="inlineStr">
        <is>
          <t>ÖVERKALIX</t>
        </is>
      </c>
      <c r="H126" t="inlineStr">
        <is>
          <t>SCA</t>
        </is>
      </c>
      <c r="I126" t="n">
        <v>0.5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27613-2025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45813</v>
      </c>
      <c r="E127" s="1" t="n">
        <v>46316</v>
      </c>
      <c r="F127" t="inlineStr">
        <is>
          <t>NORRBOTTENS LÄN</t>
        </is>
      </c>
      <c r="G127" t="inlineStr">
        <is>
          <t>ÖVERKALIX</t>
        </is>
      </c>
      <c r="I127" t="n">
        <v>11.9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43314-2022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44834</v>
      </c>
      <c r="E128" s="1" t="n">
        <v>46316</v>
      </c>
      <c r="F128" t="inlineStr">
        <is>
          <t>NORRBOTTENS LÄN</t>
        </is>
      </c>
      <c r="G128" t="inlineStr">
        <is>
          <t>ÖVERKALIX</t>
        </is>
      </c>
      <c r="I128" t="n">
        <v>13.1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27458-2025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45813</v>
      </c>
      <c r="E129" s="1" t="n">
        <v>46316</v>
      </c>
      <c r="F129" t="inlineStr">
        <is>
          <t>NORRBOTTENS LÄN</t>
        </is>
      </c>
      <c r="G129" t="inlineStr">
        <is>
          <t>ÖVERKALIX</t>
        </is>
      </c>
      <c r="H129" t="inlineStr">
        <is>
          <t>SCA</t>
        </is>
      </c>
      <c r="I129" t="n">
        <v>3.9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648-2026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46029</v>
      </c>
      <c r="E130" s="1" t="n">
        <v>46316</v>
      </c>
      <c r="F130" t="inlineStr">
        <is>
          <t>NORRBOTTENS LÄN</t>
        </is>
      </c>
      <c r="G130" t="inlineStr">
        <is>
          <t>ÖVERKALIX</t>
        </is>
      </c>
      <c r="I130" t="n">
        <v>10.1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604-2026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46029</v>
      </c>
      <c r="E131" s="1" t="n">
        <v>46316</v>
      </c>
      <c r="F131" t="inlineStr">
        <is>
          <t>NORRBOTTENS LÄN</t>
        </is>
      </c>
      <c r="G131" t="inlineStr">
        <is>
          <t>ÖVERKALIX</t>
        </is>
      </c>
      <c r="I131" t="n">
        <v>6.1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605-2026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46029</v>
      </c>
      <c r="E132" s="1" t="n">
        <v>46316</v>
      </c>
      <c r="F132" t="inlineStr">
        <is>
          <t>NORRBOTTENS LÄN</t>
        </is>
      </c>
      <c r="G132" t="inlineStr">
        <is>
          <t>ÖVERKALIX</t>
        </is>
      </c>
      <c r="I132" t="n">
        <v>2.5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27454-2025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45813</v>
      </c>
      <c r="E133" s="1" t="n">
        <v>46316</v>
      </c>
      <c r="F133" t="inlineStr">
        <is>
          <t>NORRBOTTENS LÄN</t>
        </is>
      </c>
      <c r="G133" t="inlineStr">
        <is>
          <t>ÖVERKALIX</t>
        </is>
      </c>
      <c r="H133" t="inlineStr">
        <is>
          <t>SCA</t>
        </is>
      </c>
      <c r="I133" t="n">
        <v>8.699999999999999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27455-2025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45813</v>
      </c>
      <c r="E134" s="1" t="n">
        <v>46316</v>
      </c>
      <c r="F134" t="inlineStr">
        <is>
          <t>NORRBOTTENS LÄN</t>
        </is>
      </c>
      <c r="G134" t="inlineStr">
        <is>
          <t>ÖVERKALIX</t>
        </is>
      </c>
      <c r="H134" t="inlineStr">
        <is>
          <t>SCA</t>
        </is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26535-2025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45807</v>
      </c>
      <c r="E135" s="1" t="n">
        <v>46316</v>
      </c>
      <c r="F135" t="inlineStr">
        <is>
          <t>NORRBOTTENS LÄN</t>
        </is>
      </c>
      <c r="G135" t="inlineStr">
        <is>
          <t>ÖVERKALIX</t>
        </is>
      </c>
      <c r="H135" t="inlineStr">
        <is>
          <t>Sveaskog</t>
        </is>
      </c>
      <c r="I135" t="n">
        <v>37.4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28400-2025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45819</v>
      </c>
      <c r="E136" s="1" t="n">
        <v>46316</v>
      </c>
      <c r="F136" t="inlineStr">
        <is>
          <t>NORRBOTTENS LÄN</t>
        </is>
      </c>
      <c r="G136" t="inlineStr">
        <is>
          <t>ÖVERKALIX</t>
        </is>
      </c>
      <c r="H136" t="inlineStr">
        <is>
          <t>SCA</t>
        </is>
      </c>
      <c r="I136" t="n">
        <v>4.4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42282-2025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45904</v>
      </c>
      <c r="E137" s="1" t="n">
        <v>46316</v>
      </c>
      <c r="F137" t="inlineStr">
        <is>
          <t>NORRBOTTENS LÄN</t>
        </is>
      </c>
      <c r="G137" t="inlineStr">
        <is>
          <t>ÖVERKALIX</t>
        </is>
      </c>
      <c r="I137" t="n">
        <v>2.1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11329-2024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45371</v>
      </c>
      <c r="E138" s="1" t="n">
        <v>46316</v>
      </c>
      <c r="F138" t="inlineStr">
        <is>
          <t>NORRBOTTENS LÄN</t>
        </is>
      </c>
      <c r="G138" t="inlineStr">
        <is>
          <t>ÖVERKALIX</t>
        </is>
      </c>
      <c r="I138" t="n">
        <v>1.7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29147-2025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45821</v>
      </c>
      <c r="E139" s="1" t="n">
        <v>46316</v>
      </c>
      <c r="F139" t="inlineStr">
        <is>
          <t>NORRBOTTENS LÄN</t>
        </is>
      </c>
      <c r="G139" t="inlineStr">
        <is>
          <t>ÖVERKALIX</t>
        </is>
      </c>
      <c r="I139" t="n">
        <v>1.9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29150-2025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45821</v>
      </c>
      <c r="E140" s="1" t="n">
        <v>46316</v>
      </c>
      <c r="F140" t="inlineStr">
        <is>
          <t>NORRBOTTENS LÄN</t>
        </is>
      </c>
      <c r="G140" t="inlineStr">
        <is>
          <t>ÖVERKALIX</t>
        </is>
      </c>
      <c r="H140" t="inlineStr">
        <is>
          <t>Sveaskog</t>
        </is>
      </c>
      <c r="I140" t="n">
        <v>17.2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28912-2025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45820</v>
      </c>
      <c r="E141" s="1" t="n">
        <v>46316</v>
      </c>
      <c r="F141" t="inlineStr">
        <is>
          <t>NORRBOTTENS LÄN</t>
        </is>
      </c>
      <c r="G141" t="inlineStr">
        <is>
          <t>ÖVERKALIX</t>
        </is>
      </c>
      <c r="H141" t="inlineStr">
        <is>
          <t>Sveaskog</t>
        </is>
      </c>
      <c r="I141" t="n">
        <v>2.8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28917-2025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45820</v>
      </c>
      <c r="E142" s="1" t="n">
        <v>46316</v>
      </c>
      <c r="F142" t="inlineStr">
        <is>
          <t>NORRBOTTENS LÄN</t>
        </is>
      </c>
      <c r="G142" t="inlineStr">
        <is>
          <t>ÖVERKALIX</t>
        </is>
      </c>
      <c r="H142" t="inlineStr">
        <is>
          <t>Sveaskog</t>
        </is>
      </c>
      <c r="I142" t="n">
        <v>6.7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28935-2025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45820</v>
      </c>
      <c r="E143" s="1" t="n">
        <v>46316</v>
      </c>
      <c r="F143" t="inlineStr">
        <is>
          <t>NORRBOTTENS LÄN</t>
        </is>
      </c>
      <c r="G143" t="inlineStr">
        <is>
          <t>ÖVERKALIX</t>
        </is>
      </c>
      <c r="H143" t="inlineStr">
        <is>
          <t>Sveaskog</t>
        </is>
      </c>
      <c r="I143" t="n">
        <v>8.199999999999999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28926-2025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45820</v>
      </c>
      <c r="E144" s="1" t="n">
        <v>46316</v>
      </c>
      <c r="F144" t="inlineStr">
        <is>
          <t>NORRBOTTENS LÄN</t>
        </is>
      </c>
      <c r="G144" t="inlineStr">
        <is>
          <t>ÖVERKALIX</t>
        </is>
      </c>
      <c r="H144" t="inlineStr">
        <is>
          <t>Sveaskog</t>
        </is>
      </c>
      <c r="I144" t="n">
        <v>9.699999999999999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43066-2025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45909</v>
      </c>
      <c r="E145" s="1" t="n">
        <v>46316</v>
      </c>
      <c r="F145" t="inlineStr">
        <is>
          <t>NORRBOTTENS LÄN</t>
        </is>
      </c>
      <c r="G145" t="inlineStr">
        <is>
          <t>ÖVERKALIX</t>
        </is>
      </c>
      <c r="I145" t="n">
        <v>0.4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29532-2025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45825</v>
      </c>
      <c r="E146" s="1" t="n">
        <v>46316</v>
      </c>
      <c r="F146" t="inlineStr">
        <is>
          <t>NORRBOTTENS LÄN</t>
        </is>
      </c>
      <c r="G146" t="inlineStr">
        <is>
          <t>ÖVERKALIX</t>
        </is>
      </c>
      <c r="H146" t="inlineStr">
        <is>
          <t>SCA</t>
        </is>
      </c>
      <c r="I146" t="n">
        <v>1.8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30993-2025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45831</v>
      </c>
      <c r="E147" s="1" t="n">
        <v>46316</v>
      </c>
      <c r="F147" t="inlineStr">
        <is>
          <t>NORRBOTTENS LÄN</t>
        </is>
      </c>
      <c r="G147" t="inlineStr">
        <is>
          <t>ÖVERKALIX</t>
        </is>
      </c>
      <c r="I147" t="n">
        <v>7.2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15491-2025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45747</v>
      </c>
      <c r="E148" s="1" t="n">
        <v>46316</v>
      </c>
      <c r="F148" t="inlineStr">
        <is>
          <t>NORRBOTTENS LÄN</t>
        </is>
      </c>
      <c r="G148" t="inlineStr">
        <is>
          <t>ÖVERKALIX</t>
        </is>
      </c>
      <c r="I148" t="n">
        <v>10.4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28893-2025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45820</v>
      </c>
      <c r="E149" s="1" t="n">
        <v>46316</v>
      </c>
      <c r="F149" t="inlineStr">
        <is>
          <t>NORRBOTTENS LÄN</t>
        </is>
      </c>
      <c r="G149" t="inlineStr">
        <is>
          <t>ÖVERKALIX</t>
        </is>
      </c>
      <c r="H149" t="inlineStr">
        <is>
          <t>Sveaskog</t>
        </is>
      </c>
      <c r="I149" t="n">
        <v>10.4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43626-2025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45911</v>
      </c>
      <c r="E150" s="1" t="n">
        <v>46316</v>
      </c>
      <c r="F150" t="inlineStr">
        <is>
          <t>NORRBOTTENS LÄN</t>
        </is>
      </c>
      <c r="G150" t="inlineStr">
        <is>
          <t>ÖVERKALIX</t>
        </is>
      </c>
      <c r="H150" t="inlineStr">
        <is>
          <t>SCA</t>
        </is>
      </c>
      <c r="I150" t="n">
        <v>5.2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3399-2026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46042</v>
      </c>
      <c r="E151" s="1" t="n">
        <v>46316</v>
      </c>
      <c r="F151" t="inlineStr">
        <is>
          <t>NORRBOTTENS LÄN</t>
        </is>
      </c>
      <c r="G151" t="inlineStr">
        <is>
          <t>ÖVERKALIX</t>
        </is>
      </c>
      <c r="I151" t="n">
        <v>0.9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3524-2026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46042</v>
      </c>
      <c r="E152" s="1" t="n">
        <v>46316</v>
      </c>
      <c r="F152" t="inlineStr">
        <is>
          <t>NORRBOTTENS LÄN</t>
        </is>
      </c>
      <c r="G152" t="inlineStr">
        <is>
          <t>ÖVERKALIX</t>
        </is>
      </c>
      <c r="I152" t="n">
        <v>1.5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29464-2025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45824</v>
      </c>
      <c r="E153" s="1" t="n">
        <v>46316</v>
      </c>
      <c r="F153" t="inlineStr">
        <is>
          <t>NORRBOTTENS LÄN</t>
        </is>
      </c>
      <c r="G153" t="inlineStr">
        <is>
          <t>ÖVERKALIX</t>
        </is>
      </c>
      <c r="H153" t="inlineStr">
        <is>
          <t>SCA</t>
        </is>
      </c>
      <c r="I153" t="n">
        <v>3.5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8672-2025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45712</v>
      </c>
      <c r="E154" s="1" t="n">
        <v>46316</v>
      </c>
      <c r="F154" t="inlineStr">
        <is>
          <t>NORRBOTTENS LÄN</t>
        </is>
      </c>
      <c r="G154" t="inlineStr">
        <is>
          <t>ÖVERKALIX</t>
        </is>
      </c>
      <c r="I154" t="n">
        <v>5.7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57966-2023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45244</v>
      </c>
      <c r="E155" s="1" t="n">
        <v>46316</v>
      </c>
      <c r="F155" t="inlineStr">
        <is>
          <t>NORRBOTTENS LÄN</t>
        </is>
      </c>
      <c r="G155" t="inlineStr">
        <is>
          <t>ÖVERKALIX</t>
        </is>
      </c>
      <c r="I155" t="n">
        <v>21.7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44754-2025</t>
        </is>
      </c>
      <c r="B156" t="inlineStr">
        <is>
          <t>avverkningsanmälan</t>
        </is>
      </c>
      <c r="C156" t="inlineStr">
        <is>
          <t>Avverkning för annat ändamål</t>
        </is>
      </c>
      <c r="D156" s="1" t="n">
        <v>45917</v>
      </c>
      <c r="E156" s="1" t="n">
        <v>46316</v>
      </c>
      <c r="F156" t="inlineStr">
        <is>
          <t>NORRBOTTENS LÄN</t>
        </is>
      </c>
      <c r="G156" t="inlineStr">
        <is>
          <t>ÖVERKALIX</t>
        </is>
      </c>
      <c r="I156" t="n">
        <v>2.3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4678-2026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46048</v>
      </c>
      <c r="E157" s="1" t="n">
        <v>46316</v>
      </c>
      <c r="F157" t="inlineStr">
        <is>
          <t>NORRBOTTENS LÄN</t>
        </is>
      </c>
      <c r="G157" t="inlineStr">
        <is>
          <t>ÖVERKALIX</t>
        </is>
      </c>
      <c r="I157" t="n">
        <v>6.9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29463-2025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45824</v>
      </c>
      <c r="E158" s="1" t="n">
        <v>46316</v>
      </c>
      <c r="F158" t="inlineStr">
        <is>
          <t>NORRBOTTENS LÄN</t>
        </is>
      </c>
      <c r="G158" t="inlineStr">
        <is>
          <t>ÖVERKALIX</t>
        </is>
      </c>
      <c r="H158" t="inlineStr">
        <is>
          <t>SCA</t>
        </is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45535-2025</t>
        </is>
      </c>
      <c r="B159" t="inlineStr">
        <is>
          <t>avverkningsanmälan</t>
        </is>
      </c>
      <c r="C159" t="inlineStr">
        <is>
          <t>Avverkning för annat ändamål</t>
        </is>
      </c>
      <c r="D159" s="1" t="n">
        <v>45922</v>
      </c>
      <c r="E159" s="1" t="n">
        <v>46316</v>
      </c>
      <c r="F159" t="inlineStr">
        <is>
          <t>NORRBOTTENS LÄN</t>
        </is>
      </c>
      <c r="G159" t="inlineStr">
        <is>
          <t>ÖVERKALIX</t>
        </is>
      </c>
      <c r="H159" t="inlineStr">
        <is>
          <t>Sveaskog</t>
        </is>
      </c>
      <c r="I159" t="n">
        <v>0.4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6355-2026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46055</v>
      </c>
      <c r="E160" s="1" t="n">
        <v>46316</v>
      </c>
      <c r="F160" t="inlineStr">
        <is>
          <t>NORRBOTTENS LÄN</t>
        </is>
      </c>
      <c r="G160" t="inlineStr">
        <is>
          <t>ÖVERKALIX</t>
        </is>
      </c>
      <c r="I160" t="n">
        <v>1.6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22071-2024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45443</v>
      </c>
      <c r="E161" s="1" t="n">
        <v>46316</v>
      </c>
      <c r="F161" t="inlineStr">
        <is>
          <t>NORRBOTTENS LÄN</t>
        </is>
      </c>
      <c r="G161" t="inlineStr">
        <is>
          <t>ÖVERKALIX</t>
        </is>
      </c>
      <c r="H161" t="inlineStr">
        <is>
          <t>Sveaskog</t>
        </is>
      </c>
      <c r="I161" t="n">
        <v>3.8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7487-2026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46059</v>
      </c>
      <c r="E162" s="1" t="n">
        <v>46316</v>
      </c>
      <c r="F162" t="inlineStr">
        <is>
          <t>NORRBOTTENS LÄN</t>
        </is>
      </c>
      <c r="G162" t="inlineStr">
        <is>
          <t>ÖVERKALIX</t>
        </is>
      </c>
      <c r="H162" t="inlineStr">
        <is>
          <t>SCA</t>
        </is>
      </c>
      <c r="I162" t="n">
        <v>1.8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24549-2024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45460</v>
      </c>
      <c r="E163" s="1" t="n">
        <v>46316</v>
      </c>
      <c r="F163" t="inlineStr">
        <is>
          <t>NORRBOTTENS LÄN</t>
        </is>
      </c>
      <c r="G163" t="inlineStr">
        <is>
          <t>ÖVERKALIX</t>
        </is>
      </c>
      <c r="I163" t="n">
        <v>1.5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29212-2025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45824</v>
      </c>
      <c r="E164" s="1" t="n">
        <v>46316</v>
      </c>
      <c r="F164" t="inlineStr">
        <is>
          <t>NORRBOTTENS LÄN</t>
        </is>
      </c>
      <c r="G164" t="inlineStr">
        <is>
          <t>ÖVERKALIX</t>
        </is>
      </c>
      <c r="H164" t="inlineStr">
        <is>
          <t>Sveaskog</t>
        </is>
      </c>
      <c r="I164" t="n">
        <v>24.4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29213-2025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45824</v>
      </c>
      <c r="E165" s="1" t="n">
        <v>46316</v>
      </c>
      <c r="F165" t="inlineStr">
        <is>
          <t>NORRBOTTENS LÄN</t>
        </is>
      </c>
      <c r="G165" t="inlineStr">
        <is>
          <t>ÖVERKALIX</t>
        </is>
      </c>
      <c r="H165" t="inlineStr">
        <is>
          <t>Sveaskog</t>
        </is>
      </c>
      <c r="I165" t="n">
        <v>0.7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7231-2025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45702</v>
      </c>
      <c r="E166" s="1" t="n">
        <v>46316</v>
      </c>
      <c r="F166" t="inlineStr">
        <is>
          <t>NORRBOTTENS LÄN</t>
        </is>
      </c>
      <c r="G166" t="inlineStr">
        <is>
          <t>ÖVERKALIX</t>
        </is>
      </c>
      <c r="I166" t="n">
        <v>2.6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30099-2025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45826</v>
      </c>
      <c r="E167" s="1" t="n">
        <v>46316</v>
      </c>
      <c r="F167" t="inlineStr">
        <is>
          <t>NORRBOTTENS LÄN</t>
        </is>
      </c>
      <c r="G167" t="inlineStr">
        <is>
          <t>ÖVERKALIX</t>
        </is>
      </c>
      <c r="H167" t="inlineStr">
        <is>
          <t>SCA</t>
        </is>
      </c>
      <c r="I167" t="n">
        <v>2.4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48667-2025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45936</v>
      </c>
      <c r="E168" s="1" t="n">
        <v>46316</v>
      </c>
      <c r="F168" t="inlineStr">
        <is>
          <t>NORRBOTTENS LÄN</t>
        </is>
      </c>
      <c r="G168" t="inlineStr">
        <is>
          <t>ÖVERKALIX</t>
        </is>
      </c>
      <c r="H168" t="inlineStr">
        <is>
          <t>SCA</t>
        </is>
      </c>
      <c r="I168" t="n">
        <v>5.4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55772-2022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44886</v>
      </c>
      <c r="E169" s="1" t="n">
        <v>46316</v>
      </c>
      <c r="F169" t="inlineStr">
        <is>
          <t>NORRBOTTENS LÄN</t>
        </is>
      </c>
      <c r="G169" t="inlineStr">
        <is>
          <t>ÖVERKALIX</t>
        </is>
      </c>
      <c r="I169" t="n">
        <v>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10293-2026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46076</v>
      </c>
      <c r="E170" s="1" t="n">
        <v>46316</v>
      </c>
      <c r="F170" t="inlineStr">
        <is>
          <t>NORRBOTTENS LÄN</t>
        </is>
      </c>
      <c r="G170" t="inlineStr">
        <is>
          <t>ÖVERKALIX</t>
        </is>
      </c>
      <c r="I170" t="n">
        <v>10.8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26366-2024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45469</v>
      </c>
      <c r="E171" s="1" t="n">
        <v>46316</v>
      </c>
      <c r="F171" t="inlineStr">
        <is>
          <t>NORRBOTTENS LÄN</t>
        </is>
      </c>
      <c r="G171" t="inlineStr">
        <is>
          <t>ÖVERKALIX</t>
        </is>
      </c>
      <c r="I171" t="n">
        <v>2.9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19531-2024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45429</v>
      </c>
      <c r="E172" s="1" t="n">
        <v>46316</v>
      </c>
      <c r="F172" t="inlineStr">
        <is>
          <t>NORRBOTTENS LÄN</t>
        </is>
      </c>
      <c r="G172" t="inlineStr">
        <is>
          <t>ÖVERKALIX</t>
        </is>
      </c>
      <c r="H172" t="inlineStr">
        <is>
          <t>Sveaskog</t>
        </is>
      </c>
      <c r="I172" t="n">
        <v>0.9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11181-2026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46080</v>
      </c>
      <c r="E173" s="1" t="n">
        <v>46316</v>
      </c>
      <c r="F173" t="inlineStr">
        <is>
          <t>NORRBOTTENS LÄN</t>
        </is>
      </c>
      <c r="G173" t="inlineStr">
        <is>
          <t>ÖVERKALIX</t>
        </is>
      </c>
      <c r="I173" t="n">
        <v>0.6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11179-2026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46080</v>
      </c>
      <c r="E174" s="1" t="n">
        <v>46316</v>
      </c>
      <c r="F174" t="inlineStr">
        <is>
          <t>NORRBOTTENS LÄN</t>
        </is>
      </c>
      <c r="G174" t="inlineStr">
        <is>
          <t>ÖVERKALIX</t>
        </is>
      </c>
      <c r="I174" t="n">
        <v>9.800000000000001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28343-2025</t>
        </is>
      </c>
      <c r="B175" t="inlineStr">
        <is>
          <t>avverkningsanmälan</t>
        </is>
      </c>
      <c r="C175" t="inlineStr">
        <is>
          <t>Avverkning för annat ändamål</t>
        </is>
      </c>
      <c r="D175" s="1" t="n">
        <v>45818</v>
      </c>
      <c r="E175" s="1" t="n">
        <v>46316</v>
      </c>
      <c r="F175" t="inlineStr">
        <is>
          <t>NORRBOTTENS LÄN</t>
        </is>
      </c>
      <c r="G175" t="inlineStr">
        <is>
          <t>ÖVERKALIX</t>
        </is>
      </c>
      <c r="I175" t="n">
        <v>2.8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30038-2025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45826</v>
      </c>
      <c r="E176" s="1" t="n">
        <v>46316</v>
      </c>
      <c r="F176" t="inlineStr">
        <is>
          <t>NORRBOTTENS LÄN</t>
        </is>
      </c>
      <c r="G176" t="inlineStr">
        <is>
          <t>ÖVERKALIX</t>
        </is>
      </c>
      <c r="I176" t="n">
        <v>3.3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11685-2026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46084</v>
      </c>
      <c r="E177" s="1" t="n">
        <v>46316</v>
      </c>
      <c r="F177" t="inlineStr">
        <is>
          <t>NORRBOTTENS LÄN</t>
        </is>
      </c>
      <c r="G177" t="inlineStr">
        <is>
          <t>ÖVERKALIX</t>
        </is>
      </c>
      <c r="I177" t="n">
        <v>3.3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49756-2025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45940</v>
      </c>
      <c r="E178" s="1" t="n">
        <v>46316</v>
      </c>
      <c r="F178" t="inlineStr">
        <is>
          <t>NORRBOTTENS LÄN</t>
        </is>
      </c>
      <c r="G178" t="inlineStr">
        <is>
          <t>ÖVERKALIX</t>
        </is>
      </c>
      <c r="H178" t="inlineStr">
        <is>
          <t>SCA</t>
        </is>
      </c>
      <c r="I178" t="n">
        <v>3.2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11770-2026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46084</v>
      </c>
      <c r="E179" s="1" t="n">
        <v>46316</v>
      </c>
      <c r="F179" t="inlineStr">
        <is>
          <t>NORRBOTTENS LÄN</t>
        </is>
      </c>
      <c r="G179" t="inlineStr">
        <is>
          <t>ÖVERKALIX</t>
        </is>
      </c>
      <c r="I179" t="n">
        <v>4.7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11771-2026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46084</v>
      </c>
      <c r="E180" s="1" t="n">
        <v>46316</v>
      </c>
      <c r="F180" t="inlineStr">
        <is>
          <t>NORRBOTTENS LÄN</t>
        </is>
      </c>
      <c r="G180" t="inlineStr">
        <is>
          <t>ÖVERKALIX</t>
        </is>
      </c>
      <c r="I180" t="n">
        <v>1.8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11769-2026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46084</v>
      </c>
      <c r="E181" s="1" t="n">
        <v>46316</v>
      </c>
      <c r="F181" t="inlineStr">
        <is>
          <t>NORRBOTTENS LÄN</t>
        </is>
      </c>
      <c r="G181" t="inlineStr">
        <is>
          <t>ÖVERKALIX</t>
        </is>
      </c>
      <c r="I181" t="n">
        <v>3.1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47735-2024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45588</v>
      </c>
      <c r="E182" s="1" t="n">
        <v>46316</v>
      </c>
      <c r="F182" t="inlineStr">
        <is>
          <t>NORRBOTTENS LÄN</t>
        </is>
      </c>
      <c r="G182" t="inlineStr">
        <is>
          <t>ÖVERKALIX</t>
        </is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11768-2026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46084</v>
      </c>
      <c r="E183" s="1" t="n">
        <v>46316</v>
      </c>
      <c r="F183" t="inlineStr">
        <is>
          <t>NORRBOTTENS LÄN</t>
        </is>
      </c>
      <c r="G183" t="inlineStr">
        <is>
          <t>ÖVERKALIX</t>
        </is>
      </c>
      <c r="I183" t="n">
        <v>4.5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11772-2026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46084</v>
      </c>
      <c r="E184" s="1" t="n">
        <v>46316</v>
      </c>
      <c r="F184" t="inlineStr">
        <is>
          <t>NORRBOTTENS LÄN</t>
        </is>
      </c>
      <c r="G184" t="inlineStr">
        <is>
          <t>ÖVERKALIX</t>
        </is>
      </c>
      <c r="I184" t="n">
        <v>2.2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43173-2023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45180</v>
      </c>
      <c r="E185" s="1" t="n">
        <v>46316</v>
      </c>
      <c r="F185" t="inlineStr">
        <is>
          <t>NORRBOTTENS LÄN</t>
        </is>
      </c>
      <c r="G185" t="inlineStr">
        <is>
          <t>ÖVERKALIX</t>
        </is>
      </c>
      <c r="I185" t="n">
        <v>4.7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9849-2024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45363</v>
      </c>
      <c r="E186" s="1" t="n">
        <v>46316</v>
      </c>
      <c r="F186" t="inlineStr">
        <is>
          <t>NORRBOTTENS LÄN</t>
        </is>
      </c>
      <c r="G186" t="inlineStr">
        <is>
          <t>ÖVERKALIX</t>
        </is>
      </c>
      <c r="I186" t="n">
        <v>0.6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50720-2025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45946</v>
      </c>
      <c r="E187" s="1" t="n">
        <v>46316</v>
      </c>
      <c r="F187" t="inlineStr">
        <is>
          <t>NORRBOTTENS LÄN</t>
        </is>
      </c>
      <c r="G187" t="inlineStr">
        <is>
          <t>ÖVERKALIX</t>
        </is>
      </c>
      <c r="H187" t="inlineStr">
        <is>
          <t>SCA</t>
        </is>
      </c>
      <c r="I187" t="n">
        <v>5.4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12277-2026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46087</v>
      </c>
      <c r="E188" s="1" t="n">
        <v>46316</v>
      </c>
      <c r="F188" t="inlineStr">
        <is>
          <t>NORRBOTTENS LÄN</t>
        </is>
      </c>
      <c r="G188" t="inlineStr">
        <is>
          <t>ÖVERKALIX</t>
        </is>
      </c>
      <c r="H188" t="inlineStr">
        <is>
          <t>SCA</t>
        </is>
      </c>
      <c r="I188" t="n">
        <v>0.4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12278-2026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46087</v>
      </c>
      <c r="E189" s="1" t="n">
        <v>46316</v>
      </c>
      <c r="F189" t="inlineStr">
        <is>
          <t>NORRBOTTENS LÄN</t>
        </is>
      </c>
      <c r="G189" t="inlineStr">
        <is>
          <t>ÖVERKALIX</t>
        </is>
      </c>
      <c r="H189" t="inlineStr">
        <is>
          <t>SCA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50983-2025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45947</v>
      </c>
      <c r="E190" s="1" t="n">
        <v>46316</v>
      </c>
      <c r="F190" t="inlineStr">
        <is>
          <t>NORRBOTTENS LÄN</t>
        </is>
      </c>
      <c r="G190" t="inlineStr">
        <is>
          <t>ÖVERKALIX</t>
        </is>
      </c>
      <c r="H190" t="inlineStr">
        <is>
          <t>SCA</t>
        </is>
      </c>
      <c r="I190" t="n">
        <v>0.9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50992-2025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45947</v>
      </c>
      <c r="E191" s="1" t="n">
        <v>46316</v>
      </c>
      <c r="F191" t="inlineStr">
        <is>
          <t>NORRBOTTENS LÄN</t>
        </is>
      </c>
      <c r="G191" t="inlineStr">
        <is>
          <t>ÖVERKALIX</t>
        </is>
      </c>
      <c r="H191" t="inlineStr">
        <is>
          <t>SCA</t>
        </is>
      </c>
      <c r="I191" t="n">
        <v>1.1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72364-2021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44543</v>
      </c>
      <c r="E192" s="1" t="n">
        <v>46316</v>
      </c>
      <c r="F192" t="inlineStr">
        <is>
          <t>NORRBOTTENS LÄN</t>
        </is>
      </c>
      <c r="G192" t="inlineStr">
        <is>
          <t>ÖVERKALIX</t>
        </is>
      </c>
      <c r="I192" t="n">
        <v>6.1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51656-2025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45951</v>
      </c>
      <c r="E193" s="1" t="n">
        <v>46316</v>
      </c>
      <c r="F193" t="inlineStr">
        <is>
          <t>NORRBOTTENS LÄN</t>
        </is>
      </c>
      <c r="G193" t="inlineStr">
        <is>
          <t>ÖVERKALIX</t>
        </is>
      </c>
      <c r="I193" t="n">
        <v>3.5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51634-2025</t>
        </is>
      </c>
      <c r="B194" t="inlineStr">
        <is>
          <t>avverkningsanmälan</t>
        </is>
      </c>
      <c r="C194" t="inlineStr">
        <is>
          <t>Avverkning för annat ändamål</t>
        </is>
      </c>
      <c r="D194" s="1" t="n">
        <v>45951</v>
      </c>
      <c r="E194" s="1" t="n">
        <v>46316</v>
      </c>
      <c r="F194" t="inlineStr">
        <is>
          <t>NORRBOTTENS LÄN</t>
        </is>
      </c>
      <c r="G194" t="inlineStr">
        <is>
          <t>ÖVERKALIX</t>
        </is>
      </c>
      <c r="H194" t="inlineStr">
        <is>
          <t>Sveaskog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51257-2025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45949</v>
      </c>
      <c r="E195" s="1" t="n">
        <v>46316</v>
      </c>
      <c r="F195" t="inlineStr">
        <is>
          <t>NORRBOTTENS LÄN</t>
        </is>
      </c>
      <c r="G195" t="inlineStr">
        <is>
          <t>ÖVERKALIX</t>
        </is>
      </c>
      <c r="H195" t="inlineStr">
        <is>
          <t>SCA</t>
        </is>
      </c>
      <c r="I195" t="n">
        <v>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27681-2023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45097</v>
      </c>
      <c r="E196" s="1" t="n">
        <v>46316</v>
      </c>
      <c r="F196" t="inlineStr">
        <is>
          <t>NORRBOTTENS LÄN</t>
        </is>
      </c>
      <c r="G196" t="inlineStr">
        <is>
          <t>ÖVERKALIX</t>
        </is>
      </c>
      <c r="H196" t="inlineStr">
        <is>
          <t>SCA</t>
        </is>
      </c>
      <c r="I196" t="n">
        <v>1.6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52973-2025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45957</v>
      </c>
      <c r="E197" s="1" t="n">
        <v>46316</v>
      </c>
      <c r="F197" t="inlineStr">
        <is>
          <t>NORRBOTTENS LÄN</t>
        </is>
      </c>
      <c r="G197" t="inlineStr">
        <is>
          <t>ÖVERKALIX</t>
        </is>
      </c>
      <c r="H197" t="inlineStr">
        <is>
          <t>SCA</t>
        </is>
      </c>
      <c r="I197" t="n">
        <v>9.9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52591-2025</t>
        </is>
      </c>
      <c r="B198" t="inlineStr">
        <is>
          <t>avverkningsanmälan</t>
        </is>
      </c>
      <c r="C198" t="inlineStr">
        <is>
          <t>Avverkning för annat ändamål</t>
        </is>
      </c>
      <c r="D198" s="1" t="n">
        <v>45954</v>
      </c>
      <c r="E198" s="1" t="n">
        <v>46316</v>
      </c>
      <c r="F198" t="inlineStr">
        <is>
          <t>NORRBOTTENS LÄN</t>
        </is>
      </c>
      <c r="G198" t="inlineStr">
        <is>
          <t>ÖVERKALIX</t>
        </is>
      </c>
      <c r="H198" t="inlineStr">
        <is>
          <t>SCA</t>
        </is>
      </c>
      <c r="I198" t="n">
        <v>7.2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13372-2023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45005</v>
      </c>
      <c r="E199" s="1" t="n">
        <v>46316</v>
      </c>
      <c r="F199" t="inlineStr">
        <is>
          <t>NORRBOTTENS LÄN</t>
        </is>
      </c>
      <c r="G199" t="inlineStr">
        <is>
          <t>ÖVERKALIX</t>
        </is>
      </c>
      <c r="I199" t="n">
        <v>3.4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53091-2025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45958</v>
      </c>
      <c r="E200" s="1" t="n">
        <v>46316</v>
      </c>
      <c r="F200" t="inlineStr">
        <is>
          <t>NORRBOTTENS LÄN</t>
        </is>
      </c>
      <c r="G200" t="inlineStr">
        <is>
          <t>ÖVERKALIX</t>
        </is>
      </c>
      <c r="H200" t="inlineStr">
        <is>
          <t>Sveaskog</t>
        </is>
      </c>
      <c r="I200" t="n">
        <v>0.5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11535-2024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45372</v>
      </c>
      <c r="E201" s="1" t="n">
        <v>46316</v>
      </c>
      <c r="F201" t="inlineStr">
        <is>
          <t>NORRBOTTENS LÄN</t>
        </is>
      </c>
      <c r="G201" t="inlineStr">
        <is>
          <t>ÖVERKALIX</t>
        </is>
      </c>
      <c r="I201" t="n">
        <v>1.1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15011-2026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46104</v>
      </c>
      <c r="E202" s="1" t="n">
        <v>46316</v>
      </c>
      <c r="F202" t="inlineStr">
        <is>
          <t>NORRBOTTENS LÄN</t>
        </is>
      </c>
      <c r="G202" t="inlineStr">
        <is>
          <t>ÖVERKALIX</t>
        </is>
      </c>
      <c r="I202" t="n">
        <v>9.4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30776-2025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45831</v>
      </c>
      <c r="E203" s="1" t="n">
        <v>46316</v>
      </c>
      <c r="F203" t="inlineStr">
        <is>
          <t>NORRBOTTENS LÄN</t>
        </is>
      </c>
      <c r="G203" t="inlineStr">
        <is>
          <t>ÖVERKALIX</t>
        </is>
      </c>
      <c r="I203" t="n">
        <v>3.6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19984-2025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45771</v>
      </c>
      <c r="E204" s="1" t="n">
        <v>46316</v>
      </c>
      <c r="F204" t="inlineStr">
        <is>
          <t>NORRBOTTENS LÄN</t>
        </is>
      </c>
      <c r="G204" t="inlineStr">
        <is>
          <t>ÖVERKALIX</t>
        </is>
      </c>
      <c r="H204" t="inlineStr">
        <is>
          <t>SCA</t>
        </is>
      </c>
      <c r="I204" t="n">
        <v>10.5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15358-2026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46105</v>
      </c>
      <c r="E205" s="1" t="n">
        <v>46316</v>
      </c>
      <c r="F205" t="inlineStr">
        <is>
          <t>NORRBOTTENS LÄN</t>
        </is>
      </c>
      <c r="G205" t="inlineStr">
        <is>
          <t>ÖVERKALIX</t>
        </is>
      </c>
      <c r="H205" t="inlineStr">
        <is>
          <t>SCA</t>
        </is>
      </c>
      <c r="I205" t="n">
        <v>22.8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54118-2025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45964</v>
      </c>
      <c r="E206" s="1" t="n">
        <v>46316</v>
      </c>
      <c r="F206" t="inlineStr">
        <is>
          <t>NORRBOTTENS LÄN</t>
        </is>
      </c>
      <c r="G206" t="inlineStr">
        <is>
          <t>ÖVERKALIX</t>
        </is>
      </c>
      <c r="H206" t="inlineStr">
        <is>
          <t>Sveaskog</t>
        </is>
      </c>
      <c r="I206" t="n">
        <v>5.6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23302-2023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45075</v>
      </c>
      <c r="E207" s="1" t="n">
        <v>46316</v>
      </c>
      <c r="F207" t="inlineStr">
        <is>
          <t>NORRBOTTENS LÄN</t>
        </is>
      </c>
      <c r="G207" t="inlineStr">
        <is>
          <t>ÖVERKALIX</t>
        </is>
      </c>
      <c r="H207" t="inlineStr">
        <is>
          <t>SCA</t>
        </is>
      </c>
      <c r="I207" t="n">
        <v>4.4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16487-2026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46112</v>
      </c>
      <c r="E208" s="1" t="n">
        <v>46316</v>
      </c>
      <c r="F208" t="inlineStr">
        <is>
          <t>NORRBOTTENS LÄN</t>
        </is>
      </c>
      <c r="G208" t="inlineStr">
        <is>
          <t>ÖVERKALIX</t>
        </is>
      </c>
      <c r="I208" t="n">
        <v>0.8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31961-2025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45835</v>
      </c>
      <c r="E209" s="1" t="n">
        <v>46316</v>
      </c>
      <c r="F209" t="inlineStr">
        <is>
          <t>NORRBOTTENS LÄN</t>
        </is>
      </c>
      <c r="G209" t="inlineStr">
        <is>
          <t>ÖVERKALIX</t>
        </is>
      </c>
      <c r="H209" t="inlineStr">
        <is>
          <t>SCA</t>
        </is>
      </c>
      <c r="I209" t="n">
        <v>0.9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54899-2025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45967</v>
      </c>
      <c r="E210" s="1" t="n">
        <v>46316</v>
      </c>
      <c r="F210" t="inlineStr">
        <is>
          <t>NORRBOTTENS LÄN</t>
        </is>
      </c>
      <c r="G210" t="inlineStr">
        <is>
          <t>ÖVERKALIX</t>
        </is>
      </c>
      <c r="H210" t="inlineStr">
        <is>
          <t>SCA</t>
        </is>
      </c>
      <c r="I210" t="n">
        <v>2.4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25506-2024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45463</v>
      </c>
      <c r="E211" s="1" t="n">
        <v>46316</v>
      </c>
      <c r="F211" t="inlineStr">
        <is>
          <t>NORRBOTTENS LÄN</t>
        </is>
      </c>
      <c r="G211" t="inlineStr">
        <is>
          <t>ÖVERKALIX</t>
        </is>
      </c>
      <c r="H211" t="inlineStr">
        <is>
          <t>Sveaskog</t>
        </is>
      </c>
      <c r="I211" t="n">
        <v>1.7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16794-2026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46113</v>
      </c>
      <c r="E212" s="1" t="n">
        <v>46316</v>
      </c>
      <c r="F212" t="inlineStr">
        <is>
          <t>NORRBOTTENS LÄN</t>
        </is>
      </c>
      <c r="G212" t="inlineStr">
        <is>
          <t>ÖVERKALIX</t>
        </is>
      </c>
      <c r="H212" t="inlineStr">
        <is>
          <t>SCA</t>
        </is>
      </c>
      <c r="I212" t="n">
        <v>2.6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550-2023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44930</v>
      </c>
      <c r="E213" s="1" t="n">
        <v>46316</v>
      </c>
      <c r="F213" t="inlineStr">
        <is>
          <t>NORRBOTTENS LÄN</t>
        </is>
      </c>
      <c r="G213" t="inlineStr">
        <is>
          <t>ÖVERKALIX</t>
        </is>
      </c>
      <c r="I213" t="n">
        <v>0.6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31640-2025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45834</v>
      </c>
      <c r="E214" s="1" t="n">
        <v>46316</v>
      </c>
      <c r="F214" t="inlineStr">
        <is>
          <t>NORRBOTTENS LÄN</t>
        </is>
      </c>
      <c r="G214" t="inlineStr">
        <is>
          <t>ÖVERKALIX</t>
        </is>
      </c>
      <c r="H214" t="inlineStr">
        <is>
          <t>SCA</t>
        </is>
      </c>
      <c r="I214" t="n">
        <v>3.1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17516-2026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46120</v>
      </c>
      <c r="E215" s="1" t="n">
        <v>46316</v>
      </c>
      <c r="F215" t="inlineStr">
        <is>
          <t>NORRBOTTENS LÄN</t>
        </is>
      </c>
      <c r="G215" t="inlineStr">
        <is>
          <t>ÖVERKALIX</t>
        </is>
      </c>
      <c r="H215" t="inlineStr">
        <is>
          <t>SCA</t>
        </is>
      </c>
      <c r="I215" t="n">
        <v>3.3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17469-2026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46120</v>
      </c>
      <c r="E216" s="1" t="n">
        <v>46316</v>
      </c>
      <c r="F216" t="inlineStr">
        <is>
          <t>NORRBOTTENS LÄN</t>
        </is>
      </c>
      <c r="G216" t="inlineStr">
        <is>
          <t>ÖVERKALIX</t>
        </is>
      </c>
      <c r="H216" t="inlineStr">
        <is>
          <t>SCA</t>
        </is>
      </c>
      <c r="I216" t="n">
        <v>1.9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31744-2025</t>
        </is>
      </c>
      <c r="B217" t="inlineStr">
        <is>
          <t>avverkningsanmälan</t>
        </is>
      </c>
      <c r="C217" t="inlineStr">
        <is>
          <t>Avverkning för annat ändamål</t>
        </is>
      </c>
      <c r="D217" s="1" t="n">
        <v>45834</v>
      </c>
      <c r="E217" s="1" t="n">
        <v>46316</v>
      </c>
      <c r="F217" t="inlineStr">
        <is>
          <t>NORRBOTTENS LÄN</t>
        </is>
      </c>
      <c r="G217" t="inlineStr">
        <is>
          <t>ÖVERKALIX</t>
        </is>
      </c>
      <c r="I217" t="n">
        <v>1.8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34911-2023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45141</v>
      </c>
      <c r="E218" s="1" t="n">
        <v>46316</v>
      </c>
      <c r="F218" t="inlineStr">
        <is>
          <t>NORRBOTTENS LÄN</t>
        </is>
      </c>
      <c r="G218" t="inlineStr">
        <is>
          <t>ÖVERKALIX</t>
        </is>
      </c>
      <c r="I218" t="n">
        <v>8.6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17690-2026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46121</v>
      </c>
      <c r="E219" s="1" t="n">
        <v>46316</v>
      </c>
      <c r="F219" t="inlineStr">
        <is>
          <t>NORRBOTTENS LÄN</t>
        </is>
      </c>
      <c r="G219" t="inlineStr">
        <is>
          <t>ÖVERKALIX</t>
        </is>
      </c>
      <c r="H219" t="inlineStr">
        <is>
          <t>SCA</t>
        </is>
      </c>
      <c r="I219" t="n">
        <v>4.4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32067-2025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45835</v>
      </c>
      <c r="E220" s="1" t="n">
        <v>46316</v>
      </c>
      <c r="F220" t="inlineStr">
        <is>
          <t>NORRBOTTENS LÄN</t>
        </is>
      </c>
      <c r="G220" t="inlineStr">
        <is>
          <t>ÖVERKALIX</t>
        </is>
      </c>
      <c r="H220" t="inlineStr">
        <is>
          <t>SCA</t>
        </is>
      </c>
      <c r="I220" t="n">
        <v>1.1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32636-2025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45838</v>
      </c>
      <c r="E221" s="1" t="n">
        <v>46316</v>
      </c>
      <c r="F221" t="inlineStr">
        <is>
          <t>NORRBOTTENS LÄN</t>
        </is>
      </c>
      <c r="G221" t="inlineStr">
        <is>
          <t>ÖVERKALIX</t>
        </is>
      </c>
      <c r="H221" t="inlineStr">
        <is>
          <t>SCA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32371-2025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45837</v>
      </c>
      <c r="E222" s="1" t="n">
        <v>46316</v>
      </c>
      <c r="F222" t="inlineStr">
        <is>
          <t>NORRBOTTENS LÄN</t>
        </is>
      </c>
      <c r="G222" t="inlineStr">
        <is>
          <t>ÖVERKALIX</t>
        </is>
      </c>
      <c r="I222" t="n">
        <v>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32708-2025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45839</v>
      </c>
      <c r="E223" s="1" t="n">
        <v>46316</v>
      </c>
      <c r="F223" t="inlineStr">
        <is>
          <t>NORRBOTTENS LÄN</t>
        </is>
      </c>
      <c r="G223" t="inlineStr">
        <is>
          <t>ÖVERKALIX</t>
        </is>
      </c>
      <c r="H223" t="inlineStr">
        <is>
          <t>Sveaskog</t>
        </is>
      </c>
      <c r="I223" t="n">
        <v>9.199999999999999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32535-2025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45838</v>
      </c>
      <c r="E224" s="1" t="n">
        <v>46316</v>
      </c>
      <c r="F224" t="inlineStr">
        <is>
          <t>NORRBOTTENS LÄN</t>
        </is>
      </c>
      <c r="G224" t="inlineStr">
        <is>
          <t>ÖVERKALIX</t>
        </is>
      </c>
      <c r="I224" t="n">
        <v>1.7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32370-2025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45837</v>
      </c>
      <c r="E225" s="1" t="n">
        <v>46316</v>
      </c>
      <c r="F225" t="inlineStr">
        <is>
          <t>NORRBOTTENS LÄN</t>
        </is>
      </c>
      <c r="G225" t="inlineStr">
        <is>
          <t>ÖVERKALIX</t>
        </is>
      </c>
      <c r="I225" t="n">
        <v>9.800000000000001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32377-2025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45837</v>
      </c>
      <c r="E226" s="1" t="n">
        <v>46316</v>
      </c>
      <c r="F226" t="inlineStr">
        <is>
          <t>NORRBOTTENS LÄN</t>
        </is>
      </c>
      <c r="G226" t="inlineStr">
        <is>
          <t>ÖVERKALIX</t>
        </is>
      </c>
      <c r="I226" t="n">
        <v>8.5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18522-2026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46127</v>
      </c>
      <c r="E227" s="1" t="n">
        <v>46316</v>
      </c>
      <c r="F227" t="inlineStr">
        <is>
          <t>NORRBOTTENS LÄN</t>
        </is>
      </c>
      <c r="G227" t="inlineStr">
        <is>
          <t>ÖVERKALIX</t>
        </is>
      </c>
      <c r="H227" t="inlineStr">
        <is>
          <t>SCA</t>
        </is>
      </c>
      <c r="I227" t="n">
        <v>1.4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18523-2026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46127</v>
      </c>
      <c r="E228" s="1" t="n">
        <v>46316</v>
      </c>
      <c r="F228" t="inlineStr">
        <is>
          <t>NORRBOTTENS LÄN</t>
        </is>
      </c>
      <c r="G228" t="inlineStr">
        <is>
          <t>ÖVERKALIX</t>
        </is>
      </c>
      <c r="H228" t="inlineStr">
        <is>
          <t>SCA</t>
        </is>
      </c>
      <c r="I228" t="n">
        <v>0.6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19375-2026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46133</v>
      </c>
      <c r="E229" s="1" t="n">
        <v>46316</v>
      </c>
      <c r="F229" t="inlineStr">
        <is>
          <t>NORRBOTTENS LÄN</t>
        </is>
      </c>
      <c r="G229" t="inlineStr">
        <is>
          <t>ÖVERKALIX</t>
        </is>
      </c>
      <c r="I229" t="n">
        <v>2.1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19107-2026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46132</v>
      </c>
      <c r="E230" s="1" t="n">
        <v>46316</v>
      </c>
      <c r="F230" t="inlineStr">
        <is>
          <t>NORRBOTTENS LÄN</t>
        </is>
      </c>
      <c r="G230" t="inlineStr">
        <is>
          <t>ÖVERKALIX</t>
        </is>
      </c>
      <c r="H230" t="inlineStr">
        <is>
          <t>SCA</t>
        </is>
      </c>
      <c r="I230" t="n">
        <v>3.4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57744-2025</t>
        </is>
      </c>
      <c r="B231" t="inlineStr">
        <is>
          <t>avverkningsanmälan</t>
        </is>
      </c>
      <c r="C231" t="inlineStr">
        <is>
          <t>Avverkning för annat ändamål</t>
        </is>
      </c>
      <c r="D231" s="1" t="n">
        <v>45981</v>
      </c>
      <c r="E231" s="1" t="n">
        <v>46316</v>
      </c>
      <c r="F231" t="inlineStr">
        <is>
          <t>NORRBOTTENS LÄN</t>
        </is>
      </c>
      <c r="G231" t="inlineStr">
        <is>
          <t>ÖVERKALIX</t>
        </is>
      </c>
      <c r="H231" t="inlineStr">
        <is>
          <t>SCA</t>
        </is>
      </c>
      <c r="I231" t="n">
        <v>0.7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19410-2026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46133</v>
      </c>
      <c r="E232" s="1" t="n">
        <v>46316</v>
      </c>
      <c r="F232" t="inlineStr">
        <is>
          <t>NORRBOTTENS LÄN</t>
        </is>
      </c>
      <c r="G232" t="inlineStr">
        <is>
          <t>ÖVERKALIX</t>
        </is>
      </c>
      <c r="H232" t="inlineStr">
        <is>
          <t>SCA</t>
        </is>
      </c>
      <c r="I232" t="n">
        <v>1.9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33266-2025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45840</v>
      </c>
      <c r="E233" s="1" t="n">
        <v>46316</v>
      </c>
      <c r="F233" t="inlineStr">
        <is>
          <t>NORRBOTTENS LÄN</t>
        </is>
      </c>
      <c r="G233" t="inlineStr">
        <is>
          <t>ÖVERKALIX</t>
        </is>
      </c>
      <c r="H233" t="inlineStr">
        <is>
          <t>SCA</t>
        </is>
      </c>
      <c r="I233" t="n">
        <v>0.6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33224-2025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45840</v>
      </c>
      <c r="E234" s="1" t="n">
        <v>46316</v>
      </c>
      <c r="F234" t="inlineStr">
        <is>
          <t>NORRBOTTENS LÄN</t>
        </is>
      </c>
      <c r="G234" t="inlineStr">
        <is>
          <t>ÖVERKALIX</t>
        </is>
      </c>
      <c r="H234" t="inlineStr">
        <is>
          <t>SCA</t>
        </is>
      </c>
      <c r="I234" t="n">
        <v>5.3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19616-2026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46134</v>
      </c>
      <c r="E235" s="1" t="n">
        <v>46316</v>
      </c>
      <c r="F235" t="inlineStr">
        <is>
          <t>NORRBOTTENS LÄN</t>
        </is>
      </c>
      <c r="G235" t="inlineStr">
        <is>
          <t>ÖVERKALIX</t>
        </is>
      </c>
      <c r="H235" t="inlineStr">
        <is>
          <t>SCA</t>
        </is>
      </c>
      <c r="I235" t="n">
        <v>4.5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58641-2025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45986</v>
      </c>
      <c r="E236" s="1" t="n">
        <v>46316</v>
      </c>
      <c r="F236" t="inlineStr">
        <is>
          <t>NORRBOTTENS LÄN</t>
        </is>
      </c>
      <c r="G236" t="inlineStr">
        <is>
          <t>ÖVERKALIX</t>
        </is>
      </c>
      <c r="I236" t="n">
        <v>0.6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58646-2025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45986</v>
      </c>
      <c r="E237" s="1" t="n">
        <v>46316</v>
      </c>
      <c r="F237" t="inlineStr">
        <is>
          <t>NORRBOTTENS LÄN</t>
        </is>
      </c>
      <c r="G237" t="inlineStr">
        <is>
          <t>ÖVERKALIX</t>
        </is>
      </c>
      <c r="I237" t="n">
        <v>16.1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58644-2025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45986</v>
      </c>
      <c r="E238" s="1" t="n">
        <v>46316</v>
      </c>
      <c r="F238" t="inlineStr">
        <is>
          <t>NORRBOTTENS LÄN</t>
        </is>
      </c>
      <c r="G238" t="inlineStr">
        <is>
          <t>ÖVERKALIX</t>
        </is>
      </c>
      <c r="I238" t="n">
        <v>1.3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15301-2022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44659</v>
      </c>
      <c r="E239" s="1" t="n">
        <v>46316</v>
      </c>
      <c r="F239" t="inlineStr">
        <is>
          <t>NORRBOTTENS LÄN</t>
        </is>
      </c>
      <c r="G239" t="inlineStr">
        <is>
          <t>ÖVERKALIX</t>
        </is>
      </c>
      <c r="I239" t="n">
        <v>2.3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34128-2025</t>
        </is>
      </c>
      <c r="B240" t="inlineStr">
        <is>
          <t>avverkningsanmälan</t>
        </is>
      </c>
      <c r="C240" t="inlineStr">
        <is>
          <t>Avverkning för annat ändamål</t>
        </is>
      </c>
      <c r="D240" s="1" t="n">
        <v>45845</v>
      </c>
      <c r="E240" s="1" t="n">
        <v>46316</v>
      </c>
      <c r="F240" t="inlineStr">
        <is>
          <t>NORRBOTTENS LÄN</t>
        </is>
      </c>
      <c r="G240" t="inlineStr">
        <is>
          <t>ÖVERKALIX</t>
        </is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19259-2024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45428</v>
      </c>
      <c r="E241" s="1" t="n">
        <v>46316</v>
      </c>
      <c r="F241" t="inlineStr">
        <is>
          <t>NORRBOTTENS LÄN</t>
        </is>
      </c>
      <c r="G241" t="inlineStr">
        <is>
          <t>ÖVERKALIX</t>
        </is>
      </c>
      <c r="H241" t="inlineStr">
        <is>
          <t>Sveaskog</t>
        </is>
      </c>
      <c r="I241" t="n">
        <v>5.7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40619-2022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44823</v>
      </c>
      <c r="E242" s="1" t="n">
        <v>46316</v>
      </c>
      <c r="F242" t="inlineStr">
        <is>
          <t>NORRBOTTENS LÄN</t>
        </is>
      </c>
      <c r="G242" t="inlineStr">
        <is>
          <t>ÖVERKALIX</t>
        </is>
      </c>
      <c r="H242" t="inlineStr">
        <is>
          <t>SCA</t>
        </is>
      </c>
      <c r="I242" t="n">
        <v>8.300000000000001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40281-2022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44820</v>
      </c>
      <c r="E243" s="1" t="n">
        <v>46316</v>
      </c>
      <c r="F243" t="inlineStr">
        <is>
          <t>NORRBOTTENS LÄN</t>
        </is>
      </c>
      <c r="G243" t="inlineStr">
        <is>
          <t>ÖVERKALIX</t>
        </is>
      </c>
      <c r="H243" t="inlineStr">
        <is>
          <t>SCA</t>
        </is>
      </c>
      <c r="I243" t="n">
        <v>1.8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59202-2025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45988</v>
      </c>
      <c r="E244" s="1" t="n">
        <v>46316</v>
      </c>
      <c r="F244" t="inlineStr">
        <is>
          <t>NORRBOTTENS LÄN</t>
        </is>
      </c>
      <c r="G244" t="inlineStr">
        <is>
          <t>ÖVERKALIX</t>
        </is>
      </c>
      <c r="I244" t="n">
        <v>1.4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59829-2025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45992</v>
      </c>
      <c r="E245" s="1" t="n">
        <v>46316</v>
      </c>
      <c r="F245" t="inlineStr">
        <is>
          <t>NORRBOTTENS LÄN</t>
        </is>
      </c>
      <c r="G245" t="inlineStr">
        <is>
          <t>ÖVERKALIX</t>
        </is>
      </c>
      <c r="H245" t="inlineStr">
        <is>
          <t>SCA</t>
        </is>
      </c>
      <c r="I245" t="n">
        <v>13.3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55642-2023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45238</v>
      </c>
      <c r="E246" s="1" t="n">
        <v>46316</v>
      </c>
      <c r="F246" t="inlineStr">
        <is>
          <t>NORRBOTTENS LÄN</t>
        </is>
      </c>
      <c r="G246" t="inlineStr">
        <is>
          <t>ÖVERKALIX</t>
        </is>
      </c>
      <c r="I246" t="n">
        <v>4.4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59897-2025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45993</v>
      </c>
      <c r="E247" s="1" t="n">
        <v>46316</v>
      </c>
      <c r="F247" t="inlineStr">
        <is>
          <t>NORRBOTTENS LÄN</t>
        </is>
      </c>
      <c r="G247" t="inlineStr">
        <is>
          <t>ÖVERKALIX</t>
        </is>
      </c>
      <c r="H247" t="inlineStr">
        <is>
          <t>SCA</t>
        </is>
      </c>
      <c r="I247" t="n">
        <v>3.9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38088-2023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45160</v>
      </c>
      <c r="E248" s="1" t="n">
        <v>46316</v>
      </c>
      <c r="F248" t="inlineStr">
        <is>
          <t>NORRBOTTENS LÄN</t>
        </is>
      </c>
      <c r="G248" t="inlineStr">
        <is>
          <t>ÖVERKALIX</t>
        </is>
      </c>
      <c r="H248" t="inlineStr">
        <is>
          <t>SCA</t>
        </is>
      </c>
      <c r="I248" t="n">
        <v>1.8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60215-2025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45994</v>
      </c>
      <c r="E249" s="1" t="n">
        <v>46316</v>
      </c>
      <c r="F249" t="inlineStr">
        <is>
          <t>NORRBOTTENS LÄN</t>
        </is>
      </c>
      <c r="G249" t="inlineStr">
        <is>
          <t>ÖVERKALIX</t>
        </is>
      </c>
      <c r="I249" t="n">
        <v>9.5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60621-2025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45996</v>
      </c>
      <c r="E250" s="1" t="n">
        <v>46316</v>
      </c>
      <c r="F250" t="inlineStr">
        <is>
          <t>NORRBOTTENS LÄN</t>
        </is>
      </c>
      <c r="G250" t="inlineStr">
        <is>
          <t>ÖVERKALIX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60834-2025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45999</v>
      </c>
      <c r="E251" s="1" t="n">
        <v>46316</v>
      </c>
      <c r="F251" t="inlineStr">
        <is>
          <t>NORRBOTTENS LÄN</t>
        </is>
      </c>
      <c r="G251" t="inlineStr">
        <is>
          <t>ÖVERKALIX</t>
        </is>
      </c>
      <c r="I251" t="n">
        <v>7.8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60890-2025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45999</v>
      </c>
      <c r="E252" s="1" t="n">
        <v>46316</v>
      </c>
      <c r="F252" t="inlineStr">
        <is>
          <t>NORRBOTTENS LÄN</t>
        </is>
      </c>
      <c r="G252" t="inlineStr">
        <is>
          <t>ÖVERKALIX</t>
        </is>
      </c>
      <c r="I252" t="n">
        <v>1.5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60809-2025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45999</v>
      </c>
      <c r="E253" s="1" t="n">
        <v>46316</v>
      </c>
      <c r="F253" t="inlineStr">
        <is>
          <t>NORRBOTTENS LÄN</t>
        </is>
      </c>
      <c r="G253" t="inlineStr">
        <is>
          <t>ÖVERKALIX</t>
        </is>
      </c>
      <c r="I253" t="n">
        <v>0.6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6122-2023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44964</v>
      </c>
      <c r="E254" s="1" t="n">
        <v>46316</v>
      </c>
      <c r="F254" t="inlineStr">
        <is>
          <t>NORRBOTTENS LÄN</t>
        </is>
      </c>
      <c r="G254" t="inlineStr">
        <is>
          <t>ÖVERKALIX</t>
        </is>
      </c>
      <c r="I254" t="n">
        <v>1.3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58764-2023</t>
        </is>
      </c>
      <c r="B255" t="inlineStr">
        <is>
          <t>avverkningsanmälan</t>
        </is>
      </c>
      <c r="C255" t="inlineStr">
        <is>
          <t>Avverkning för annat ändamål</t>
        </is>
      </c>
      <c r="D255" s="1" t="n">
        <v>45251</v>
      </c>
      <c r="E255" s="1" t="n">
        <v>46316</v>
      </c>
      <c r="F255" t="inlineStr">
        <is>
          <t>NORRBOTTENS LÄN</t>
        </is>
      </c>
      <c r="G255" t="inlineStr">
        <is>
          <t>ÖVERKALIX</t>
        </is>
      </c>
      <c r="H255" t="inlineStr">
        <is>
          <t>SCA</t>
        </is>
      </c>
      <c r="I255" t="n">
        <v>1.4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60909-2025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45999</v>
      </c>
      <c r="E256" s="1" t="n">
        <v>46316</v>
      </c>
      <c r="F256" t="inlineStr">
        <is>
          <t>NORRBOTTENS LÄN</t>
        </is>
      </c>
      <c r="G256" t="inlineStr">
        <is>
          <t>ÖVERKALIX</t>
        </is>
      </c>
      <c r="I256" t="n">
        <v>7.5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60815-2025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45999</v>
      </c>
      <c r="E257" s="1" t="n">
        <v>46316</v>
      </c>
      <c r="F257" t="inlineStr">
        <is>
          <t>NORRBOTTENS LÄN</t>
        </is>
      </c>
      <c r="G257" t="inlineStr">
        <is>
          <t>ÖVERKALIX</t>
        </is>
      </c>
      <c r="I257" t="n">
        <v>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61406-2025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46001</v>
      </c>
      <c r="E258" s="1" t="n">
        <v>46316</v>
      </c>
      <c r="F258" t="inlineStr">
        <is>
          <t>NORRBOTTENS LÄN</t>
        </is>
      </c>
      <c r="G258" t="inlineStr">
        <is>
          <t>ÖVERKALIX</t>
        </is>
      </c>
      <c r="H258" t="inlineStr">
        <is>
          <t>SCA</t>
        </is>
      </c>
      <c r="I258" t="n">
        <v>3.6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1821-2025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45671</v>
      </c>
      <c r="E259" s="1" t="n">
        <v>46316</v>
      </c>
      <c r="F259" t="inlineStr">
        <is>
          <t>NORRBOTTENS LÄN</t>
        </is>
      </c>
      <c r="G259" t="inlineStr">
        <is>
          <t>ÖVERKALIX</t>
        </is>
      </c>
      <c r="I259" t="n">
        <v>6.4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45767-2023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45189</v>
      </c>
      <c r="E260" s="1" t="n">
        <v>46316</v>
      </c>
      <c r="F260" t="inlineStr">
        <is>
          <t>NORRBOTTENS LÄN</t>
        </is>
      </c>
      <c r="G260" t="inlineStr">
        <is>
          <t>ÖVERKALIX</t>
        </is>
      </c>
      <c r="I260" t="n">
        <v>0.5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44554-2023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45189</v>
      </c>
      <c r="E261" s="1" t="n">
        <v>46316</v>
      </c>
      <c r="F261" t="inlineStr">
        <is>
          <t>NORRBOTTENS LÄN</t>
        </is>
      </c>
      <c r="G261" t="inlineStr">
        <is>
          <t>ÖVERKALIX</t>
        </is>
      </c>
      <c r="I261" t="n">
        <v>8.6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33865-2023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45133</v>
      </c>
      <c r="E262" s="1" t="n">
        <v>46316</v>
      </c>
      <c r="F262" t="inlineStr">
        <is>
          <t>NORRBOTTENS LÄN</t>
        </is>
      </c>
      <c r="G262" t="inlineStr">
        <is>
          <t>ÖVERKALIX</t>
        </is>
      </c>
      <c r="I262" t="n">
        <v>0.6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36501-2025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45869</v>
      </c>
      <c r="E263" s="1" t="n">
        <v>46316</v>
      </c>
      <c r="F263" t="inlineStr">
        <is>
          <t>NORRBOTTENS LÄN</t>
        </is>
      </c>
      <c r="G263" t="inlineStr">
        <is>
          <t>ÖVERKALIX</t>
        </is>
      </c>
      <c r="H263" t="inlineStr">
        <is>
          <t>Sveaskog</t>
        </is>
      </c>
      <c r="I263" t="n">
        <v>5.5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36486-2025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45869</v>
      </c>
      <c r="E264" s="1" t="n">
        <v>46316</v>
      </c>
      <c r="F264" t="inlineStr">
        <is>
          <t>NORRBOTTENS LÄN</t>
        </is>
      </c>
      <c r="G264" t="inlineStr">
        <is>
          <t>ÖVERKALIX</t>
        </is>
      </c>
      <c r="I264" t="n">
        <v>1.1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20171-2026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46139</v>
      </c>
      <c r="E265" s="1" t="n">
        <v>46316</v>
      </c>
      <c r="F265" t="inlineStr">
        <is>
          <t>NORRBOTTENS LÄN</t>
        </is>
      </c>
      <c r="G265" t="inlineStr">
        <is>
          <t>ÖVERKALIX</t>
        </is>
      </c>
      <c r="H265" t="inlineStr">
        <is>
          <t>SCA</t>
        </is>
      </c>
      <c r="I265" t="n">
        <v>5.6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72809-2021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44546</v>
      </c>
      <c r="E266" s="1" t="n">
        <v>46316</v>
      </c>
      <c r="F266" t="inlineStr">
        <is>
          <t>NORRBOTTENS LÄN</t>
        </is>
      </c>
      <c r="G266" t="inlineStr">
        <is>
          <t>ÖVERKALIX</t>
        </is>
      </c>
      <c r="I266" t="n">
        <v>3.5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36620-2025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45870</v>
      </c>
      <c r="E267" s="1" t="n">
        <v>46316</v>
      </c>
      <c r="F267" t="inlineStr">
        <is>
          <t>NORRBOTTENS LÄN</t>
        </is>
      </c>
      <c r="G267" t="inlineStr">
        <is>
          <t>ÖVERKALIX</t>
        </is>
      </c>
      <c r="H267" t="inlineStr">
        <is>
          <t>SCA</t>
        </is>
      </c>
      <c r="I267" t="n">
        <v>0.8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36621-2025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45870</v>
      </c>
      <c r="E268" s="1" t="n">
        <v>46316</v>
      </c>
      <c r="F268" t="inlineStr">
        <is>
          <t>NORRBOTTENS LÄN</t>
        </is>
      </c>
      <c r="G268" t="inlineStr">
        <is>
          <t>ÖVERKALIX</t>
        </is>
      </c>
      <c r="H268" t="inlineStr">
        <is>
          <t>SCA</t>
        </is>
      </c>
      <c r="I268" t="n">
        <v>1.3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36715-2025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45873</v>
      </c>
      <c r="E269" s="1" t="n">
        <v>46316</v>
      </c>
      <c r="F269" t="inlineStr">
        <is>
          <t>NORRBOTTENS LÄN</t>
        </is>
      </c>
      <c r="G269" t="inlineStr">
        <is>
          <t>ÖVERKALIX</t>
        </is>
      </c>
      <c r="I269" t="n">
        <v>6.9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40155-2024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45554</v>
      </c>
      <c r="E270" s="1" t="n">
        <v>46316</v>
      </c>
      <c r="F270" t="inlineStr">
        <is>
          <t>NORRBOTTENS LÄN</t>
        </is>
      </c>
      <c r="G270" t="inlineStr">
        <is>
          <t>ÖVERKALIX</t>
        </is>
      </c>
      <c r="I270" t="n">
        <v>1.8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20505-2026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46140</v>
      </c>
      <c r="E271" s="1" t="n">
        <v>46316</v>
      </c>
      <c r="F271" t="inlineStr">
        <is>
          <t>NORRBOTTENS LÄN</t>
        </is>
      </c>
      <c r="G271" t="inlineStr">
        <is>
          <t>ÖVERKALIX</t>
        </is>
      </c>
      <c r="H271" t="inlineStr">
        <is>
          <t>SCA</t>
        </is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11919-2023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44993</v>
      </c>
      <c r="E272" s="1" t="n">
        <v>46316</v>
      </c>
      <c r="F272" t="inlineStr">
        <is>
          <t>NORRBOTTENS LÄN</t>
        </is>
      </c>
      <c r="G272" t="inlineStr">
        <is>
          <t>ÖVERKALIX</t>
        </is>
      </c>
      <c r="I272" t="n">
        <v>5.9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62269-2021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44502</v>
      </c>
      <c r="E273" s="1" t="n">
        <v>46316</v>
      </c>
      <c r="F273" t="inlineStr">
        <is>
          <t>NORRBOTTENS LÄN</t>
        </is>
      </c>
      <c r="G273" t="inlineStr">
        <is>
          <t>ÖVERKALIX</t>
        </is>
      </c>
      <c r="I273" t="n">
        <v>9.199999999999999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13717-2022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44648</v>
      </c>
      <c r="E274" s="1" t="n">
        <v>46316</v>
      </c>
      <c r="F274" t="inlineStr">
        <is>
          <t>NORRBOTTENS LÄN</t>
        </is>
      </c>
      <c r="G274" t="inlineStr">
        <is>
          <t>ÖVERKALIX</t>
        </is>
      </c>
      <c r="I274" t="n">
        <v>2.3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43042-2025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45909</v>
      </c>
      <c r="E275" s="1" t="n">
        <v>46316</v>
      </c>
      <c r="F275" t="inlineStr">
        <is>
          <t>NORRBOTTENS LÄN</t>
        </is>
      </c>
      <c r="G275" t="inlineStr">
        <is>
          <t>ÖVERKALIX</t>
        </is>
      </c>
      <c r="I275" t="n">
        <v>2.3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22470-2023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45070</v>
      </c>
      <c r="E276" s="1" t="n">
        <v>46316</v>
      </c>
      <c r="F276" t="inlineStr">
        <is>
          <t>NORRBOTTENS LÄN</t>
        </is>
      </c>
      <c r="G276" t="inlineStr">
        <is>
          <t>ÖVERKALIX</t>
        </is>
      </c>
      <c r="H276" t="inlineStr">
        <is>
          <t>SCA</t>
        </is>
      </c>
      <c r="I276" t="n">
        <v>0.4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5653-2022</t>
        </is>
      </c>
      <c r="B277" t="inlineStr">
        <is>
          <t>avverkningsanmälan</t>
        </is>
      </c>
      <c r="C277" t="inlineStr">
        <is>
          <t>Avverkning för annat ändamål</t>
        </is>
      </c>
      <c r="D277" s="1" t="n">
        <v>44595</v>
      </c>
      <c r="E277" s="1" t="n">
        <v>46316</v>
      </c>
      <c r="F277" t="inlineStr">
        <is>
          <t>NORRBOTTENS LÄN</t>
        </is>
      </c>
      <c r="G277" t="inlineStr">
        <is>
          <t>ÖVERKALIX</t>
        </is>
      </c>
      <c r="H277" t="inlineStr">
        <is>
          <t>SCA</t>
        </is>
      </c>
      <c r="I277" t="n">
        <v>2.3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28208-2025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45818</v>
      </c>
      <c r="E278" s="1" t="n">
        <v>46316</v>
      </c>
      <c r="F278" t="inlineStr">
        <is>
          <t>NORRBOTTENS LÄN</t>
        </is>
      </c>
      <c r="G278" t="inlineStr">
        <is>
          <t>ÖVERKALIX</t>
        </is>
      </c>
      <c r="I278" t="n">
        <v>4.3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21299-2024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45440</v>
      </c>
      <c r="E279" s="1" t="n">
        <v>46316</v>
      </c>
      <c r="F279" t="inlineStr">
        <is>
          <t>NORRBOTTENS LÄN</t>
        </is>
      </c>
      <c r="G279" t="inlineStr">
        <is>
          <t>ÖVERKALIX</t>
        </is>
      </c>
      <c r="H279" t="inlineStr">
        <is>
          <t>Sveaskog</t>
        </is>
      </c>
      <c r="I279" t="n">
        <v>1.1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38152-2025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45882</v>
      </c>
      <c r="E280" s="1" t="n">
        <v>46316</v>
      </c>
      <c r="F280" t="inlineStr">
        <is>
          <t>NORRBOTTENS LÄN</t>
        </is>
      </c>
      <c r="G280" t="inlineStr">
        <is>
          <t>ÖVERKALIX</t>
        </is>
      </c>
      <c r="I280" t="n">
        <v>1.8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38081-2025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45882</v>
      </c>
      <c r="E281" s="1" t="n">
        <v>46316</v>
      </c>
      <c r="F281" t="inlineStr">
        <is>
          <t>NORRBOTTENS LÄN</t>
        </is>
      </c>
      <c r="G281" t="inlineStr">
        <is>
          <t>ÖVERKALIX</t>
        </is>
      </c>
      <c r="H281" t="inlineStr">
        <is>
          <t>SCA</t>
        </is>
      </c>
      <c r="I281" t="n">
        <v>13.4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38191-2025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45882</v>
      </c>
      <c r="E282" s="1" t="n">
        <v>46316</v>
      </c>
      <c r="F282" t="inlineStr">
        <is>
          <t>NORRBOTTENS LÄN</t>
        </is>
      </c>
      <c r="G282" t="inlineStr">
        <is>
          <t>ÖVERKALIX</t>
        </is>
      </c>
      <c r="H282" t="inlineStr">
        <is>
          <t>SCA</t>
        </is>
      </c>
      <c r="I282" t="n">
        <v>5.9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2993-2024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45315</v>
      </c>
      <c r="E283" s="1" t="n">
        <v>46316</v>
      </c>
      <c r="F283" t="inlineStr">
        <is>
          <t>NORRBOTTENS LÄN</t>
        </is>
      </c>
      <c r="G283" t="inlineStr">
        <is>
          <t>ÖVERKALIX</t>
        </is>
      </c>
      <c r="I283" t="n">
        <v>1.4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38026-2025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45882</v>
      </c>
      <c r="E284" s="1" t="n">
        <v>46316</v>
      </c>
      <c r="F284" t="inlineStr">
        <is>
          <t>NORRBOTTENS LÄN</t>
        </is>
      </c>
      <c r="G284" t="inlineStr">
        <is>
          <t>ÖVERKALIX</t>
        </is>
      </c>
      <c r="I284" t="n">
        <v>0.7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6641-2022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44601</v>
      </c>
      <c r="E285" s="1" t="n">
        <v>46316</v>
      </c>
      <c r="F285" t="inlineStr">
        <is>
          <t>NORRBOTTENS LÄN</t>
        </is>
      </c>
      <c r="G285" t="inlineStr">
        <is>
          <t>ÖVERKALIX</t>
        </is>
      </c>
      <c r="H285" t="inlineStr">
        <is>
          <t>SCA</t>
        </is>
      </c>
      <c r="I285" t="n">
        <v>2.6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26554-2023</t>
        </is>
      </c>
      <c r="B286" t="inlineStr">
        <is>
          <t>avverkningsanmälan</t>
        </is>
      </c>
      <c r="C286" t="inlineStr">
        <is>
          <t>Avverkning för annat ändamål</t>
        </is>
      </c>
      <c r="D286" s="1" t="n">
        <v>45092</v>
      </c>
      <c r="E286" s="1" t="n">
        <v>46316</v>
      </c>
      <c r="F286" t="inlineStr">
        <is>
          <t>NORRBOTTENS LÄN</t>
        </is>
      </c>
      <c r="G286" t="inlineStr">
        <is>
          <t>ÖVERKALIX</t>
        </is>
      </c>
      <c r="H286" t="inlineStr">
        <is>
          <t>Sveaskog</t>
        </is>
      </c>
      <c r="I286" t="n">
        <v>0.4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2003-2024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45308</v>
      </c>
      <c r="E287" s="1" t="n">
        <v>46316</v>
      </c>
      <c r="F287" t="inlineStr">
        <is>
          <t>NORRBOTTENS LÄN</t>
        </is>
      </c>
      <c r="G287" t="inlineStr">
        <is>
          <t>ÖVERKALIX</t>
        </is>
      </c>
      <c r="I287" t="n">
        <v>5.4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26140-2023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45086</v>
      </c>
      <c r="E288" s="1" t="n">
        <v>46316</v>
      </c>
      <c r="F288" t="inlineStr">
        <is>
          <t>NORRBOTTENS LÄN</t>
        </is>
      </c>
      <c r="G288" t="inlineStr">
        <is>
          <t>ÖVERKALIX</t>
        </is>
      </c>
      <c r="I288" t="n">
        <v>1.6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3701-2024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45321</v>
      </c>
      <c r="E289" s="1" t="n">
        <v>46316</v>
      </c>
      <c r="F289" t="inlineStr">
        <is>
          <t>NORRBOTTENS LÄN</t>
        </is>
      </c>
      <c r="G289" t="inlineStr">
        <is>
          <t>ÖVERKALIX</t>
        </is>
      </c>
      <c r="I289" t="n">
        <v>1.9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42407-2022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44830</v>
      </c>
      <c r="E290" s="1" t="n">
        <v>46316</v>
      </c>
      <c r="F290" t="inlineStr">
        <is>
          <t>NORRBOTTENS LÄN</t>
        </is>
      </c>
      <c r="G290" t="inlineStr">
        <is>
          <t>ÖVERKALIX</t>
        </is>
      </c>
      <c r="I290" t="n">
        <v>9.1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25697-2024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45463</v>
      </c>
      <c r="E291" s="1" t="n">
        <v>46316</v>
      </c>
      <c r="F291" t="inlineStr">
        <is>
          <t>NORRBOTTENS LÄN</t>
        </is>
      </c>
      <c r="G291" t="inlineStr">
        <is>
          <t>ÖVERKALIX</t>
        </is>
      </c>
      <c r="H291" t="inlineStr">
        <is>
          <t>SCA</t>
        </is>
      </c>
      <c r="I291" t="n">
        <v>2.9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21417-2026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46148</v>
      </c>
      <c r="E292" s="1" t="n">
        <v>46316</v>
      </c>
      <c r="F292" t="inlineStr">
        <is>
          <t>NORRBOTTENS LÄN</t>
        </is>
      </c>
      <c r="G292" t="inlineStr">
        <is>
          <t>ÖVERKALIX</t>
        </is>
      </c>
      <c r="H292" t="inlineStr">
        <is>
          <t>Sveaskog</t>
        </is>
      </c>
      <c r="I292" t="n">
        <v>4.1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21427-2026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46148</v>
      </c>
      <c r="E293" s="1" t="n">
        <v>46316</v>
      </c>
      <c r="F293" t="inlineStr">
        <is>
          <t>NORRBOTTENS LÄN</t>
        </is>
      </c>
      <c r="G293" t="inlineStr">
        <is>
          <t>ÖVERKALIX</t>
        </is>
      </c>
      <c r="H293" t="inlineStr">
        <is>
          <t>Sveaskog</t>
        </is>
      </c>
      <c r="I293" t="n">
        <v>5.9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21411-2026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46148</v>
      </c>
      <c r="E294" s="1" t="n">
        <v>46316</v>
      </c>
      <c r="F294" t="inlineStr">
        <is>
          <t>NORRBOTTENS LÄN</t>
        </is>
      </c>
      <c r="G294" t="inlineStr">
        <is>
          <t>ÖVERKALIX</t>
        </is>
      </c>
      <c r="H294" t="inlineStr">
        <is>
          <t>Sveaskog</t>
        </is>
      </c>
      <c r="I294" t="n">
        <v>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21419-2026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46148</v>
      </c>
      <c r="E295" s="1" t="n">
        <v>46316</v>
      </c>
      <c r="F295" t="inlineStr">
        <is>
          <t>NORRBOTTENS LÄN</t>
        </is>
      </c>
      <c r="G295" t="inlineStr">
        <is>
          <t>ÖVERKALIX</t>
        </is>
      </c>
      <c r="H295" t="inlineStr">
        <is>
          <t>Sveaskog</t>
        </is>
      </c>
      <c r="I295" t="n">
        <v>1.9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21423-2026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46148</v>
      </c>
      <c r="E296" s="1" t="n">
        <v>46316</v>
      </c>
      <c r="F296" t="inlineStr">
        <is>
          <t>NORRBOTTENS LÄN</t>
        </is>
      </c>
      <c r="G296" t="inlineStr">
        <is>
          <t>ÖVERKALIX</t>
        </is>
      </c>
      <c r="H296" t="inlineStr">
        <is>
          <t>Sveaskog</t>
        </is>
      </c>
      <c r="I296" t="n">
        <v>6.2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21424-2026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46148</v>
      </c>
      <c r="E297" s="1" t="n">
        <v>46316</v>
      </c>
      <c r="F297" t="inlineStr">
        <is>
          <t>NORRBOTTENS LÄN</t>
        </is>
      </c>
      <c r="G297" t="inlineStr">
        <is>
          <t>ÖVERKALIX</t>
        </is>
      </c>
      <c r="H297" t="inlineStr">
        <is>
          <t>Sveaskog</t>
        </is>
      </c>
      <c r="I297" t="n">
        <v>7.5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21425-2026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46148</v>
      </c>
      <c r="E298" s="1" t="n">
        <v>46316</v>
      </c>
      <c r="F298" t="inlineStr">
        <is>
          <t>NORRBOTTENS LÄN</t>
        </is>
      </c>
      <c r="G298" t="inlineStr">
        <is>
          <t>ÖVERKALIX</t>
        </is>
      </c>
      <c r="H298" t="inlineStr">
        <is>
          <t>Sveaskog</t>
        </is>
      </c>
      <c r="I298" t="n">
        <v>4.5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21429-2026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46148</v>
      </c>
      <c r="E299" s="1" t="n">
        <v>46316</v>
      </c>
      <c r="F299" t="inlineStr">
        <is>
          <t>NORRBOTTENS LÄN</t>
        </is>
      </c>
      <c r="G299" t="inlineStr">
        <is>
          <t>ÖVERKALIX</t>
        </is>
      </c>
      <c r="H299" t="inlineStr">
        <is>
          <t>Sveaskog</t>
        </is>
      </c>
      <c r="I299" t="n">
        <v>18.8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21422-2026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46148</v>
      </c>
      <c r="E300" s="1" t="n">
        <v>46316</v>
      </c>
      <c r="F300" t="inlineStr">
        <is>
          <t>NORRBOTTENS LÄN</t>
        </is>
      </c>
      <c r="G300" t="inlineStr">
        <is>
          <t>ÖVERKALIX</t>
        </is>
      </c>
      <c r="H300" t="inlineStr">
        <is>
          <t>Sveaskog</t>
        </is>
      </c>
      <c r="I300" t="n">
        <v>11.5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22163-2026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46153</v>
      </c>
      <c r="E301" s="1" t="n">
        <v>46316</v>
      </c>
      <c r="F301" t="inlineStr">
        <is>
          <t>NORRBOTTENS LÄN</t>
        </is>
      </c>
      <c r="G301" t="inlineStr">
        <is>
          <t>ÖVERKALIX</t>
        </is>
      </c>
      <c r="H301" t="inlineStr">
        <is>
          <t>SCA</t>
        </is>
      </c>
      <c r="I301" t="n">
        <v>23.2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73216-2021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44547</v>
      </c>
      <c r="E302" s="1" t="n">
        <v>46316</v>
      </c>
      <c r="F302" t="inlineStr">
        <is>
          <t>NORRBOTTENS LÄN</t>
        </is>
      </c>
      <c r="G302" t="inlineStr">
        <is>
          <t>ÖVERKALIX</t>
        </is>
      </c>
      <c r="I302" t="n">
        <v>1.8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49091-2024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45594</v>
      </c>
      <c r="E303" s="1" t="n">
        <v>46316</v>
      </c>
      <c r="F303" t="inlineStr">
        <is>
          <t>NORRBOTTENS LÄN</t>
        </is>
      </c>
      <c r="G303" t="inlineStr">
        <is>
          <t>ÖVERKALIX</t>
        </is>
      </c>
      <c r="H303" t="inlineStr">
        <is>
          <t>Sveaskog</t>
        </is>
      </c>
      <c r="I303" t="n">
        <v>4.7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48221-2025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45933</v>
      </c>
      <c r="E304" s="1" t="n">
        <v>46316</v>
      </c>
      <c r="F304" t="inlineStr">
        <is>
          <t>NORRBOTTENS LÄN</t>
        </is>
      </c>
      <c r="G304" t="inlineStr">
        <is>
          <t>ÖVERKALIX</t>
        </is>
      </c>
      <c r="H304" t="inlineStr">
        <is>
          <t>Sveaskog</t>
        </is>
      </c>
      <c r="I304" t="n">
        <v>11.8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22955-2026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46160</v>
      </c>
      <c r="E305" s="1" t="n">
        <v>46316</v>
      </c>
      <c r="F305" t="inlineStr">
        <is>
          <t>NORRBOTTENS LÄN</t>
        </is>
      </c>
      <c r="G305" t="inlineStr">
        <is>
          <t>ÖVERKALIX</t>
        </is>
      </c>
      <c r="H305" t="inlineStr">
        <is>
          <t>SCA</t>
        </is>
      </c>
      <c r="I305" t="n">
        <v>3.8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27054-2024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45471</v>
      </c>
      <c r="E306" s="1" t="n">
        <v>46316</v>
      </c>
      <c r="F306" t="inlineStr">
        <is>
          <t>NORRBOTTENS LÄN</t>
        </is>
      </c>
      <c r="G306" t="inlineStr">
        <is>
          <t>ÖVERKALIX</t>
        </is>
      </c>
      <c r="H306" t="inlineStr">
        <is>
          <t>Sveaskog</t>
        </is>
      </c>
      <c r="I306" t="n">
        <v>6.8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27057-2024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45471</v>
      </c>
      <c r="E307" s="1" t="n">
        <v>46316</v>
      </c>
      <c r="F307" t="inlineStr">
        <is>
          <t>NORRBOTTENS LÄN</t>
        </is>
      </c>
      <c r="G307" t="inlineStr">
        <is>
          <t>ÖVERKALIX</t>
        </is>
      </c>
      <c r="H307" t="inlineStr">
        <is>
          <t>Sveaskog</t>
        </is>
      </c>
      <c r="I307" t="n">
        <v>32.6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22945-2026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46160</v>
      </c>
      <c r="E308" s="1" t="n">
        <v>46316</v>
      </c>
      <c r="F308" t="inlineStr">
        <is>
          <t>NORRBOTTENS LÄN</t>
        </is>
      </c>
      <c r="G308" t="inlineStr">
        <is>
          <t>ÖVERKALIX</t>
        </is>
      </c>
      <c r="H308" t="inlineStr">
        <is>
          <t>SCA</t>
        </is>
      </c>
      <c r="I308" t="n">
        <v>2.9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52647-2024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45610</v>
      </c>
      <c r="E309" s="1" t="n">
        <v>46316</v>
      </c>
      <c r="F309" t="inlineStr">
        <is>
          <t>NORRBOTTENS LÄN</t>
        </is>
      </c>
      <c r="G309" t="inlineStr">
        <is>
          <t>ÖVERKALIX</t>
        </is>
      </c>
      <c r="H309" t="inlineStr">
        <is>
          <t>SCA</t>
        </is>
      </c>
      <c r="I309" t="n">
        <v>2.3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23353-2026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46162</v>
      </c>
      <c r="E310" s="1" t="n">
        <v>46316</v>
      </c>
      <c r="F310" t="inlineStr">
        <is>
          <t>NORRBOTTENS LÄN</t>
        </is>
      </c>
      <c r="G310" t="inlineStr">
        <is>
          <t>ÖVERKALIX</t>
        </is>
      </c>
      <c r="I310" t="n">
        <v>1.7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3694-2023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44950</v>
      </c>
      <c r="E311" s="1" t="n">
        <v>46316</v>
      </c>
      <c r="F311" t="inlineStr">
        <is>
          <t>NORRBOTTENS LÄN</t>
        </is>
      </c>
      <c r="G311" t="inlineStr">
        <is>
          <t>ÖVERKALIX</t>
        </is>
      </c>
      <c r="H311" t="inlineStr">
        <is>
          <t>SCA</t>
        </is>
      </c>
      <c r="I311" t="n">
        <v>1.4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23588-2026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46163</v>
      </c>
      <c r="E312" s="1" t="n">
        <v>46316</v>
      </c>
      <c r="F312" t="inlineStr">
        <is>
          <t>NORRBOTTENS LÄN</t>
        </is>
      </c>
      <c r="G312" t="inlineStr">
        <is>
          <t>ÖVERKALIX</t>
        </is>
      </c>
      <c r="H312" t="inlineStr">
        <is>
          <t>SCA</t>
        </is>
      </c>
      <c r="I312" t="n">
        <v>9.9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12591-2024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45379</v>
      </c>
      <c r="E313" s="1" t="n">
        <v>46316</v>
      </c>
      <c r="F313" t="inlineStr">
        <is>
          <t>NORRBOTTENS LÄN</t>
        </is>
      </c>
      <c r="G313" t="inlineStr">
        <is>
          <t>ÖVERKALIX</t>
        </is>
      </c>
      <c r="H313" t="inlineStr">
        <is>
          <t>SCA</t>
        </is>
      </c>
      <c r="I313" t="n">
        <v>3.2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23360-2026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46162</v>
      </c>
      <c r="E314" s="1" t="n">
        <v>46316</v>
      </c>
      <c r="F314" t="inlineStr">
        <is>
          <t>NORRBOTTENS LÄN</t>
        </is>
      </c>
      <c r="G314" t="inlineStr">
        <is>
          <t>ÖVERKALIX</t>
        </is>
      </c>
      <c r="I314" t="n">
        <v>4.7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23362-2026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46162</v>
      </c>
      <c r="E315" s="1" t="n">
        <v>46316</v>
      </c>
      <c r="F315" t="inlineStr">
        <is>
          <t>NORRBOTTENS LÄN</t>
        </is>
      </c>
      <c r="G315" t="inlineStr">
        <is>
          <t>ÖVERKALIX</t>
        </is>
      </c>
      <c r="I315" t="n">
        <v>3.8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23507-2026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46163</v>
      </c>
      <c r="E316" s="1" t="n">
        <v>46316</v>
      </c>
      <c r="F316" t="inlineStr">
        <is>
          <t>NORRBOTTENS LÄN</t>
        </is>
      </c>
      <c r="G316" t="inlineStr">
        <is>
          <t>ÖVERKALIX</t>
        </is>
      </c>
      <c r="I316" t="n">
        <v>4.6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23771-2026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46164</v>
      </c>
      <c r="E317" s="1" t="n">
        <v>46316</v>
      </c>
      <c r="F317" t="inlineStr">
        <is>
          <t>NORRBOTTENS LÄN</t>
        </is>
      </c>
      <c r="G317" t="inlineStr">
        <is>
          <t>ÖVERKALIX</t>
        </is>
      </c>
      <c r="H317" t="inlineStr">
        <is>
          <t>SCA</t>
        </is>
      </c>
      <c r="I317" t="n">
        <v>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23938-2026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46167</v>
      </c>
      <c r="E318" s="1" t="n">
        <v>46316</v>
      </c>
      <c r="F318" t="inlineStr">
        <is>
          <t>NORRBOTTENS LÄN</t>
        </is>
      </c>
      <c r="G318" t="inlineStr">
        <is>
          <t>ÖVERKALIX</t>
        </is>
      </c>
      <c r="H318" t="inlineStr">
        <is>
          <t>Sveaskog</t>
        </is>
      </c>
      <c r="I318" t="n">
        <v>2.1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23935-2026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46167</v>
      </c>
      <c r="E319" s="1" t="n">
        <v>46316</v>
      </c>
      <c r="F319" t="inlineStr">
        <is>
          <t>NORRBOTTENS LÄN</t>
        </is>
      </c>
      <c r="G319" t="inlineStr">
        <is>
          <t>ÖVERKALIX</t>
        </is>
      </c>
      <c r="H319" t="inlineStr">
        <is>
          <t>Sveaskog</t>
        </is>
      </c>
      <c r="I319" t="n">
        <v>4.9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28372-2025</t>
        </is>
      </c>
      <c r="B320" t="inlineStr">
        <is>
          <t>avverkningsanmälan</t>
        </is>
      </c>
      <c r="C320" t="inlineStr">
        <is>
          <t>Avverkning för annat ändamål</t>
        </is>
      </c>
      <c r="D320" s="1" t="n">
        <v>45818</v>
      </c>
      <c r="E320" s="1" t="n">
        <v>46316</v>
      </c>
      <c r="F320" t="inlineStr">
        <is>
          <t>NORRBOTTENS LÄN</t>
        </is>
      </c>
      <c r="G320" t="inlineStr">
        <is>
          <t>ÖVERKALIX</t>
        </is>
      </c>
      <c r="I320" t="n">
        <v>2.2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23942-2026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46167</v>
      </c>
      <c r="E321" s="1" t="n">
        <v>46316</v>
      </c>
      <c r="F321" t="inlineStr">
        <is>
          <t>NORRBOTTENS LÄN</t>
        </is>
      </c>
      <c r="G321" t="inlineStr">
        <is>
          <t>ÖVERKALIX</t>
        </is>
      </c>
      <c r="H321" t="inlineStr">
        <is>
          <t>Sveaskog</t>
        </is>
      </c>
      <c r="I321" t="n">
        <v>5.7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50862-2023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45218</v>
      </c>
      <c r="E322" s="1" t="n">
        <v>46316</v>
      </c>
      <c r="F322" t="inlineStr">
        <is>
          <t>NORRBOTTENS LÄN</t>
        </is>
      </c>
      <c r="G322" t="inlineStr">
        <is>
          <t>ÖVERKALIX</t>
        </is>
      </c>
      <c r="I322" t="n">
        <v>8.199999999999999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51354-2025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45950</v>
      </c>
      <c r="E323" s="1" t="n">
        <v>46316</v>
      </c>
      <c r="F323" t="inlineStr">
        <is>
          <t>NORRBOTTENS LÄN</t>
        </is>
      </c>
      <c r="G323" t="inlineStr">
        <is>
          <t>ÖVERKALIX</t>
        </is>
      </c>
      <c r="I323" t="n">
        <v>8.199999999999999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23949-2026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46167</v>
      </c>
      <c r="E324" s="1" t="n">
        <v>46316</v>
      </c>
      <c r="F324" t="inlineStr">
        <is>
          <t>NORRBOTTENS LÄN</t>
        </is>
      </c>
      <c r="G324" t="inlineStr">
        <is>
          <t>ÖVERKALIX</t>
        </is>
      </c>
      <c r="H324" t="inlineStr">
        <is>
          <t>Sveaskog</t>
        </is>
      </c>
      <c r="I324" t="n">
        <v>3.3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23953-2026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46167</v>
      </c>
      <c r="E325" s="1" t="n">
        <v>46316</v>
      </c>
      <c r="F325" t="inlineStr">
        <is>
          <t>NORRBOTTENS LÄN</t>
        </is>
      </c>
      <c r="G325" t="inlineStr">
        <is>
          <t>ÖVERKALIX</t>
        </is>
      </c>
      <c r="H325" t="inlineStr">
        <is>
          <t>Sveaskog</t>
        </is>
      </c>
      <c r="I325" t="n">
        <v>3.4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24548-2024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45460</v>
      </c>
      <c r="E326" s="1" t="n">
        <v>46316</v>
      </c>
      <c r="F326" t="inlineStr">
        <is>
          <t>NORRBOTTENS LÄN</t>
        </is>
      </c>
      <c r="G326" t="inlineStr">
        <is>
          <t>ÖVERKALIX</t>
        </is>
      </c>
      <c r="I326" t="n">
        <v>2.5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60400-2022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44910</v>
      </c>
      <c r="E327" s="1" t="n">
        <v>46316</v>
      </c>
      <c r="F327" t="inlineStr">
        <is>
          <t>NORRBOTTENS LÄN</t>
        </is>
      </c>
      <c r="G327" t="inlineStr">
        <is>
          <t>ÖVERKALIX</t>
        </is>
      </c>
      <c r="I327" t="n">
        <v>0.7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24587-2026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46170</v>
      </c>
      <c r="E328" s="1" t="n">
        <v>46316</v>
      </c>
      <c r="F328" t="inlineStr">
        <is>
          <t>NORRBOTTENS LÄN</t>
        </is>
      </c>
      <c r="G328" t="inlineStr">
        <is>
          <t>ÖVERKALIX</t>
        </is>
      </c>
      <c r="H328" t="inlineStr">
        <is>
          <t>SCA</t>
        </is>
      </c>
      <c r="I328" t="n">
        <v>3.2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58038-2024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45631</v>
      </c>
      <c r="E329" s="1" t="n">
        <v>46316</v>
      </c>
      <c r="F329" t="inlineStr">
        <is>
          <t>NORRBOTTENS LÄN</t>
        </is>
      </c>
      <c r="G329" t="inlineStr">
        <is>
          <t>ÖVERKALIX</t>
        </is>
      </c>
      <c r="I329" t="n">
        <v>2.7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50392-2025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45944</v>
      </c>
      <c r="E330" s="1" t="n">
        <v>46316</v>
      </c>
      <c r="F330" t="inlineStr">
        <is>
          <t>NORRBOTTENS LÄN</t>
        </is>
      </c>
      <c r="G330" t="inlineStr">
        <is>
          <t>ÖVERKALIX</t>
        </is>
      </c>
      <c r="I330" t="n">
        <v>2.6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1944-2022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44575</v>
      </c>
      <c r="E331" s="1" t="n">
        <v>46316</v>
      </c>
      <c r="F331" t="inlineStr">
        <is>
          <t>NORRBOTTENS LÄN</t>
        </is>
      </c>
      <c r="G331" t="inlineStr">
        <is>
          <t>ÖVERKALIX</t>
        </is>
      </c>
      <c r="I331" t="n">
        <v>10.4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35169-2022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44797</v>
      </c>
      <c r="E332" s="1" t="n">
        <v>46316</v>
      </c>
      <c r="F332" t="inlineStr">
        <is>
          <t>NORRBOTTENS LÄN</t>
        </is>
      </c>
      <c r="G332" t="inlineStr">
        <is>
          <t>ÖVERKALIX</t>
        </is>
      </c>
      <c r="H332" t="inlineStr">
        <is>
          <t>Sveaskog</t>
        </is>
      </c>
      <c r="I332" t="n">
        <v>2.7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25545-2026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46177</v>
      </c>
      <c r="E333" s="1" t="n">
        <v>46316</v>
      </c>
      <c r="F333" t="inlineStr">
        <is>
          <t>NORRBOTTENS LÄN</t>
        </is>
      </c>
      <c r="G333" t="inlineStr">
        <is>
          <t>ÖVERKALIX</t>
        </is>
      </c>
      <c r="H333" t="inlineStr">
        <is>
          <t>Sveaskog</t>
        </is>
      </c>
      <c r="I333" t="n">
        <v>1.9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32477-2024</t>
        </is>
      </c>
      <c r="B334" t="inlineStr">
        <is>
          <t>avverkningsanmälan</t>
        </is>
      </c>
      <c r="C334" t="inlineStr">
        <is>
          <t>Avverkning för annat ändamål</t>
        </is>
      </c>
      <c r="D334" s="1" t="n">
        <v>45513</v>
      </c>
      <c r="E334" s="1" t="n">
        <v>46316</v>
      </c>
      <c r="F334" t="inlineStr">
        <is>
          <t>NORRBOTTENS LÄN</t>
        </is>
      </c>
      <c r="G334" t="inlineStr">
        <is>
          <t>ÖVERKALIX</t>
        </is>
      </c>
      <c r="H334" t="inlineStr">
        <is>
          <t>Sveaskog</t>
        </is>
      </c>
      <c r="I334" t="n">
        <v>0.2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25546-2026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46177</v>
      </c>
      <c r="E335" s="1" t="n">
        <v>46316</v>
      </c>
      <c r="F335" t="inlineStr">
        <is>
          <t>NORRBOTTENS LÄN</t>
        </is>
      </c>
      <c r="G335" t="inlineStr">
        <is>
          <t>ÖVERKALIX</t>
        </is>
      </c>
      <c r="H335" t="inlineStr">
        <is>
          <t>Sveaskog</t>
        </is>
      </c>
      <c r="I335" t="n">
        <v>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25822-2026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46178</v>
      </c>
      <c r="E336" s="1" t="n">
        <v>46316</v>
      </c>
      <c r="F336" t="inlineStr">
        <is>
          <t>NORRBOTTENS LÄN</t>
        </is>
      </c>
      <c r="G336" t="inlineStr">
        <is>
          <t>ÖVERKALIX</t>
        </is>
      </c>
      <c r="I336" t="n">
        <v>4.9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30881-2024</t>
        </is>
      </c>
      <c r="B337" t="inlineStr">
        <is>
          <t>avverkningsanmälan</t>
        </is>
      </c>
      <c r="C337" t="inlineStr">
        <is>
          <t>Avverkning för annat ändamål</t>
        </is>
      </c>
      <c r="D337" s="1" t="n">
        <v>45498</v>
      </c>
      <c r="E337" s="1" t="n">
        <v>46316</v>
      </c>
      <c r="F337" t="inlineStr">
        <is>
          <t>NORRBOTTENS LÄN</t>
        </is>
      </c>
      <c r="G337" t="inlineStr">
        <is>
          <t>ÖVERKALIX</t>
        </is>
      </c>
      <c r="I337" t="n">
        <v>0.5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25965-2026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46181</v>
      </c>
      <c r="E338" s="1" t="n">
        <v>46316</v>
      </c>
      <c r="F338" t="inlineStr">
        <is>
          <t>NORRBOTTENS LÄN</t>
        </is>
      </c>
      <c r="G338" t="inlineStr">
        <is>
          <t>ÖVERKALIX</t>
        </is>
      </c>
      <c r="H338" t="inlineStr">
        <is>
          <t>Sveaskog</t>
        </is>
      </c>
      <c r="I338" t="n">
        <v>5.9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25970-2026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46181</v>
      </c>
      <c r="E339" s="1" t="n">
        <v>46316</v>
      </c>
      <c r="F339" t="inlineStr">
        <is>
          <t>NORRBOTTENS LÄN</t>
        </is>
      </c>
      <c r="G339" t="inlineStr">
        <is>
          <t>ÖVERKALIX</t>
        </is>
      </c>
      <c r="H339" t="inlineStr">
        <is>
          <t>Sveaskog</t>
        </is>
      </c>
      <c r="I339" t="n">
        <v>1.6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2009-2024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45308</v>
      </c>
      <c r="E340" s="1" t="n">
        <v>46316</v>
      </c>
      <c r="F340" t="inlineStr">
        <is>
          <t>NORRBOTTENS LÄN</t>
        </is>
      </c>
      <c r="G340" t="inlineStr">
        <is>
          <t>ÖVERKALIX</t>
        </is>
      </c>
      <c r="I340" t="n">
        <v>5.4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26426-2026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46183</v>
      </c>
      <c r="E341" s="1" t="n">
        <v>46316</v>
      </c>
      <c r="F341" t="inlineStr">
        <is>
          <t>NORRBOTTENS LÄN</t>
        </is>
      </c>
      <c r="G341" t="inlineStr">
        <is>
          <t>ÖVERKALIX</t>
        </is>
      </c>
      <c r="H341" t="inlineStr">
        <is>
          <t>Sveaskog</t>
        </is>
      </c>
      <c r="I341" t="n">
        <v>13.8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26427-2026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46183</v>
      </c>
      <c r="E342" s="1" t="n">
        <v>46316</v>
      </c>
      <c r="F342" t="inlineStr">
        <is>
          <t>NORRBOTTENS LÄN</t>
        </is>
      </c>
      <c r="G342" t="inlineStr">
        <is>
          <t>ÖVERKALIX</t>
        </is>
      </c>
      <c r="H342" t="inlineStr">
        <is>
          <t>Sveaskog</t>
        </is>
      </c>
      <c r="I342" t="n">
        <v>17.7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26429-2026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46183</v>
      </c>
      <c r="E343" s="1" t="n">
        <v>46316</v>
      </c>
      <c r="F343" t="inlineStr">
        <is>
          <t>NORRBOTTENS LÄN</t>
        </is>
      </c>
      <c r="G343" t="inlineStr">
        <is>
          <t>ÖVERKALIX</t>
        </is>
      </c>
      <c r="H343" t="inlineStr">
        <is>
          <t>Sveaskog</t>
        </is>
      </c>
      <c r="I343" t="n">
        <v>8.5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8026-2023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44973</v>
      </c>
      <c r="E344" s="1" t="n">
        <v>46316</v>
      </c>
      <c r="F344" t="inlineStr">
        <is>
          <t>NORRBOTTENS LÄN</t>
        </is>
      </c>
      <c r="G344" t="inlineStr">
        <is>
          <t>ÖVERKALIX</t>
        </is>
      </c>
      <c r="H344" t="inlineStr">
        <is>
          <t>SCA</t>
        </is>
      </c>
      <c r="I344" t="n">
        <v>4.9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47734-2024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45588</v>
      </c>
      <c r="E345" s="1" t="n">
        <v>46316</v>
      </c>
      <c r="F345" t="inlineStr">
        <is>
          <t>NORRBOTTENS LÄN</t>
        </is>
      </c>
      <c r="G345" t="inlineStr">
        <is>
          <t>ÖVERKALIX</t>
        </is>
      </c>
      <c r="I345" t="n">
        <v>0.4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12580-2024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45379</v>
      </c>
      <c r="E346" s="1" t="n">
        <v>46316</v>
      </c>
      <c r="F346" t="inlineStr">
        <is>
          <t>NORRBOTTENS LÄN</t>
        </is>
      </c>
      <c r="G346" t="inlineStr">
        <is>
          <t>ÖVERKALIX</t>
        </is>
      </c>
      <c r="I346" t="n">
        <v>0.4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32616-2024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45513</v>
      </c>
      <c r="E347" s="1" t="n">
        <v>46316</v>
      </c>
      <c r="F347" t="inlineStr">
        <is>
          <t>NORRBOTTENS LÄN</t>
        </is>
      </c>
      <c r="G347" t="inlineStr">
        <is>
          <t>ÖVERKALIX</t>
        </is>
      </c>
      <c r="H347" t="inlineStr">
        <is>
          <t>Sveaskog</t>
        </is>
      </c>
      <c r="I347" t="n">
        <v>5.9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28038-2026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46195</v>
      </c>
      <c r="E348" s="1" t="n">
        <v>46316</v>
      </c>
      <c r="F348" t="inlineStr">
        <is>
          <t>NORRBOTTENS LÄN</t>
        </is>
      </c>
      <c r="G348" t="inlineStr">
        <is>
          <t>ÖVERKALIX</t>
        </is>
      </c>
      <c r="H348" t="inlineStr">
        <is>
          <t>Sveaskog</t>
        </is>
      </c>
      <c r="I348" t="n">
        <v>5.8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8422-2025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45709</v>
      </c>
      <c r="E349" s="1" t="n">
        <v>46316</v>
      </c>
      <c r="F349" t="inlineStr">
        <is>
          <t>NORRBOTTENS LÄN</t>
        </is>
      </c>
      <c r="G349" t="inlineStr">
        <is>
          <t>ÖVERKALIX</t>
        </is>
      </c>
      <c r="I349" t="n">
        <v>4.2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28210-2026</t>
        </is>
      </c>
      <c r="B350" t="inlineStr">
        <is>
          <t>avverkningsanmälan</t>
        </is>
      </c>
      <c r="C350" t="inlineStr">
        <is>
          <t>Avverkning för annat ändamål</t>
        </is>
      </c>
      <c r="D350" s="1" t="n">
        <v>46196</v>
      </c>
      <c r="E350" s="1" t="n">
        <v>46316</v>
      </c>
      <c r="F350" t="inlineStr">
        <is>
          <t>NORRBOTTENS LÄN</t>
        </is>
      </c>
      <c r="G350" t="inlineStr">
        <is>
          <t>ÖVERKALIX</t>
        </is>
      </c>
      <c r="H350" t="inlineStr">
        <is>
          <t>Sveaskog</t>
        </is>
      </c>
      <c r="I350" t="n">
        <v>1.8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59832-2024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45639</v>
      </c>
      <c r="E351" s="1" t="n">
        <v>46316</v>
      </c>
      <c r="F351" t="inlineStr">
        <is>
          <t>NORRBOTTENS LÄN</t>
        </is>
      </c>
      <c r="G351" t="inlineStr">
        <is>
          <t>ÖVERKALIX</t>
        </is>
      </c>
      <c r="I351" t="n">
        <v>6.9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28641-2026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46198</v>
      </c>
      <c r="E352" s="1" t="n">
        <v>46316</v>
      </c>
      <c r="F352" t="inlineStr">
        <is>
          <t>NORRBOTTENS LÄN</t>
        </is>
      </c>
      <c r="G352" t="inlineStr">
        <is>
          <t>ÖVERKALIX</t>
        </is>
      </c>
      <c r="H352" t="inlineStr">
        <is>
          <t>Sveaskog</t>
        </is>
      </c>
      <c r="I352" t="n">
        <v>7.8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28644-2026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46198</v>
      </c>
      <c r="E353" s="1" t="n">
        <v>46316</v>
      </c>
      <c r="F353" t="inlineStr">
        <is>
          <t>NORRBOTTENS LÄN</t>
        </is>
      </c>
      <c r="G353" t="inlineStr">
        <is>
          <t>ÖVERKALIX</t>
        </is>
      </c>
      <c r="H353" t="inlineStr">
        <is>
          <t>Sveaskog</t>
        </is>
      </c>
      <c r="I353" t="n">
        <v>4.5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28925-2026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46199</v>
      </c>
      <c r="E354" s="1" t="n">
        <v>46316</v>
      </c>
      <c r="F354" t="inlineStr">
        <is>
          <t>NORRBOTTENS LÄN</t>
        </is>
      </c>
      <c r="G354" t="inlineStr">
        <is>
          <t>ÖVERKALIX</t>
        </is>
      </c>
      <c r="H354" t="inlineStr">
        <is>
          <t>Sveaskog</t>
        </is>
      </c>
      <c r="I354" t="n">
        <v>4.1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55857-2024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45622</v>
      </c>
      <c r="E355" s="1" t="n">
        <v>46316</v>
      </c>
      <c r="F355" t="inlineStr">
        <is>
          <t>NORRBOTTENS LÄN</t>
        </is>
      </c>
      <c r="G355" t="inlineStr">
        <is>
          <t>ÖVERKALIX</t>
        </is>
      </c>
      <c r="I355" t="n">
        <v>1.2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42721-2023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45181</v>
      </c>
      <c r="E356" s="1" t="n">
        <v>46316</v>
      </c>
      <c r="F356" t="inlineStr">
        <is>
          <t>NORRBOTTENS LÄN</t>
        </is>
      </c>
      <c r="G356" t="inlineStr">
        <is>
          <t>ÖVERKALIX</t>
        </is>
      </c>
      <c r="I356" t="n">
        <v>13.1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30027-2026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46206</v>
      </c>
      <c r="E357" s="1" t="n">
        <v>46316</v>
      </c>
      <c r="F357" t="inlineStr">
        <is>
          <t>NORRBOTTENS LÄN</t>
        </is>
      </c>
      <c r="G357" t="inlineStr">
        <is>
          <t>ÖVERKALIX</t>
        </is>
      </c>
      <c r="I357" t="n">
        <v>22.3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30039-2026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46206</v>
      </c>
      <c r="E358" s="1" t="n">
        <v>46316</v>
      </c>
      <c r="F358" t="inlineStr">
        <is>
          <t>NORRBOTTENS LÄN</t>
        </is>
      </c>
      <c r="G358" t="inlineStr">
        <is>
          <t>ÖVERKALIX</t>
        </is>
      </c>
      <c r="H358" t="inlineStr">
        <is>
          <t>SCA</t>
        </is>
      </c>
      <c r="I358" t="n">
        <v>6.5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5526-2025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45693</v>
      </c>
      <c r="E359" s="1" t="n">
        <v>46316</v>
      </c>
      <c r="F359" t="inlineStr">
        <is>
          <t>NORRBOTTENS LÄN</t>
        </is>
      </c>
      <c r="G359" t="inlineStr">
        <is>
          <t>ÖVERKALIX</t>
        </is>
      </c>
      <c r="H359" t="inlineStr">
        <is>
          <t>SCA</t>
        </is>
      </c>
      <c r="I359" t="n">
        <v>6.7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29827-2026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46205</v>
      </c>
      <c r="E360" s="1" t="n">
        <v>46316</v>
      </c>
      <c r="F360" t="inlineStr">
        <is>
          <t>NORRBOTTENS LÄN</t>
        </is>
      </c>
      <c r="G360" t="inlineStr">
        <is>
          <t>ÖVERKALIX</t>
        </is>
      </c>
      <c r="I360" t="n">
        <v>6.1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29927-2026</t>
        </is>
      </c>
      <c r="B361" t="inlineStr">
        <is>
          <t>avverkningsanmälan</t>
        </is>
      </c>
      <c r="C361" t="inlineStr">
        <is>
          <t>Avverkning för annat ändamål</t>
        </is>
      </c>
      <c r="D361" s="1" t="n">
        <v>46205</v>
      </c>
      <c r="E361" s="1" t="n">
        <v>46316</v>
      </c>
      <c r="F361" t="inlineStr">
        <is>
          <t>NORRBOTTENS LÄN</t>
        </is>
      </c>
      <c r="G361" t="inlineStr">
        <is>
          <t>ÖVERKALIX</t>
        </is>
      </c>
      <c r="I361" t="n">
        <v>1.1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29937-2026</t>
        </is>
      </c>
      <c r="B362" t="inlineStr">
        <is>
          <t>avverkningsanmälan</t>
        </is>
      </c>
      <c r="C362" t="inlineStr">
        <is>
          <t>Avverkning för annat ändamål</t>
        </is>
      </c>
      <c r="D362" s="1" t="n">
        <v>46205</v>
      </c>
      <c r="E362" s="1" t="n">
        <v>46316</v>
      </c>
      <c r="F362" t="inlineStr">
        <is>
          <t>NORRBOTTENS LÄN</t>
        </is>
      </c>
      <c r="G362" t="inlineStr">
        <is>
          <t>ÖVERKALIX</t>
        </is>
      </c>
      <c r="I362" t="n">
        <v>0.2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30326-2026</t>
        </is>
      </c>
      <c r="B363" t="inlineStr">
        <is>
          <t>avverkningsanmälan</t>
        </is>
      </c>
      <c r="C363" t="inlineStr">
        <is>
          <t>Avverkning för annat ändamål</t>
        </is>
      </c>
      <c r="D363" s="1" t="n">
        <v>46207</v>
      </c>
      <c r="E363" s="1" t="n">
        <v>46316</v>
      </c>
      <c r="F363" t="inlineStr">
        <is>
          <t>NORRBOTTENS LÄN</t>
        </is>
      </c>
      <c r="G363" t="inlineStr">
        <is>
          <t>ÖVERKALIX</t>
        </is>
      </c>
      <c r="I363" t="n">
        <v>3.2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30327-2026</t>
        </is>
      </c>
      <c r="B364" t="inlineStr">
        <is>
          <t>avverkningsanmälan</t>
        </is>
      </c>
      <c r="C364" t="inlineStr">
        <is>
          <t>Avverkning för annat ändamål</t>
        </is>
      </c>
      <c r="D364" s="1" t="n">
        <v>46207</v>
      </c>
      <c r="E364" s="1" t="n">
        <v>46316</v>
      </c>
      <c r="F364" t="inlineStr">
        <is>
          <t>NORRBOTTENS LÄN</t>
        </is>
      </c>
      <c r="G364" t="inlineStr">
        <is>
          <t>ÖVERKALIX</t>
        </is>
      </c>
      <c r="I364" t="n">
        <v>1.7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57870-2022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44899</v>
      </c>
      <c r="E365" s="1" t="n">
        <v>46316</v>
      </c>
      <c r="F365" t="inlineStr">
        <is>
          <t>NORRBOTTENS LÄN</t>
        </is>
      </c>
      <c r="G365" t="inlineStr">
        <is>
          <t>ÖVERKALIX</t>
        </is>
      </c>
      <c r="I365" t="n">
        <v>6.7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8417-2025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45709</v>
      </c>
      <c r="E366" s="1" t="n">
        <v>46316</v>
      </c>
      <c r="F366" t="inlineStr">
        <is>
          <t>NORRBOTTENS LÄN</t>
        </is>
      </c>
      <c r="G366" t="inlineStr">
        <is>
          <t>ÖVERKALIX</t>
        </is>
      </c>
      <c r="I366" t="n">
        <v>2.9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30328-2026</t>
        </is>
      </c>
      <c r="B367" t="inlineStr">
        <is>
          <t>avverkningsanmälan</t>
        </is>
      </c>
      <c r="C367" t="inlineStr">
        <is>
          <t>Avverkning för annat ändamål</t>
        </is>
      </c>
      <c r="D367" s="1" t="n">
        <v>46207</v>
      </c>
      <c r="E367" s="1" t="n">
        <v>46316</v>
      </c>
      <c r="F367" t="inlineStr">
        <is>
          <t>NORRBOTTENS LÄN</t>
        </is>
      </c>
      <c r="G367" t="inlineStr">
        <is>
          <t>ÖVERKALIX</t>
        </is>
      </c>
      <c r="I367" t="n">
        <v>4.3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30019-2026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46206</v>
      </c>
      <c r="E368" s="1" t="n">
        <v>46316</v>
      </c>
      <c r="F368" t="inlineStr">
        <is>
          <t>NORRBOTTENS LÄN</t>
        </is>
      </c>
      <c r="G368" t="inlineStr">
        <is>
          <t>ÖVERKALIX</t>
        </is>
      </c>
      <c r="I368" t="n">
        <v>5.1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30037-2026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46206</v>
      </c>
      <c r="E369" s="1" t="n">
        <v>46316</v>
      </c>
      <c r="F369" t="inlineStr">
        <is>
          <t>NORRBOTTENS LÄN</t>
        </is>
      </c>
      <c r="G369" t="inlineStr">
        <is>
          <t>ÖVERKALIX</t>
        </is>
      </c>
      <c r="H369" t="inlineStr">
        <is>
          <t>SCA</t>
        </is>
      </c>
      <c r="I369" t="n">
        <v>3.2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30241-2026</t>
        </is>
      </c>
      <c r="B370" t="inlineStr">
        <is>
          <t>avverkningsanmälan</t>
        </is>
      </c>
      <c r="C370" t="inlineStr">
        <is>
          <t>Avverkning för annat ändamål</t>
        </is>
      </c>
      <c r="D370" s="1" t="n">
        <v>46206</v>
      </c>
      <c r="E370" s="1" t="n">
        <v>46316</v>
      </c>
      <c r="F370" t="inlineStr">
        <is>
          <t>NORRBOTTENS LÄN</t>
        </is>
      </c>
      <c r="G370" t="inlineStr">
        <is>
          <t>ÖVERKALIX</t>
        </is>
      </c>
      <c r="H370" t="inlineStr">
        <is>
          <t>Sveaskog</t>
        </is>
      </c>
      <c r="I370" t="n">
        <v>0.2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37429-2024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45540</v>
      </c>
      <c r="E371" s="1" t="n">
        <v>46316</v>
      </c>
      <c r="F371" t="inlineStr">
        <is>
          <t>NORRBOTTENS LÄN</t>
        </is>
      </c>
      <c r="G371" t="inlineStr">
        <is>
          <t>ÖVERKALIX</t>
        </is>
      </c>
      <c r="I371" t="n">
        <v>5.3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23364-2026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46162</v>
      </c>
      <c r="E372" s="1" t="n">
        <v>46316</v>
      </c>
      <c r="F372" t="inlineStr">
        <is>
          <t>NORRBOTTENS LÄN</t>
        </is>
      </c>
      <c r="G372" t="inlineStr">
        <is>
          <t>ÖVERKALIX</t>
        </is>
      </c>
      <c r="H372" t="inlineStr">
        <is>
          <t>Sveaskog</t>
        </is>
      </c>
      <c r="I372" t="n">
        <v>17.6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64524-2023</t>
        </is>
      </c>
      <c r="B373" t="inlineStr">
        <is>
          <t>avverkningsanmälan</t>
        </is>
      </c>
      <c r="C373" t="inlineStr">
        <is>
          <t>Avverkning för annat ändamål</t>
        </is>
      </c>
      <c r="D373" s="1" t="n">
        <v>45281</v>
      </c>
      <c r="E373" s="1" t="n">
        <v>46316</v>
      </c>
      <c r="F373" t="inlineStr">
        <is>
          <t>NORRBOTTENS LÄN</t>
        </is>
      </c>
      <c r="G373" t="inlineStr">
        <is>
          <t>ÖVERKALIX</t>
        </is>
      </c>
      <c r="H373" t="inlineStr">
        <is>
          <t>Sveaskog</t>
        </is>
      </c>
      <c r="I373" t="n">
        <v>1.5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36797-2023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45154</v>
      </c>
      <c r="E374" s="1" t="n">
        <v>46316</v>
      </c>
      <c r="F374" t="inlineStr">
        <is>
          <t>NORRBOTTENS LÄN</t>
        </is>
      </c>
      <c r="G374" t="inlineStr">
        <is>
          <t>ÖVERKALIX</t>
        </is>
      </c>
      <c r="I374" t="n">
        <v>0.5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27681-2026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46190</v>
      </c>
      <c r="E375" s="1" t="n">
        <v>46316</v>
      </c>
      <c r="F375" t="inlineStr">
        <is>
          <t>NORRBOTTENS LÄN</t>
        </is>
      </c>
      <c r="G375" t="inlineStr">
        <is>
          <t>ÖVERKALIX</t>
        </is>
      </c>
      <c r="H375" t="inlineStr">
        <is>
          <t>Sveaskog</t>
        </is>
      </c>
      <c r="I375" t="n">
        <v>4.4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60463-2024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45643</v>
      </c>
      <c r="E376" s="1" t="n">
        <v>46316</v>
      </c>
      <c r="F376" t="inlineStr">
        <is>
          <t>NORRBOTTENS LÄN</t>
        </is>
      </c>
      <c r="G376" t="inlineStr">
        <is>
          <t>ÖVERKALIX</t>
        </is>
      </c>
      <c r="I376" t="n">
        <v>2.3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42119-2024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45562</v>
      </c>
      <c r="E377" s="1" t="n">
        <v>46316</v>
      </c>
      <c r="F377" t="inlineStr">
        <is>
          <t>NORRBOTTENS LÄN</t>
        </is>
      </c>
      <c r="G377" t="inlineStr">
        <is>
          <t>ÖVERKALIX</t>
        </is>
      </c>
      <c r="I377" t="n">
        <v>3.2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19541-2024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45429</v>
      </c>
      <c r="E378" s="1" t="n">
        <v>46316</v>
      </c>
      <c r="F378" t="inlineStr">
        <is>
          <t>NORRBOTTENS LÄN</t>
        </is>
      </c>
      <c r="G378" t="inlineStr">
        <is>
          <t>ÖVERKALIX</t>
        </is>
      </c>
      <c r="H378" t="inlineStr">
        <is>
          <t>Sveaskog</t>
        </is>
      </c>
      <c r="I378" t="n">
        <v>22.7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55857-2024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45622</v>
      </c>
      <c r="E379" s="1" t="n">
        <v>46316</v>
      </c>
      <c r="F379" t="inlineStr">
        <is>
          <t>NORRBOTTENS LÄN</t>
        </is>
      </c>
      <c r="G379" t="inlineStr">
        <is>
          <t>ÖVERKALIX</t>
        </is>
      </c>
      <c r="I379" t="n">
        <v>5.7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25692-2024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45463</v>
      </c>
      <c r="E380" s="1" t="n">
        <v>46316</v>
      </c>
      <c r="F380" t="inlineStr">
        <is>
          <t>NORRBOTTENS LÄN</t>
        </is>
      </c>
      <c r="G380" t="inlineStr">
        <is>
          <t>ÖVERKALIX</t>
        </is>
      </c>
      <c r="H380" t="inlineStr">
        <is>
          <t>SCA</t>
        </is>
      </c>
      <c r="I380" t="n">
        <v>1.1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59911-2024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45641</v>
      </c>
      <c r="E381" s="1" t="n">
        <v>46316</v>
      </c>
      <c r="F381" t="inlineStr">
        <is>
          <t>NORRBOTTENS LÄN</t>
        </is>
      </c>
      <c r="G381" t="inlineStr">
        <is>
          <t>ÖVERKALIX</t>
        </is>
      </c>
      <c r="I381" t="n">
        <v>4.7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31628-2026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46225</v>
      </c>
      <c r="E382" s="1" t="n">
        <v>46316</v>
      </c>
      <c r="F382" t="inlineStr">
        <is>
          <t>NORRBOTTENS LÄN</t>
        </is>
      </c>
      <c r="G382" t="inlineStr">
        <is>
          <t>ÖVERKALIX</t>
        </is>
      </c>
      <c r="I382" t="n">
        <v>6.9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31832-2026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46230</v>
      </c>
      <c r="E383" s="1" t="n">
        <v>46316</v>
      </c>
      <c r="F383" t="inlineStr">
        <is>
          <t>NORRBOTTENS LÄN</t>
        </is>
      </c>
      <c r="G383" t="inlineStr">
        <is>
          <t>ÖVERKALIX</t>
        </is>
      </c>
      <c r="H383" t="inlineStr">
        <is>
          <t>SCA</t>
        </is>
      </c>
      <c r="I383" t="n">
        <v>3.8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72623-2021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44546</v>
      </c>
      <c r="E384" s="1" t="n">
        <v>46316</v>
      </c>
      <c r="F384" t="inlineStr">
        <is>
          <t>NORRBOTTENS LÄN</t>
        </is>
      </c>
      <c r="G384" t="inlineStr">
        <is>
          <t>ÖVERKALIX</t>
        </is>
      </c>
      <c r="I384" t="n">
        <v>1.6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38940-2024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45548</v>
      </c>
      <c r="E385" s="1" t="n">
        <v>46316</v>
      </c>
      <c r="F385" t="inlineStr">
        <is>
          <t>NORRBOTTENS LÄN</t>
        </is>
      </c>
      <c r="G385" t="inlineStr">
        <is>
          <t>ÖVERKALIX</t>
        </is>
      </c>
      <c r="H385" t="inlineStr">
        <is>
          <t>SCA</t>
        </is>
      </c>
      <c r="I385" t="n">
        <v>2.3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525-2026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46029</v>
      </c>
      <c r="E386" s="1" t="n">
        <v>46316</v>
      </c>
      <c r="F386" t="inlineStr">
        <is>
          <t>NORRBOTTENS LÄN</t>
        </is>
      </c>
      <c r="G386" t="inlineStr">
        <is>
          <t>ÖVERKALIX</t>
        </is>
      </c>
      <c r="I386" t="n">
        <v>6.3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32615-2024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45513</v>
      </c>
      <c r="E387" s="1" t="n">
        <v>46316</v>
      </c>
      <c r="F387" t="inlineStr">
        <is>
          <t>NORRBOTTENS LÄN</t>
        </is>
      </c>
      <c r="G387" t="inlineStr">
        <is>
          <t>ÖVERKALIX</t>
        </is>
      </c>
      <c r="H387" t="inlineStr">
        <is>
          <t>Sveaskog</t>
        </is>
      </c>
      <c r="I387" t="n">
        <v>9.800000000000001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37683-2026</t>
        </is>
      </c>
      <c r="B388" t="inlineStr">
        <is>
          <t>avverkningsanmälan</t>
        </is>
      </c>
      <c r="C388" t="inlineStr">
        <is>
          <t>Avverkning för annat ändamål</t>
        </is>
      </c>
      <c r="D388" s="1" t="n">
        <v>46278</v>
      </c>
      <c r="E388" s="1" t="n">
        <v>46316</v>
      </c>
      <c r="F388" t="inlineStr">
        <is>
          <t>NORRBOTTENS LÄN</t>
        </is>
      </c>
      <c r="G388" t="inlineStr">
        <is>
          <t>ÖVERKALIX</t>
        </is>
      </c>
      <c r="I388" t="n">
        <v>0.6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38134-2026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46281</v>
      </c>
      <c r="E389" s="1" t="n">
        <v>46316</v>
      </c>
      <c r="F389" t="inlineStr">
        <is>
          <t>NORRBOTTENS LÄN</t>
        </is>
      </c>
      <c r="G389" t="inlineStr">
        <is>
          <t>ÖVERKALIX</t>
        </is>
      </c>
      <c r="H389" t="inlineStr">
        <is>
          <t>SCA</t>
        </is>
      </c>
      <c r="I389" t="n">
        <v>20.1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38218-2026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46281</v>
      </c>
      <c r="E390" s="1" t="n">
        <v>46316</v>
      </c>
      <c r="F390" t="inlineStr">
        <is>
          <t>NORRBOTTENS LÄN</t>
        </is>
      </c>
      <c r="G390" t="inlineStr">
        <is>
          <t>ÖVERKALIX</t>
        </is>
      </c>
      <c r="H390" t="inlineStr">
        <is>
          <t>Sveaskog</t>
        </is>
      </c>
      <c r="I390" t="n">
        <v>8.9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37965-2026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46280</v>
      </c>
      <c r="E391" s="1" t="n">
        <v>46316</v>
      </c>
      <c r="F391" t="inlineStr">
        <is>
          <t>NORRBOTTENS LÄN</t>
        </is>
      </c>
      <c r="G391" t="inlineStr">
        <is>
          <t>ÖVERKALIX</t>
        </is>
      </c>
      <c r="H391" t="inlineStr">
        <is>
          <t>Sveaskog</t>
        </is>
      </c>
      <c r="I391" t="n">
        <v>12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14255-2023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45009</v>
      </c>
      <c r="E392" s="1" t="n">
        <v>46316</v>
      </c>
      <c r="F392" t="inlineStr">
        <is>
          <t>NORRBOTTENS LÄN</t>
        </is>
      </c>
      <c r="G392" t="inlineStr">
        <is>
          <t>ÖVERKALIX</t>
        </is>
      </c>
      <c r="I392" t="n">
        <v>1.3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32382-2026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46238</v>
      </c>
      <c r="E393" s="1" t="n">
        <v>46316</v>
      </c>
      <c r="F393" t="inlineStr">
        <is>
          <t>NORRBOTTENS LÄN</t>
        </is>
      </c>
      <c r="G393" t="inlineStr">
        <is>
          <t>ÖVERKALIX</t>
        </is>
      </c>
      <c r="H393" t="inlineStr">
        <is>
          <t>SCA</t>
        </is>
      </c>
      <c r="I393" t="n">
        <v>4.6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38102-2026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46281</v>
      </c>
      <c r="E394" s="1" t="n">
        <v>46316</v>
      </c>
      <c r="F394" t="inlineStr">
        <is>
          <t>NORRBOTTENS LÄN</t>
        </is>
      </c>
      <c r="G394" t="inlineStr">
        <is>
          <t>ÖVERKALIX</t>
        </is>
      </c>
      <c r="H394" t="inlineStr">
        <is>
          <t>SCA</t>
        </is>
      </c>
      <c r="I394" t="n">
        <v>1.1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38975-2024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45548</v>
      </c>
      <c r="E395" s="1" t="n">
        <v>46316</v>
      </c>
      <c r="F395" t="inlineStr">
        <is>
          <t>NORRBOTTENS LÄN</t>
        </is>
      </c>
      <c r="G395" t="inlineStr">
        <is>
          <t>ÖVERKALIX</t>
        </is>
      </c>
      <c r="H395" t="inlineStr">
        <is>
          <t>SCA</t>
        </is>
      </c>
      <c r="I395" t="n">
        <v>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51561-2024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45604</v>
      </c>
      <c r="E396" s="1" t="n">
        <v>46316</v>
      </c>
      <c r="F396" t="inlineStr">
        <is>
          <t>NORRBOTTENS LÄN</t>
        </is>
      </c>
      <c r="G396" t="inlineStr">
        <is>
          <t>ÖVERKALIX</t>
        </is>
      </c>
      <c r="I396" t="n">
        <v>1.6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1867-2023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44938</v>
      </c>
      <c r="E397" s="1" t="n">
        <v>46316</v>
      </c>
      <c r="F397" t="inlineStr">
        <is>
          <t>NORRBOTTENS LÄN</t>
        </is>
      </c>
      <c r="G397" t="inlineStr">
        <is>
          <t>ÖVERKALIX</t>
        </is>
      </c>
      <c r="H397" t="inlineStr">
        <is>
          <t>SCA</t>
        </is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39119-2026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46287</v>
      </c>
      <c r="E398" s="1" t="n">
        <v>46316</v>
      </c>
      <c r="F398" t="inlineStr">
        <is>
          <t>NORRBOTTENS LÄN</t>
        </is>
      </c>
      <c r="G398" t="inlineStr">
        <is>
          <t>ÖVERKALIX</t>
        </is>
      </c>
      <c r="I398" t="n">
        <v>12.9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25698-2024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45463</v>
      </c>
      <c r="E399" s="1" t="n">
        <v>46316</v>
      </c>
      <c r="F399" t="inlineStr">
        <is>
          <t>NORRBOTTENS LÄN</t>
        </is>
      </c>
      <c r="G399" t="inlineStr">
        <is>
          <t>ÖVERKALIX</t>
        </is>
      </c>
      <c r="H399" t="inlineStr">
        <is>
          <t>SCA</t>
        </is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13058-2026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46093</v>
      </c>
      <c r="E400" s="1" t="n">
        <v>46316</v>
      </c>
      <c r="F400" t="inlineStr">
        <is>
          <t>NORRBOTTENS LÄN</t>
        </is>
      </c>
      <c r="G400" t="inlineStr">
        <is>
          <t>ÖVERKALIX</t>
        </is>
      </c>
      <c r="I400" t="n">
        <v>12.5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39203-2026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46287</v>
      </c>
      <c r="E401" s="1" t="n">
        <v>46316</v>
      </c>
      <c r="F401" t="inlineStr">
        <is>
          <t>NORRBOTTENS LÄN</t>
        </is>
      </c>
      <c r="G401" t="inlineStr">
        <is>
          <t>ÖVERKALIX</t>
        </is>
      </c>
      <c r="I401" t="n">
        <v>9.5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45748-2023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45189</v>
      </c>
      <c r="E402" s="1" t="n">
        <v>46316</v>
      </c>
      <c r="F402" t="inlineStr">
        <is>
          <t>NORRBOTTENS LÄN</t>
        </is>
      </c>
      <c r="G402" t="inlineStr">
        <is>
          <t>ÖVERKALIX</t>
        </is>
      </c>
      <c r="I402" t="n">
        <v>0.6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32962-2026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46244</v>
      </c>
      <c r="E403" s="1" t="n">
        <v>46316</v>
      </c>
      <c r="F403" t="inlineStr">
        <is>
          <t>NORRBOTTENS LÄN</t>
        </is>
      </c>
      <c r="G403" t="inlineStr">
        <is>
          <t>ÖVERKALIX</t>
        </is>
      </c>
      <c r="H403" t="inlineStr">
        <is>
          <t>Sveaskog</t>
        </is>
      </c>
      <c r="I403" t="n">
        <v>4.5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39371-2026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46288</v>
      </c>
      <c r="E404" s="1" t="n">
        <v>46316</v>
      </c>
      <c r="F404" t="inlineStr">
        <is>
          <t>NORRBOTTENS LÄN</t>
        </is>
      </c>
      <c r="G404" t="inlineStr">
        <is>
          <t>ÖVERKALIX</t>
        </is>
      </c>
      <c r="H404" t="inlineStr">
        <is>
          <t>SCA</t>
        </is>
      </c>
      <c r="I404" t="n">
        <v>3.1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39471-2026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46288</v>
      </c>
      <c r="E405" s="1" t="n">
        <v>46316</v>
      </c>
      <c r="F405" t="inlineStr">
        <is>
          <t>NORRBOTTENS LÄN</t>
        </is>
      </c>
      <c r="G405" t="inlineStr">
        <is>
          <t>ÖVERKALIX</t>
        </is>
      </c>
      <c r="I405" t="n">
        <v>1.8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33284-2026</t>
        </is>
      </c>
      <c r="B406" t="inlineStr">
        <is>
          <t>avverkningsanmälan</t>
        </is>
      </c>
      <c r="C406" t="inlineStr">
        <is>
          <t>Avverkning för annat ändamål</t>
        </is>
      </c>
      <c r="D406" s="1" t="n">
        <v>46246</v>
      </c>
      <c r="E406" s="1" t="n">
        <v>46316</v>
      </c>
      <c r="F406" t="inlineStr">
        <is>
          <t>NORRBOTTENS LÄN</t>
        </is>
      </c>
      <c r="G406" t="inlineStr">
        <is>
          <t>ÖVERKALIX</t>
        </is>
      </c>
      <c r="H406" t="inlineStr">
        <is>
          <t>Sveaskog</t>
        </is>
      </c>
      <c r="I406" t="n">
        <v>1.5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4830-2026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46048</v>
      </c>
      <c r="E407" s="1" t="n">
        <v>46316</v>
      </c>
      <c r="F407" t="inlineStr">
        <is>
          <t>NORRBOTTENS LÄN</t>
        </is>
      </c>
      <c r="G407" t="inlineStr">
        <is>
          <t>ÖVERKALIX</t>
        </is>
      </c>
      <c r="I407" t="n">
        <v>1.8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40155-2026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46293</v>
      </c>
      <c r="E408" s="1" t="n">
        <v>46316</v>
      </c>
      <c r="F408" t="inlineStr">
        <is>
          <t>NORRBOTTENS LÄN</t>
        </is>
      </c>
      <c r="G408" t="inlineStr">
        <is>
          <t>ÖVERKALIX</t>
        </is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33315-2024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45518</v>
      </c>
      <c r="E409" s="1" t="n">
        <v>46316</v>
      </c>
      <c r="F409" t="inlineStr">
        <is>
          <t>NORRBOTTENS LÄN</t>
        </is>
      </c>
      <c r="G409" t="inlineStr">
        <is>
          <t>ÖVERKALIX</t>
        </is>
      </c>
      <c r="H409" t="inlineStr">
        <is>
          <t>SCA</t>
        </is>
      </c>
      <c r="I409" t="n">
        <v>4.3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33408-2026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46247</v>
      </c>
      <c r="E410" s="1" t="n">
        <v>46316</v>
      </c>
      <c r="F410" t="inlineStr">
        <is>
          <t>NORRBOTTENS LÄN</t>
        </is>
      </c>
      <c r="G410" t="inlineStr">
        <is>
          <t>ÖVERKALIX</t>
        </is>
      </c>
      <c r="I410" t="n">
        <v>1.6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15365-2025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45747</v>
      </c>
      <c r="E411" s="1" t="n">
        <v>46316</v>
      </c>
      <c r="F411" t="inlineStr">
        <is>
          <t>NORRBOTTENS LÄN</t>
        </is>
      </c>
      <c r="G411" t="inlineStr">
        <is>
          <t>ÖVERKALIX</t>
        </is>
      </c>
      <c r="I411" t="n">
        <v>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39710-2026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46290</v>
      </c>
      <c r="E412" s="1" t="n">
        <v>46316</v>
      </c>
      <c r="F412" t="inlineStr">
        <is>
          <t>NORRBOTTENS LÄN</t>
        </is>
      </c>
      <c r="G412" t="inlineStr">
        <is>
          <t>ÖVERKALIX</t>
        </is>
      </c>
      <c r="I412" t="n">
        <v>5.1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6454-2025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45699</v>
      </c>
      <c r="E413" s="1" t="n">
        <v>46316</v>
      </c>
      <c r="F413" t="inlineStr">
        <is>
          <t>NORRBOTTENS LÄN</t>
        </is>
      </c>
      <c r="G413" t="inlineStr">
        <is>
          <t>ÖVERKALIX</t>
        </is>
      </c>
      <c r="H413" t="inlineStr">
        <is>
          <t>SCA</t>
        </is>
      </c>
      <c r="I413" t="n">
        <v>28.8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7448-2023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44966</v>
      </c>
      <c r="E414" s="1" t="n">
        <v>46316</v>
      </c>
      <c r="F414" t="inlineStr">
        <is>
          <t>NORRBOTTENS LÄN</t>
        </is>
      </c>
      <c r="G414" t="inlineStr">
        <is>
          <t>ÖVERKALIX</t>
        </is>
      </c>
      <c r="I414" t="n">
        <v>3.7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49473-2023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45205</v>
      </c>
      <c r="E415" s="1" t="n">
        <v>46316</v>
      </c>
      <c r="F415" t="inlineStr">
        <is>
          <t>NORRBOTTENS LÄN</t>
        </is>
      </c>
      <c r="G415" t="inlineStr">
        <is>
          <t>ÖVERKALIX</t>
        </is>
      </c>
      <c r="I415" t="n">
        <v>9.300000000000001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39658-2025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45890</v>
      </c>
      <c r="E416" s="1" t="n">
        <v>46316</v>
      </c>
      <c r="F416" t="inlineStr">
        <is>
          <t>NORRBOTTENS LÄN</t>
        </is>
      </c>
      <c r="G416" t="inlineStr">
        <is>
          <t>ÖVERKALIX</t>
        </is>
      </c>
      <c r="H416" t="inlineStr">
        <is>
          <t>Sveaskog</t>
        </is>
      </c>
      <c r="I416" t="n">
        <v>13.4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5723-2024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45334</v>
      </c>
      <c r="E417" s="1" t="n">
        <v>46316</v>
      </c>
      <c r="F417" t="inlineStr">
        <is>
          <t>NORRBOTTENS LÄN</t>
        </is>
      </c>
      <c r="G417" t="inlineStr">
        <is>
          <t>ÖVERKALIX</t>
        </is>
      </c>
      <c r="I417" t="n">
        <v>2.8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55227-2024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45621</v>
      </c>
      <c r="E418" s="1" t="n">
        <v>46316</v>
      </c>
      <c r="F418" t="inlineStr">
        <is>
          <t>NORRBOTTENS LÄN</t>
        </is>
      </c>
      <c r="G418" t="inlineStr">
        <is>
          <t>ÖVERKALIX</t>
        </is>
      </c>
      <c r="I418" t="n">
        <v>2.7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6453-2025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45699</v>
      </c>
      <c r="E419" s="1" t="n">
        <v>46316</v>
      </c>
      <c r="F419" t="inlineStr">
        <is>
          <t>NORRBOTTENS LÄN</t>
        </is>
      </c>
      <c r="G419" t="inlineStr">
        <is>
          <t>ÖVERKALIX</t>
        </is>
      </c>
      <c r="H419" t="inlineStr">
        <is>
          <t>SCA</t>
        </is>
      </c>
      <c r="I419" t="n">
        <v>18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40590-2026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46295</v>
      </c>
      <c r="E420" s="1" t="n">
        <v>46316</v>
      </c>
      <c r="F420" t="inlineStr">
        <is>
          <t>NORRBOTTENS LÄN</t>
        </is>
      </c>
      <c r="G420" t="inlineStr">
        <is>
          <t>ÖVERKALIX</t>
        </is>
      </c>
      <c r="H420" t="inlineStr">
        <is>
          <t>SCA</t>
        </is>
      </c>
      <c r="I420" t="n">
        <v>3.8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33927-2026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46252</v>
      </c>
      <c r="E421" s="1" t="n">
        <v>46316</v>
      </c>
      <c r="F421" t="inlineStr">
        <is>
          <t>NORRBOTTENS LÄN</t>
        </is>
      </c>
      <c r="G421" t="inlineStr">
        <is>
          <t>ÖVERKALIX</t>
        </is>
      </c>
      <c r="H421" t="inlineStr">
        <is>
          <t>SCA</t>
        </is>
      </c>
      <c r="I421" t="n">
        <v>7.2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6591-2023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44966</v>
      </c>
      <c r="E422" s="1" t="n">
        <v>46316</v>
      </c>
      <c r="F422" t="inlineStr">
        <is>
          <t>NORRBOTTENS LÄN</t>
        </is>
      </c>
      <c r="G422" t="inlineStr">
        <is>
          <t>ÖVERKALIX</t>
        </is>
      </c>
      <c r="I422" t="n">
        <v>1.3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3704-2024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45321</v>
      </c>
      <c r="E423" s="1" t="n">
        <v>46316</v>
      </c>
      <c r="F423" t="inlineStr">
        <is>
          <t>NORRBOTTENS LÄN</t>
        </is>
      </c>
      <c r="G423" t="inlineStr">
        <is>
          <t>ÖVERKALIX</t>
        </is>
      </c>
      <c r="I423" t="n">
        <v>4.6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34423-2026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46254</v>
      </c>
      <c r="E424" s="1" t="n">
        <v>46316</v>
      </c>
      <c r="F424" t="inlineStr">
        <is>
          <t>NORRBOTTENS LÄN</t>
        </is>
      </c>
      <c r="G424" t="inlineStr">
        <is>
          <t>ÖVERKALIX</t>
        </is>
      </c>
      <c r="H424" t="inlineStr">
        <is>
          <t>SCA</t>
        </is>
      </c>
      <c r="I424" t="n">
        <v>1.4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40659-2026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46296</v>
      </c>
      <c r="E425" s="1" t="n">
        <v>46316</v>
      </c>
      <c r="F425" t="inlineStr">
        <is>
          <t>NORRBOTTENS LÄN</t>
        </is>
      </c>
      <c r="G425" t="inlineStr">
        <is>
          <t>ÖVERKALIX</t>
        </is>
      </c>
      <c r="H425" t="inlineStr">
        <is>
          <t>Sveaskog</t>
        </is>
      </c>
      <c r="I425" t="n">
        <v>27.1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40726-2026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46296</v>
      </c>
      <c r="E426" s="1" t="n">
        <v>46316</v>
      </c>
      <c r="F426" t="inlineStr">
        <is>
          <t>NORRBOTTENS LÄN</t>
        </is>
      </c>
      <c r="G426" t="inlineStr">
        <is>
          <t>ÖVERKALIX</t>
        </is>
      </c>
      <c r="H426" t="inlineStr">
        <is>
          <t>Sveaskog</t>
        </is>
      </c>
      <c r="I426" t="n">
        <v>1.3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29961-2023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45107</v>
      </c>
      <c r="E427" s="1" t="n">
        <v>46316</v>
      </c>
      <c r="F427" t="inlineStr">
        <is>
          <t>NORRBOTTENS LÄN</t>
        </is>
      </c>
      <c r="G427" t="inlineStr">
        <is>
          <t>ÖVERKALIX</t>
        </is>
      </c>
      <c r="H427" t="inlineStr">
        <is>
          <t>SCA</t>
        </is>
      </c>
      <c r="I427" t="n">
        <v>1.5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32933-2026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46244</v>
      </c>
      <c r="E428" s="1" t="n">
        <v>46316</v>
      </c>
      <c r="F428" t="inlineStr">
        <is>
          <t>NORRBOTTENS LÄN</t>
        </is>
      </c>
      <c r="G428" t="inlineStr">
        <is>
          <t>ÖVERKALIX</t>
        </is>
      </c>
      <c r="H428" t="inlineStr">
        <is>
          <t>SCA</t>
        </is>
      </c>
      <c r="I428" t="n">
        <v>2.6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72212-2021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44543</v>
      </c>
      <c r="E429" s="1" t="n">
        <v>46316</v>
      </c>
      <c r="F429" t="inlineStr">
        <is>
          <t>NORRBOTTENS LÄN</t>
        </is>
      </c>
      <c r="G429" t="inlineStr">
        <is>
          <t>ÖVERKALIX</t>
        </is>
      </c>
      <c r="I429" t="n">
        <v>2.4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40980-2026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46297</v>
      </c>
      <c r="E430" s="1" t="n">
        <v>46316</v>
      </c>
      <c r="F430" t="inlineStr">
        <is>
          <t>NORRBOTTENS LÄN</t>
        </is>
      </c>
      <c r="G430" t="inlineStr">
        <is>
          <t>ÖVERKALIX</t>
        </is>
      </c>
      <c r="H430" t="inlineStr">
        <is>
          <t>Sveaskog</t>
        </is>
      </c>
      <c r="I430" t="n">
        <v>4.5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34358-2026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46254</v>
      </c>
      <c r="E431" s="1" t="n">
        <v>46316</v>
      </c>
      <c r="F431" t="inlineStr">
        <is>
          <t>NORRBOTTENS LÄN</t>
        </is>
      </c>
      <c r="G431" t="inlineStr">
        <is>
          <t>ÖVERKALIX</t>
        </is>
      </c>
      <c r="H431" t="inlineStr">
        <is>
          <t>Sveaskog</t>
        </is>
      </c>
      <c r="I431" t="n">
        <v>33.7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34362-2026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46254</v>
      </c>
      <c r="E432" s="1" t="n">
        <v>46316</v>
      </c>
      <c r="F432" t="inlineStr">
        <is>
          <t>NORRBOTTENS LÄN</t>
        </is>
      </c>
      <c r="G432" t="inlineStr">
        <is>
          <t>ÖVERKALIX</t>
        </is>
      </c>
      <c r="H432" t="inlineStr">
        <is>
          <t>Sveaskog</t>
        </is>
      </c>
      <c r="I432" t="n">
        <v>9.199999999999999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15854-2024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45404</v>
      </c>
      <c r="E433" s="1" t="n">
        <v>46316</v>
      </c>
      <c r="F433" t="inlineStr">
        <is>
          <t>NORRBOTTENS LÄN</t>
        </is>
      </c>
      <c r="G433" t="inlineStr">
        <is>
          <t>ÖVERKALIX</t>
        </is>
      </c>
      <c r="I433" t="n">
        <v>3.5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34239-2026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46253</v>
      </c>
      <c r="E434" s="1" t="n">
        <v>46316</v>
      </c>
      <c r="F434" t="inlineStr">
        <is>
          <t>NORRBOTTENS LÄN</t>
        </is>
      </c>
      <c r="G434" t="inlineStr">
        <is>
          <t>ÖVERKALIX</t>
        </is>
      </c>
      <c r="H434" t="inlineStr">
        <is>
          <t>SCA</t>
        </is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20580-2024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45436</v>
      </c>
      <c r="E435" s="1" t="n">
        <v>46316</v>
      </c>
      <c r="F435" t="inlineStr">
        <is>
          <t>NORRBOTTENS LÄN</t>
        </is>
      </c>
      <c r="G435" t="inlineStr">
        <is>
          <t>ÖVERKALIX</t>
        </is>
      </c>
      <c r="H435" t="inlineStr">
        <is>
          <t>Sveaskog</t>
        </is>
      </c>
      <c r="I435" t="n">
        <v>29.9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41497-2026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46301</v>
      </c>
      <c r="E436" s="1" t="n">
        <v>46316</v>
      </c>
      <c r="F436" t="inlineStr">
        <is>
          <t>NORRBOTTENS LÄN</t>
        </is>
      </c>
      <c r="G436" t="inlineStr">
        <is>
          <t>ÖVERKALIX</t>
        </is>
      </c>
      <c r="H436" t="inlineStr">
        <is>
          <t>SCA</t>
        </is>
      </c>
      <c r="I436" t="n">
        <v>10.3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41508-2026</t>
        </is>
      </c>
      <c r="B437" t="inlineStr">
        <is>
          <t>avverkningsanmälan</t>
        </is>
      </c>
      <c r="C437" t="inlineStr">
        <is>
          <t>Avverkning för annat ändamål</t>
        </is>
      </c>
      <c r="D437" s="1" t="n">
        <v>46301</v>
      </c>
      <c r="E437" s="1" t="n">
        <v>46316</v>
      </c>
      <c r="F437" t="inlineStr">
        <is>
          <t>NORRBOTTENS LÄN</t>
        </is>
      </c>
      <c r="G437" t="inlineStr">
        <is>
          <t>ÖVERKALIX</t>
        </is>
      </c>
      <c r="H437" t="inlineStr">
        <is>
          <t>Sveaskog</t>
        </is>
      </c>
      <c r="I437" t="n">
        <v>0.2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41530-2026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46301</v>
      </c>
      <c r="E438" s="1" t="n">
        <v>46316</v>
      </c>
      <c r="F438" t="inlineStr">
        <is>
          <t>NORRBOTTENS LÄN</t>
        </is>
      </c>
      <c r="G438" t="inlineStr">
        <is>
          <t>ÖVERKALIX</t>
        </is>
      </c>
      <c r="H438" t="inlineStr">
        <is>
          <t>SCA</t>
        </is>
      </c>
      <c r="I438" t="n">
        <v>1.8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34838-2026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46258</v>
      </c>
      <c r="E439" s="1" t="n">
        <v>46316</v>
      </c>
      <c r="F439" t="inlineStr">
        <is>
          <t>NORRBOTTENS LÄN</t>
        </is>
      </c>
      <c r="G439" t="inlineStr">
        <is>
          <t>ÖVERKALIX</t>
        </is>
      </c>
      <c r="H439" t="inlineStr">
        <is>
          <t>Sveaskog</t>
        </is>
      </c>
      <c r="I439" t="n">
        <v>11.5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1310-2025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45667</v>
      </c>
      <c r="E440" s="1" t="n">
        <v>46316</v>
      </c>
      <c r="F440" t="inlineStr">
        <is>
          <t>NORRBOTTENS LÄN</t>
        </is>
      </c>
      <c r="G440" t="inlineStr">
        <is>
          <t>ÖVERKALIX</t>
        </is>
      </c>
      <c r="I440" t="n">
        <v>5.1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15546-2024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45401</v>
      </c>
      <c r="E441" s="1" t="n">
        <v>46316</v>
      </c>
      <c r="F441" t="inlineStr">
        <is>
          <t>NORRBOTTENS LÄN</t>
        </is>
      </c>
      <c r="G441" t="inlineStr">
        <is>
          <t>ÖVERKALIX</t>
        </is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41940-2026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46303</v>
      </c>
      <c r="E442" s="1" t="n">
        <v>46316</v>
      </c>
      <c r="F442" t="inlineStr">
        <is>
          <t>NORRBOTTENS LÄN</t>
        </is>
      </c>
      <c r="G442" t="inlineStr">
        <is>
          <t>ÖVERKALIX</t>
        </is>
      </c>
      <c r="H442" t="inlineStr">
        <is>
          <t>SCA</t>
        </is>
      </c>
      <c r="I442" t="n">
        <v>6.2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35228-2026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46260</v>
      </c>
      <c r="E443" s="1" t="n">
        <v>46316</v>
      </c>
      <c r="F443" t="inlineStr">
        <is>
          <t>NORRBOTTENS LÄN</t>
        </is>
      </c>
      <c r="G443" t="inlineStr">
        <is>
          <t>ÖVERKALIX</t>
        </is>
      </c>
      <c r="H443" t="inlineStr">
        <is>
          <t>SCA</t>
        </is>
      </c>
      <c r="I443" t="n">
        <v>6.2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39405-2022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44817</v>
      </c>
      <c r="E444" s="1" t="n">
        <v>46316</v>
      </c>
      <c r="F444" t="inlineStr">
        <is>
          <t>NORRBOTTENS LÄN</t>
        </is>
      </c>
      <c r="G444" t="inlineStr">
        <is>
          <t>ÖVERKALIX</t>
        </is>
      </c>
      <c r="H444" t="inlineStr">
        <is>
          <t>SCA</t>
        </is>
      </c>
      <c r="I444" t="n">
        <v>8.800000000000001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35235-2026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46260</v>
      </c>
      <c r="E445" s="1" t="n">
        <v>46316</v>
      </c>
      <c r="F445" t="inlineStr">
        <is>
          <t>NORRBOTTENS LÄN</t>
        </is>
      </c>
      <c r="G445" t="inlineStr">
        <is>
          <t>ÖVERKALIX</t>
        </is>
      </c>
      <c r="H445" t="inlineStr">
        <is>
          <t>SCA</t>
        </is>
      </c>
      <c r="I445" t="n">
        <v>2.6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35226-2026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46260</v>
      </c>
      <c r="E446" s="1" t="n">
        <v>46316</v>
      </c>
      <c r="F446" t="inlineStr">
        <is>
          <t>NORRBOTTENS LÄN</t>
        </is>
      </c>
      <c r="G446" t="inlineStr">
        <is>
          <t>ÖVERKALIX</t>
        </is>
      </c>
      <c r="H446" t="inlineStr">
        <is>
          <t>SCA</t>
        </is>
      </c>
      <c r="I446" t="n">
        <v>1.1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37085-2024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45539</v>
      </c>
      <c r="E447" s="1" t="n">
        <v>46316</v>
      </c>
      <c r="F447" t="inlineStr">
        <is>
          <t>NORRBOTTENS LÄN</t>
        </is>
      </c>
      <c r="G447" t="inlineStr">
        <is>
          <t>ÖVERKALIX</t>
        </is>
      </c>
      <c r="H447" t="inlineStr">
        <is>
          <t>Sveaskog</t>
        </is>
      </c>
      <c r="I447" t="n">
        <v>6.6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35191-2026</t>
        </is>
      </c>
      <c r="B448" t="inlineStr">
        <is>
          <t>avverkningsanmälan</t>
        </is>
      </c>
      <c r="C448" t="inlineStr">
        <is>
          <t>Avverkning för annat ändamål</t>
        </is>
      </c>
      <c r="D448" s="1" t="n">
        <v>46260</v>
      </c>
      <c r="E448" s="1" t="n">
        <v>46316</v>
      </c>
      <c r="F448" t="inlineStr">
        <is>
          <t>NORRBOTTENS LÄN</t>
        </is>
      </c>
      <c r="G448" t="inlineStr">
        <is>
          <t>ÖVERKALIX</t>
        </is>
      </c>
      <c r="I448" t="n">
        <v>0.6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42152-2026</t>
        </is>
      </c>
      <c r="B449" t="inlineStr">
        <is>
          <t>avverkningsanmälan</t>
        </is>
      </c>
      <c r="C449" t="inlineStr">
        <is>
          <t>Avverkning för annat ändamål</t>
        </is>
      </c>
      <c r="D449" s="1" t="n">
        <v>46304</v>
      </c>
      <c r="E449" s="1" t="n">
        <v>46316</v>
      </c>
      <c r="F449" t="inlineStr">
        <is>
          <t>NORRBOTTENS LÄN</t>
        </is>
      </c>
      <c r="G449" t="inlineStr">
        <is>
          <t>ÖVERKALIX</t>
        </is>
      </c>
      <c r="H449" t="inlineStr">
        <is>
          <t>Sveaskog</t>
        </is>
      </c>
      <c r="I449" t="n">
        <v>1.2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7488-2026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46059</v>
      </c>
      <c r="E450" s="1" t="n">
        <v>46316</v>
      </c>
      <c r="F450" t="inlineStr">
        <is>
          <t>NORRBOTTENS LÄN</t>
        </is>
      </c>
      <c r="G450" t="inlineStr">
        <is>
          <t>ÖVERKALIX</t>
        </is>
      </c>
      <c r="H450" t="inlineStr">
        <is>
          <t>SCA</t>
        </is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52075-2023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45223</v>
      </c>
      <c r="E451" s="1" t="n">
        <v>46316</v>
      </c>
      <c r="F451" t="inlineStr">
        <is>
          <t>NORRBOTTENS LÄN</t>
        </is>
      </c>
      <c r="G451" t="inlineStr">
        <is>
          <t>ÖVERKALIX</t>
        </is>
      </c>
      <c r="I451" t="n">
        <v>8.6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42349-2026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46307</v>
      </c>
      <c r="E452" s="1" t="n">
        <v>46316</v>
      </c>
      <c r="F452" t="inlineStr">
        <is>
          <t>NORRBOTTENS LÄN</t>
        </is>
      </c>
      <c r="G452" t="inlineStr">
        <is>
          <t>ÖVERKALIX</t>
        </is>
      </c>
      <c r="H452" t="inlineStr">
        <is>
          <t>SCA</t>
        </is>
      </c>
      <c r="I452" t="n">
        <v>20.1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51058-2024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45603</v>
      </c>
      <c r="E453" s="1" t="n">
        <v>46316</v>
      </c>
      <c r="F453" t="inlineStr">
        <is>
          <t>NORRBOTTENS LÄN</t>
        </is>
      </c>
      <c r="G453" t="inlineStr">
        <is>
          <t>ÖVERKALIX</t>
        </is>
      </c>
      <c r="H453" t="inlineStr">
        <is>
          <t>SCA</t>
        </is>
      </c>
      <c r="I453" t="n">
        <v>2.5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5572-2025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45693</v>
      </c>
      <c r="E454" s="1" t="n">
        <v>46316</v>
      </c>
      <c r="F454" t="inlineStr">
        <is>
          <t>NORRBOTTENS LÄN</t>
        </is>
      </c>
      <c r="G454" t="inlineStr">
        <is>
          <t>ÖVERKALIX</t>
        </is>
      </c>
      <c r="H454" t="inlineStr">
        <is>
          <t>SCA</t>
        </is>
      </c>
      <c r="I454" t="n">
        <v>1.1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42151-2026</t>
        </is>
      </c>
      <c r="B455" t="inlineStr">
        <is>
          <t>avverkningsanmälan</t>
        </is>
      </c>
      <c r="C455" t="inlineStr">
        <is>
          <t>Avverkning för annat ändamål</t>
        </is>
      </c>
      <c r="D455" s="1" t="n">
        <v>46304</v>
      </c>
      <c r="E455" s="1" t="n">
        <v>46316</v>
      </c>
      <c r="F455" t="inlineStr">
        <is>
          <t>NORRBOTTENS LÄN</t>
        </is>
      </c>
      <c r="G455" t="inlineStr">
        <is>
          <t>ÖVERKALIX</t>
        </is>
      </c>
      <c r="H455" t="inlineStr">
        <is>
          <t>Sveaskog</t>
        </is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42109-2026</t>
        </is>
      </c>
      <c r="B456" t="inlineStr">
        <is>
          <t>avverkningsanmälan</t>
        </is>
      </c>
      <c r="C456" t="inlineStr">
        <is>
          <t>Avverkning för annat ändamål</t>
        </is>
      </c>
      <c r="D456" s="1" t="n">
        <v>46304</v>
      </c>
      <c r="E456" s="1" t="n">
        <v>46316</v>
      </c>
      <c r="F456" t="inlineStr">
        <is>
          <t>NORRBOTTENS LÄN</t>
        </is>
      </c>
      <c r="G456" t="inlineStr">
        <is>
          <t>ÖVERKALIX</t>
        </is>
      </c>
      <c r="I456" t="n">
        <v>0.2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2992-2024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45315</v>
      </c>
      <c r="E457" s="1" t="n">
        <v>46316</v>
      </c>
      <c r="F457" t="inlineStr">
        <is>
          <t>NORRBOTTENS LÄN</t>
        </is>
      </c>
      <c r="G457" t="inlineStr">
        <is>
          <t>ÖVERKALIX</t>
        </is>
      </c>
      <c r="I457" t="n">
        <v>1.7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55226-2024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45621</v>
      </c>
      <c r="E458" s="1" t="n">
        <v>46316</v>
      </c>
      <c r="F458" t="inlineStr">
        <is>
          <t>NORRBOTTENS LÄN</t>
        </is>
      </c>
      <c r="G458" t="inlineStr">
        <is>
          <t>ÖVERKALIX</t>
        </is>
      </c>
      <c r="I458" t="n">
        <v>5.3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35950-2026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46266</v>
      </c>
      <c r="E459" s="1" t="n">
        <v>46316</v>
      </c>
      <c r="F459" t="inlineStr">
        <is>
          <t>NORRBOTTENS LÄN</t>
        </is>
      </c>
      <c r="G459" t="inlineStr">
        <is>
          <t>ÖVERKALIX</t>
        </is>
      </c>
      <c r="I459" t="n">
        <v>5.1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35966-2026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46266</v>
      </c>
      <c r="E460" s="1" t="n">
        <v>46316</v>
      </c>
      <c r="F460" t="inlineStr">
        <is>
          <t>NORRBOTTENS LÄN</t>
        </is>
      </c>
      <c r="G460" t="inlineStr">
        <is>
          <t>ÖVERKALIX</t>
        </is>
      </c>
      <c r="I460" t="n">
        <v>5.2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42642-2026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46309</v>
      </c>
      <c r="E461" s="1" t="n">
        <v>46316</v>
      </c>
      <c r="F461" t="inlineStr">
        <is>
          <t>NORRBOTTENS LÄN</t>
        </is>
      </c>
      <c r="G461" t="inlineStr">
        <is>
          <t>ÖVERKALIX</t>
        </is>
      </c>
      <c r="H461" t="inlineStr">
        <is>
          <t>SCA</t>
        </is>
      </c>
      <c r="I461" t="n">
        <v>2.1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15153-2025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45744</v>
      </c>
      <c r="E462" s="1" t="n">
        <v>46316</v>
      </c>
      <c r="F462" t="inlineStr">
        <is>
          <t>NORRBOTTENS LÄN</t>
        </is>
      </c>
      <c r="G462" t="inlineStr">
        <is>
          <t>ÖVERKALIX</t>
        </is>
      </c>
      <c r="I462" t="n">
        <v>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42490-2026</t>
        </is>
      </c>
      <c r="B463" t="inlineStr">
        <is>
          <t>avverkningsanmälan</t>
        </is>
      </c>
      <c r="C463" t="inlineStr">
        <is>
          <t>Avverkning för annat ändamål</t>
        </is>
      </c>
      <c r="D463" s="1" t="n">
        <v>46308</v>
      </c>
      <c r="E463" s="1" t="n">
        <v>46316</v>
      </c>
      <c r="F463" t="inlineStr">
        <is>
          <t>NORRBOTTENS LÄN</t>
        </is>
      </c>
      <c r="G463" t="inlineStr">
        <is>
          <t>ÖVERKALIX</t>
        </is>
      </c>
      <c r="H463" t="inlineStr">
        <is>
          <t>SCA</t>
        </is>
      </c>
      <c r="I463" t="n">
        <v>0.3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58037-2024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45631</v>
      </c>
      <c r="E464" s="1" t="n">
        <v>46316</v>
      </c>
      <c r="F464" t="inlineStr">
        <is>
          <t>NORRBOTTENS LÄN</t>
        </is>
      </c>
      <c r="G464" t="inlineStr">
        <is>
          <t>ÖVERKALIX</t>
        </is>
      </c>
      <c r="I464" t="n">
        <v>7.4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19985-2025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45771</v>
      </c>
      <c r="E465" s="1" t="n">
        <v>46316</v>
      </c>
      <c r="F465" t="inlineStr">
        <is>
          <t>NORRBOTTENS LÄN</t>
        </is>
      </c>
      <c r="G465" t="inlineStr">
        <is>
          <t>ÖVERKALIX</t>
        </is>
      </c>
      <c r="H465" t="inlineStr">
        <is>
          <t>SCA</t>
        </is>
      </c>
      <c r="I465" t="n">
        <v>5.5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62561-2023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45268</v>
      </c>
      <c r="E466" s="1" t="n">
        <v>46316</v>
      </c>
      <c r="F466" t="inlineStr">
        <is>
          <t>NORRBOTTENS LÄN</t>
        </is>
      </c>
      <c r="G466" t="inlineStr">
        <is>
          <t>ÖVERKALIX</t>
        </is>
      </c>
      <c r="H466" t="inlineStr">
        <is>
          <t>SCA</t>
        </is>
      </c>
      <c r="I466" t="n">
        <v>6.3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36141-2026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46267</v>
      </c>
      <c r="E467" s="1" t="n">
        <v>46316</v>
      </c>
      <c r="F467" t="inlineStr">
        <is>
          <t>NORRBOTTENS LÄN</t>
        </is>
      </c>
      <c r="G467" t="inlineStr">
        <is>
          <t>ÖVERKALIX</t>
        </is>
      </c>
      <c r="H467" t="inlineStr">
        <is>
          <t>SCA</t>
        </is>
      </c>
      <c r="I467" t="n">
        <v>1.8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48577-2023</t>
        </is>
      </c>
      <c r="B468" t="inlineStr">
        <is>
          <t>avverkningsanmälan</t>
        </is>
      </c>
      <c r="C468" t="inlineStr">
        <is>
          <t>Avverkning för annat ändamål</t>
        </is>
      </c>
      <c r="D468" s="1" t="n">
        <v>45208</v>
      </c>
      <c r="E468" s="1" t="n">
        <v>46316</v>
      </c>
      <c r="F468" t="inlineStr">
        <is>
          <t>NORRBOTTENS LÄN</t>
        </is>
      </c>
      <c r="G468" t="inlineStr">
        <is>
          <t>ÖVERKALIX</t>
        </is>
      </c>
      <c r="H468" t="inlineStr">
        <is>
          <t>Sveaskog</t>
        </is>
      </c>
      <c r="I468" t="n">
        <v>2.2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38941-2024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45548</v>
      </c>
      <c r="E469" s="1" t="n">
        <v>46316</v>
      </c>
      <c r="F469" t="inlineStr">
        <is>
          <t>NORRBOTTENS LÄN</t>
        </is>
      </c>
      <c r="G469" t="inlineStr">
        <is>
          <t>ÖVERKALIX</t>
        </is>
      </c>
      <c r="H469" t="inlineStr">
        <is>
          <t>SCA</t>
        </is>
      </c>
      <c r="I469" t="n">
        <v>0.5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42977-2026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46310</v>
      </c>
      <c r="E470" s="1" t="n">
        <v>46316</v>
      </c>
      <c r="F470" t="inlineStr">
        <is>
          <t>NORRBOTTENS LÄN</t>
        </is>
      </c>
      <c r="G470" t="inlineStr">
        <is>
          <t>ÖVERKALIX</t>
        </is>
      </c>
      <c r="H470" t="inlineStr">
        <is>
          <t>Sveaskog</t>
        </is>
      </c>
      <c r="I470" t="n">
        <v>15.4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40329-2023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45169</v>
      </c>
      <c r="E471" s="1" t="n">
        <v>46316</v>
      </c>
      <c r="F471" t="inlineStr">
        <is>
          <t>NORRBOTTENS LÄN</t>
        </is>
      </c>
      <c r="G471" t="inlineStr">
        <is>
          <t>ÖVERKALIX</t>
        </is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36839-2023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45153</v>
      </c>
      <c r="E472" s="1" t="n">
        <v>46316</v>
      </c>
      <c r="F472" t="inlineStr">
        <is>
          <t>NORRBOTTENS LÄN</t>
        </is>
      </c>
      <c r="G472" t="inlineStr">
        <is>
          <t>ÖVERKALIX</t>
        </is>
      </c>
      <c r="I472" t="n">
        <v>5.7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52976-2024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45611</v>
      </c>
      <c r="E473" s="1" t="n">
        <v>46316</v>
      </c>
      <c r="F473" t="inlineStr">
        <is>
          <t>NORRBOTTENS LÄN</t>
        </is>
      </c>
      <c r="G473" t="inlineStr">
        <is>
          <t>ÖVERKALIX</t>
        </is>
      </c>
      <c r="H473" t="inlineStr">
        <is>
          <t>SCA</t>
        </is>
      </c>
      <c r="I473" t="n">
        <v>1.3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43219-2026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46314</v>
      </c>
      <c r="E474" s="1" t="n">
        <v>46316</v>
      </c>
      <c r="F474" t="inlineStr">
        <is>
          <t>NORRBOTTENS LÄN</t>
        </is>
      </c>
      <c r="G474" t="inlineStr">
        <is>
          <t>ÖVERKALIX</t>
        </is>
      </c>
      <c r="I474" t="n">
        <v>1.8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36683-2026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46272</v>
      </c>
      <c r="E475" s="1" t="n">
        <v>46316</v>
      </c>
      <c r="F475" t="inlineStr">
        <is>
          <t>NORRBOTTENS LÄN</t>
        </is>
      </c>
      <c r="G475" t="inlineStr">
        <is>
          <t>ÖVERKALIX</t>
        </is>
      </c>
      <c r="H475" t="inlineStr">
        <is>
          <t>SCA</t>
        </is>
      </c>
      <c r="I475" t="n">
        <v>20.5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36570-2026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46269</v>
      </c>
      <c r="E476" s="1" t="n">
        <v>46316</v>
      </c>
      <c r="F476" t="inlineStr">
        <is>
          <t>NORRBOTTENS LÄN</t>
        </is>
      </c>
      <c r="G476" t="inlineStr">
        <is>
          <t>ÖVERKALIX</t>
        </is>
      </c>
      <c r="I476" t="n">
        <v>8.300000000000001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43250-2026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46314</v>
      </c>
      <c r="E477" s="1" t="n">
        <v>46316</v>
      </c>
      <c r="F477" t="inlineStr">
        <is>
          <t>NORRBOTTENS LÄN</t>
        </is>
      </c>
      <c r="G477" t="inlineStr">
        <is>
          <t>ÖVERKALIX</t>
        </is>
      </c>
      <c r="I477" t="n">
        <v>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29960-2023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45107</v>
      </c>
      <c r="E478" s="1" t="n">
        <v>46316</v>
      </c>
      <c r="F478" t="inlineStr">
        <is>
          <t>NORRBOTTENS LÄN</t>
        </is>
      </c>
      <c r="G478" t="inlineStr">
        <is>
          <t>ÖVERKALIX</t>
        </is>
      </c>
      <c r="H478" t="inlineStr">
        <is>
          <t>SCA</t>
        </is>
      </c>
      <c r="I478" t="n">
        <v>2.3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23324-2023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45076</v>
      </c>
      <c r="E479" s="1" t="n">
        <v>46316</v>
      </c>
      <c r="F479" t="inlineStr">
        <is>
          <t>NORRBOTTENS LÄN</t>
        </is>
      </c>
      <c r="G479" t="inlineStr">
        <is>
          <t>ÖVERKALIX</t>
        </is>
      </c>
      <c r="H479" t="inlineStr">
        <is>
          <t>Övriga statliga verk och myndigheter</t>
        </is>
      </c>
      <c r="I479" t="n">
        <v>38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19529-2024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45429</v>
      </c>
      <c r="E480" s="1" t="n">
        <v>46316</v>
      </c>
      <c r="F480" t="inlineStr">
        <is>
          <t>NORRBOTTENS LÄN</t>
        </is>
      </c>
      <c r="G480" t="inlineStr">
        <is>
          <t>ÖVERKALIX</t>
        </is>
      </c>
      <c r="H480" t="inlineStr">
        <is>
          <t>Sveaskog</t>
        </is>
      </c>
      <c r="I480" t="n">
        <v>1.1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48561-2024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45593</v>
      </c>
      <c r="E481" s="1" t="n">
        <v>46316</v>
      </c>
      <c r="F481" t="inlineStr">
        <is>
          <t>NORRBOTTENS LÄN</t>
        </is>
      </c>
      <c r="G481" t="inlineStr">
        <is>
          <t>ÖVERKALIX</t>
        </is>
      </c>
      <c r="H481" t="inlineStr">
        <is>
          <t>SCA</t>
        </is>
      </c>
      <c r="I481" t="n">
        <v>8.199999999999999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5382-2025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45692</v>
      </c>
      <c r="E482" s="1" t="n">
        <v>46316</v>
      </c>
      <c r="F482" t="inlineStr">
        <is>
          <t>NORRBOTTENS LÄN</t>
        </is>
      </c>
      <c r="G482" t="inlineStr">
        <is>
          <t>ÖVERKALIX</t>
        </is>
      </c>
      <c r="H482" t="inlineStr">
        <is>
          <t>SCA</t>
        </is>
      </c>
      <c r="I482" t="n">
        <v>10.1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5570-2025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45693</v>
      </c>
      <c r="E483" s="1" t="n">
        <v>46316</v>
      </c>
      <c r="F483" t="inlineStr">
        <is>
          <t>NORRBOTTENS LÄN</t>
        </is>
      </c>
      <c r="G483" t="inlineStr">
        <is>
          <t>ÖVERKALIX</t>
        </is>
      </c>
      <c r="H483" t="inlineStr">
        <is>
          <t>SCA</t>
        </is>
      </c>
      <c r="I483" t="n">
        <v>5.5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21520-2025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45782</v>
      </c>
      <c r="E484" s="1" t="n">
        <v>46316</v>
      </c>
      <c r="F484" t="inlineStr">
        <is>
          <t>NORRBOTTENS LÄN</t>
        </is>
      </c>
      <c r="G484" t="inlineStr">
        <is>
          <t>ÖVERKALIX</t>
        </is>
      </c>
      <c r="H484" t="inlineStr">
        <is>
          <t>SCA</t>
        </is>
      </c>
      <c r="I484" t="n">
        <v>3.3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22108-2025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45785</v>
      </c>
      <c r="E485" s="1" t="n">
        <v>46316</v>
      </c>
      <c r="F485" t="inlineStr">
        <is>
          <t>NORRBOTTENS LÄN</t>
        </is>
      </c>
      <c r="G485" t="inlineStr">
        <is>
          <t>ÖVERKALIX</t>
        </is>
      </c>
      <c r="I485" t="n">
        <v>1.7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S 3721-2022</t>
        </is>
      </c>
      <c r="B486" t="inlineStr">
        <is>
          <t>samrådsanmälan</t>
        </is>
      </c>
      <c r="C486" t="inlineStr">
        <is>
          <t>Skogsbilväg</t>
        </is>
      </c>
      <c r="D486" s="1" t="n">
        <v>44741</v>
      </c>
      <c r="E486" s="1" t="n">
        <v>46316</v>
      </c>
      <c r="F486" t="inlineStr">
        <is>
          <t>NORRBOTTENS LÄN</t>
        </is>
      </c>
      <c r="G486" t="inlineStr">
        <is>
          <t>ÖVERKALIX</t>
        </is>
      </c>
      <c r="I486" t="n">
        <v>1.7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S 2792-2024</t>
        </is>
      </c>
      <c r="B487" t="inlineStr">
        <is>
          <t>samrådsanmälan</t>
        </is>
      </c>
      <c r="C487" t="inlineStr">
        <is>
          <t>Annan skogsbruksåtgärd</t>
        </is>
      </c>
      <c r="D487" s="1" t="n">
        <v>45485</v>
      </c>
      <c r="E487" s="1" t="n">
        <v>46316</v>
      </c>
      <c r="F487" t="inlineStr">
        <is>
          <t>NORRBOTTENS LÄN</t>
        </is>
      </c>
      <c r="G487" t="inlineStr">
        <is>
          <t>ÖVERKALIX</t>
        </is>
      </c>
      <c r="H487" t="inlineStr">
        <is>
          <t>Sveaskog</t>
        </is>
      </c>
      <c r="I487" t="n">
        <v>1.1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S 2700-2024</t>
        </is>
      </c>
      <c r="B488" t="inlineStr">
        <is>
          <t>samrådsanmälan</t>
        </is>
      </c>
      <c r="C488" t="inlineStr">
        <is>
          <t>Annan skogsbruksåtgärd</t>
        </is>
      </c>
      <c r="D488" s="1" t="n">
        <v>45482</v>
      </c>
      <c r="E488" s="1" t="n">
        <v>46316</v>
      </c>
      <c r="F488" t="inlineStr">
        <is>
          <t>NORRBOTTENS LÄN</t>
        </is>
      </c>
      <c r="G488" t="inlineStr">
        <is>
          <t>ÖVERKALIX</t>
        </is>
      </c>
      <c r="H488" t="inlineStr">
        <is>
          <t>Sveaskog</t>
        </is>
      </c>
      <c r="I488" t="n">
        <v>1.5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S 4734-2024</t>
        </is>
      </c>
      <c r="B489" t="inlineStr">
        <is>
          <t>samrådsanmälan</t>
        </is>
      </c>
      <c r="C489" t="inlineStr">
        <is>
          <t>Annan skogsbruksåtgärd</t>
        </is>
      </c>
      <c r="D489" s="1" t="n">
        <v>45607</v>
      </c>
      <c r="E489" s="1" t="n">
        <v>46316</v>
      </c>
      <c r="F489" t="inlineStr">
        <is>
          <t>NORRBOTTENS LÄN</t>
        </is>
      </c>
      <c r="G489" t="inlineStr">
        <is>
          <t>ÖVERKALIX</t>
        </is>
      </c>
      <c r="H489" t="inlineStr">
        <is>
          <t>Sveaskog</t>
        </is>
      </c>
      <c r="I489" t="n">
        <v>1.6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S 1178-2025</t>
        </is>
      </c>
      <c r="B490" t="inlineStr">
        <is>
          <t>samrådsanmälan</t>
        </is>
      </c>
      <c r="C490" t="inlineStr">
        <is>
          <t>Skogsgödsling</t>
        </is>
      </c>
      <c r="D490" s="1" t="n">
        <v>45756</v>
      </c>
      <c r="E490" s="1" t="n">
        <v>46316</v>
      </c>
      <c r="F490" t="inlineStr">
        <is>
          <t>NORRBOTTENS LÄN</t>
        </is>
      </c>
      <c r="G490" t="inlineStr">
        <is>
          <t>ÖVERKALIX</t>
        </is>
      </c>
      <c r="I490" t="n">
        <v>39.9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S 1667-2025</t>
        </is>
      </c>
      <c r="B491" t="inlineStr">
        <is>
          <t>samrådsanmälan</t>
        </is>
      </c>
      <c r="C491" t="inlineStr">
        <is>
          <t>Annan skogsbruksåtgärd</t>
        </is>
      </c>
      <c r="D491" s="1" t="n">
        <v>45800</v>
      </c>
      <c r="E491" s="1" t="n">
        <v>46316</v>
      </c>
      <c r="F491" t="inlineStr">
        <is>
          <t>NORRBOTTENS LÄN</t>
        </is>
      </c>
      <c r="G491" t="inlineStr">
        <is>
          <t>ÖVERKALIX</t>
        </is>
      </c>
      <c r="H491" t="inlineStr">
        <is>
          <t>SCA</t>
        </is>
      </c>
      <c r="I491" t="n">
        <v>6.3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>
      <c r="A492" t="inlineStr">
        <is>
          <t>S 50-2026</t>
        </is>
      </c>
      <c r="B492" t="inlineStr">
        <is>
          <t>samrådsanmälan</t>
        </is>
      </c>
      <c r="C492" t="inlineStr">
        <is>
          <t>Annan skogsbruksåtgärd</t>
        </is>
      </c>
      <c r="D492" s="1" t="n">
        <v>46030</v>
      </c>
      <c r="E492" s="1" t="n">
        <v>46316</v>
      </c>
      <c r="F492" t="inlineStr">
        <is>
          <t>NORRBOTTENS LÄN</t>
        </is>
      </c>
      <c r="G492" t="inlineStr">
        <is>
          <t>ÖVERKALIX</t>
        </is>
      </c>
      <c r="H492" t="inlineStr">
        <is>
          <t>Sveaskog</t>
        </is>
      </c>
      <c r="I492" t="n">
        <v>9.800000000000001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2026-10-21T02:00:36Z</dcterms:created>
  <dcterms:modified xmlns:dcterms="http://purl.org/dc/terms/" xmlns:xsi="http://www.w3.org/2001/XMLSchema-instance" xsi:type="dcterms:W3CDTF">2026-10-21T02:00:36Z</dcterms:modified>
</cp:coreProperties>
</file>