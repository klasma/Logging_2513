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46255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46255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46255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4</v>
      </c>
      <c r="K5" t="n">
        <v>5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13</v>
      </c>
      <c r="T5" t="n">
        <v>25</v>
      </c>
      <c r="U5" t="n">
        <v>25</v>
      </c>
      <c r="V5" s="2" t="inlineStr">
        <is>
          <t>Garnlav
Knärot
Myskmåra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46255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38</v>
      </c>
      <c r="U6" t="n">
        <v>38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46255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63242-2025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46010</v>
      </c>
      <c r="E8" s="1" t="n">
        <v>46255</v>
      </c>
      <c r="F8" t="inlineStr">
        <is>
          <t>NORRBOTTENS LÄN</t>
        </is>
      </c>
      <c r="G8" t="inlineStr">
        <is>
          <t>ÖVERKALIX</t>
        </is>
      </c>
      <c r="I8" t="n">
        <v>9.5</v>
      </c>
      <c r="J8" t="n">
        <v>1</v>
      </c>
      <c r="K8" t="n">
        <v>2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11</v>
      </c>
      <c r="T8" t="n">
        <v>43</v>
      </c>
      <c r="U8" t="n">
        <v>43</v>
      </c>
      <c r="V8" s="2" t="inlineStr">
        <is>
          <t>Garnlav
Dropptaggsvamp
Kolflarnlav
Nordtagging
Orange taggsvamp
Skarp dropptaggsvamp
Tallriska
Talltagel
Vaddporing
Nästlav
Plattlummer</t>
        </is>
      </c>
      <c r="W8">
        <f>HYPERLINK("https://klasma.github.io/Logging_2513/artfynd/A 63242-2025 artfynd.xlsx", "A 63242-2025")</f>
        <v/>
      </c>
      <c r="X8">
        <f>HYPERLINK("https://klasma.github.io/Logging_2513/kartor/A 63242-2025 karta.png", "A 63242-2025")</f>
        <v/>
      </c>
      <c r="Y8">
        <f>HYPERLINK("https://klasma.github.io/Logging_2513/kartor_geotiff/A 63242-2025 georefererad karta.tif", "A 63242-2025")</f>
        <v/>
      </c>
      <c r="AA8">
        <f>HYPERLINK("https://klasma.github.io/Logging_2513/klagomål/A 63242-2025 FSC-klagomål.docx", "A 63242-2025")</f>
        <v/>
      </c>
      <c r="AB8">
        <f>HYPERLINK("https://klasma.github.io/Logging_2513/klagomålsmail/A 63242-2025 FSC-klagomål mail.docx", "A 63242-2025")</f>
        <v/>
      </c>
      <c r="AC8">
        <f>HYPERLINK("https://klasma.github.io/Logging_2513/tillsyn/A 63242-2025 tillsynsbegäran.docx", "A 63242-2025")</f>
        <v/>
      </c>
      <c r="AD8">
        <f>HYPERLINK("https://klasma.github.io/Logging_2513/tillsynsmail/A 63242-2025 tillsynsbegäran mail.docx", "A 63242-2025")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46255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46255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46255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46255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46255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46255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46255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46255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46255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46255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46255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46255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46255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46255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46255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46255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46255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46255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46255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46255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Motaggsvamp
Skarp dropptaggsvamp</t>
        </is>
      </c>
      <c r="W32">
        <f>HYPERLINK("https://klasma.github.io/Logging_2513/artfynd/A 7477-2023 artfynd.xlsx", "A 7477-2023")</f>
        <v/>
      </c>
      <c r="X32">
        <f>HYPERLINK("https://klasma.github.io/Logging_2513/kartor/A 7477-2023 karta.png", "A 7477-2023")</f>
        <v/>
      </c>
      <c r="Y32">
        <f>HYPERLINK("https://klasma.github.io/Logging_2513/kartor_geotiff/A 7477-2023 georefererad karta.tif", "A 7477-2023")</f>
        <v/>
      </c>
      <c r="AA32">
        <f>HYPERLINK("https://klasma.github.io/Logging_2513/klagomål/A 7477-2023 FSC-klagomål.docx", "A 7477-2023")</f>
        <v/>
      </c>
      <c r="AB32">
        <f>HYPERLINK("https://klasma.github.io/Logging_2513/klagomålsmail/A 7477-2023 FSC-klagomål mail.docx", "A 7477-2023")</f>
        <v/>
      </c>
      <c r="AC32">
        <f>HYPERLINK("https://klasma.github.io/Logging_2513/tillsyn/A 7477-2023 tillsynsbegäran.docx", "A 7477-2023")</f>
        <v/>
      </c>
      <c r="AD32">
        <f>HYPERLINK("https://klasma.github.io/Logging_2513/tillsynsmail/A 7477-2023 tillsynsbegäran mail.docx", "A 7477-2023")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46255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46255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50691-2024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46255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4.2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Vedticka</t>
        </is>
      </c>
      <c r="W35">
        <f>HYPERLINK("https://klasma.github.io/Logging_2513/artfynd/A 50691-2024 artfynd.xlsx", "A 50691-2024")</f>
        <v/>
      </c>
      <c r="X35">
        <f>HYPERLINK("https://klasma.github.io/Logging_2513/kartor/A 50691-2024 karta.png", "A 50691-2024")</f>
        <v/>
      </c>
      <c r="Y35">
        <f>HYPERLINK("https://klasma.github.io/Logging_2513/kartor_geotiff/A 50691-2024 georefererad karta.tif", "A 50691-2024")</f>
        <v/>
      </c>
      <c r="AA35">
        <f>HYPERLINK("https://klasma.github.io/Logging_2513/klagomål/A 50691-2024 FSC-klagomål.docx", "A 50691-2024")</f>
        <v/>
      </c>
      <c r="AB35">
        <f>HYPERLINK("https://klasma.github.io/Logging_2513/klagomålsmail/A 50691-2024 FSC-klagomål mail.docx", "A 50691-2024")</f>
        <v/>
      </c>
      <c r="AC35">
        <f>HYPERLINK("https://klasma.github.io/Logging_2513/tillsyn/A 50691-2024 tillsynsbegäran.docx", "A 50691-2024")</f>
        <v/>
      </c>
      <c r="AD35">
        <f>HYPERLINK("https://klasma.github.io/Logging_2513/tillsynsmail/A 50691-2024 tillsynsbegäran mail.docx", "A 50691-2024")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46255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40706-2023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45170</v>
      </c>
      <c r="E37" s="1" t="n">
        <v>46255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7.1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HYPERLINK("https://klasma.github.io/Logging_2513/artfynd/A 40706-2023 artfynd.xlsx", "A 40706-2023")</f>
        <v/>
      </c>
      <c r="X37">
        <f>HYPERLINK("https://klasma.github.io/Logging_2513/kartor/A 40706-2023 karta.png", "A 40706-2023")</f>
        <v/>
      </c>
      <c r="Y37">
        <f>HYPERLINK("https://klasma.github.io/Logging_2513/kartor_geotiff/A 40706-2023 georefererad karta.tif", "A 40706-2023")</f>
        <v/>
      </c>
      <c r="Z37">
        <f>HYPERLINK("https://klasma.github.io/Logging_2513/knärot/A 40706-2023 karta knärot.png", "A 40706-2023")</f>
        <v/>
      </c>
      <c r="AA37">
        <f>HYPERLINK("https://klasma.github.io/Logging_2513/klagomål/A 40706-2023 FSC-klagomål.docx", "A 40706-2023")</f>
        <v/>
      </c>
      <c r="AB37">
        <f>HYPERLINK("https://klasma.github.io/Logging_2513/klagomålsmail/A 40706-2023 FSC-klagomål mail.docx", "A 40706-2023")</f>
        <v/>
      </c>
      <c r="AC37">
        <f>HYPERLINK("https://klasma.github.io/Logging_2513/tillsyn/A 40706-2023 tillsynsbegäran.docx", "A 40706-2023")</f>
        <v/>
      </c>
      <c r="AD37">
        <f>HYPERLINK("https://klasma.github.io/Logging_2513/tillsynsmail/A 40706-2023 tillsynsbegäran mail.docx", "A 40706-2023")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46255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46255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46255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46255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46255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46255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46255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46255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26452-2025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45807</v>
      </c>
      <c r="E46" s="1" t="n">
        <v>46255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Gammelgransskål
Stor aspticka</t>
        </is>
      </c>
      <c r="W46">
        <f>HYPERLINK("https://klasma.github.io/Logging_2513/artfynd/A 26452-2025 artfynd.xlsx", "A 26452-2025")</f>
        <v/>
      </c>
      <c r="X46">
        <f>HYPERLINK("https://klasma.github.io/Logging_2513/kartor/A 26452-2025 karta.png", "A 26452-2025")</f>
        <v/>
      </c>
      <c r="Y46">
        <f>HYPERLINK("https://klasma.github.io/Logging_2513/kartor_geotiff/A 26452-2025 georefererad karta.tif", "A 26452-2025")</f>
        <v/>
      </c>
      <c r="AA46">
        <f>HYPERLINK("https://klasma.github.io/Logging_2513/klagomål/A 26452-2025 FSC-klagomål.docx", "A 26452-2025")</f>
        <v/>
      </c>
      <c r="AB46">
        <f>HYPERLINK("https://klasma.github.io/Logging_2513/klagomålsmail/A 26452-2025 FSC-klagomål mail.docx", "A 26452-2025")</f>
        <v/>
      </c>
      <c r="AC46">
        <f>HYPERLINK("https://klasma.github.io/Logging_2513/tillsyn/A 26452-2025 tillsynsbegäran.docx", "A 26452-2025")</f>
        <v/>
      </c>
      <c r="AD46">
        <f>HYPERLINK("https://klasma.github.io/Logging_2513/tillsynsmail/A 26452-2025 tillsynsbegäran mail.docx", "A 26452-2025")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46255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46255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46255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46255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35602-2025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45859</v>
      </c>
      <c r="E51" s="1" t="n">
        <v>46255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HYPERLINK("https://klasma.github.io/Logging_2513/artfynd/A 35602-2025 artfynd.xlsx", "A 35602-2025")</f>
        <v/>
      </c>
      <c r="X51">
        <f>HYPERLINK("https://klasma.github.io/Logging_2513/kartor/A 35602-2025 karta.png", "A 35602-2025")</f>
        <v/>
      </c>
      <c r="Y51">
        <f>HYPERLINK("https://klasma.github.io/Logging_2513/kartor_geotiff/A 35602-2025 georefererad karta.tif", "A 35602-2025")</f>
        <v/>
      </c>
      <c r="AA51">
        <f>HYPERLINK("https://klasma.github.io/Logging_2513/klagomål/A 35602-2025 FSC-klagomål.docx", "A 35602-2025")</f>
        <v/>
      </c>
      <c r="AB51">
        <f>HYPERLINK("https://klasma.github.io/Logging_2513/klagomålsmail/A 35602-2025 FSC-klagomål mail.docx", "A 35602-2025")</f>
        <v/>
      </c>
      <c r="AC51">
        <f>HYPERLINK("https://klasma.github.io/Logging_2513/tillsyn/A 35602-2025 tillsynsbegäran.docx", "A 35602-2025")</f>
        <v/>
      </c>
      <c r="AD51">
        <f>HYPERLINK("https://klasma.github.io/Logging_2513/tillsynsmail/A 35602-2025 tillsynsbegäran mail.docx", "A 35602-2025")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46255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71902-2021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46255</v>
      </c>
      <c r="F53" t="inlineStr">
        <is>
          <t>NORRBOTTENS LÄN</t>
        </is>
      </c>
      <c r="G53" t="inlineStr">
        <is>
          <t>ÖVERKALIX</t>
        </is>
      </c>
      <c r="I53" t="n">
        <v>24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71902-2021 artfynd.xlsx", "A 71902-2021")</f>
        <v/>
      </c>
      <c r="X53">
        <f>HYPERLINK("https://klasma.github.io/Logging_2513/kartor/A 71902-2021 karta.png", "A 71902-2021")</f>
        <v/>
      </c>
      <c r="Y53">
        <f>HYPERLINK("https://klasma.github.io/Logging_2513/kartor_geotiff/A 71902-2021 georefererad karta.tif", "A 71902-2021")</f>
        <v/>
      </c>
      <c r="AA53">
        <f>HYPERLINK("https://klasma.github.io/Logging_2513/klagomål/A 71902-2021 FSC-klagomål.docx", "A 71902-2021")</f>
        <v/>
      </c>
      <c r="AB53">
        <f>HYPERLINK("https://klasma.github.io/Logging_2513/klagomålsmail/A 71902-2021 FSC-klagomål mail.docx", "A 71902-2021")</f>
        <v/>
      </c>
      <c r="AC53">
        <f>HYPERLINK("https://klasma.github.io/Logging_2513/tillsyn/A 71902-2021 tillsynsbegäran.docx", "A 71902-2021")</f>
        <v/>
      </c>
      <c r="AD53">
        <f>HYPERLINK("https://klasma.github.io/Logging_2513/tillsynsmail/A 71902-2021 tillsynsbegäran mail.docx", "A 71902-2021")</f>
        <v/>
      </c>
      <c r="AE53">
        <f>HYPERLINK("https://klasma.github.io/Logging_2513/fåglar/A 71902-2021 prioriterade fågelarter.docx", "A 71902-2021")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46255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Tallbit</t>
        </is>
      </c>
      <c r="W54">
        <f>HYPERLINK("https://klasma.github.io/Logging_2513/artfynd/A 8407-2025 artfynd.xlsx", "A 8407-2025")</f>
        <v/>
      </c>
      <c r="X54">
        <f>HYPERLINK("https://klasma.github.io/Logging_2513/kartor/A 8407-2025 karta.png", "A 8407-2025")</f>
        <v/>
      </c>
      <c r="Y54">
        <f>HYPERLINK("https://klasma.github.io/Logging_2513/kartor_geotiff/A 8407-2025 georefererad karta.tif", "A 8407-2025")</f>
        <v/>
      </c>
      <c r="AA54">
        <f>HYPERLINK("https://klasma.github.io/Logging_2513/klagomål/A 8407-2025 FSC-klagomål.docx", "A 8407-2025")</f>
        <v/>
      </c>
      <c r="AB54">
        <f>HYPERLINK("https://klasma.github.io/Logging_2513/klagomålsmail/A 8407-2025 FSC-klagomål mail.docx", "A 8407-2025")</f>
        <v/>
      </c>
      <c r="AC54">
        <f>HYPERLINK("https://klasma.github.io/Logging_2513/tillsyn/A 8407-2025 tillsynsbegäran.docx", "A 8407-2025")</f>
        <v/>
      </c>
      <c r="AD54">
        <f>HYPERLINK("https://klasma.github.io/Logging_2513/tillsynsmail/A 8407-2025 tillsynsbegäran mail.docx", "A 8407-2025")</f>
        <v/>
      </c>
      <c r="AE54">
        <f>HYPERLINK("https://klasma.github.io/Logging_2513/fåglar/A 8407-2025 prioriterade fågelarter.docx", "A 8407-2025")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46255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46255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46255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46255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46255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46255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26305-2025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46255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5.2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Luddlav</t>
        </is>
      </c>
      <c r="W61">
        <f>HYPERLINK("https://klasma.github.io/Logging_2513/artfynd/A 26305-2025 artfynd.xlsx", "A 26305-2025")</f>
        <v/>
      </c>
      <c r="X61">
        <f>HYPERLINK("https://klasma.github.io/Logging_2513/kartor/A 26305-2025 karta.png", "A 26305-2025")</f>
        <v/>
      </c>
      <c r="Y61">
        <f>HYPERLINK("https://klasma.github.io/Logging_2513/kartor_geotiff/A 26305-2025 georefererad karta.tif", "A 26305-2025")</f>
        <v/>
      </c>
      <c r="AA61">
        <f>HYPERLINK("https://klasma.github.io/Logging_2513/klagomål/A 26305-2025 FSC-klagomål.docx", "A 26305-2025")</f>
        <v/>
      </c>
      <c r="AB61">
        <f>HYPERLINK("https://klasma.github.io/Logging_2513/klagomålsmail/A 26305-2025 FSC-klagomål mail.docx", "A 26305-2025")</f>
        <v/>
      </c>
      <c r="AC61">
        <f>HYPERLINK("https://klasma.github.io/Logging_2513/tillsyn/A 26305-2025 tillsynsbegäran.docx", "A 26305-2025")</f>
        <v/>
      </c>
      <c r="AD61">
        <f>HYPERLINK("https://klasma.github.io/Logging_2513/tillsynsmail/A 26305-2025 tillsynsbegäran mail.docx", "A 26305-2025")</f>
        <v/>
      </c>
    </row>
    <row r="62" ht="15" customHeight="1">
      <c r="A62" t="inlineStr">
        <is>
          <t>A 27452-2025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46255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27452-2025 artfynd.xlsx", "A 27452-2025")</f>
        <v/>
      </c>
      <c r="X62">
        <f>HYPERLINK("https://klasma.github.io/Logging_2513/kartor/A 27452-2025 karta.png", "A 27452-2025")</f>
        <v/>
      </c>
      <c r="Y62">
        <f>HYPERLINK("https://klasma.github.io/Logging_2513/kartor_geotiff/A 27452-2025 georefererad karta.tif", "A 27452-2025")</f>
        <v/>
      </c>
      <c r="AA62">
        <f>HYPERLINK("https://klasma.github.io/Logging_2513/klagomål/A 27452-2025 FSC-klagomål.docx", "A 27452-2025")</f>
        <v/>
      </c>
      <c r="AB62">
        <f>HYPERLINK("https://klasma.github.io/Logging_2513/klagomålsmail/A 27452-2025 FSC-klagomål mail.docx", "A 27452-2025")</f>
        <v/>
      </c>
      <c r="AC62">
        <f>HYPERLINK("https://klasma.github.io/Logging_2513/tillsyn/A 27452-2025 tillsynsbegäran.docx", "A 27452-2025")</f>
        <v/>
      </c>
      <c r="AD62">
        <f>HYPERLINK("https://klasma.github.io/Logging_2513/tillsynsmail/A 27452-2025 tillsynsbegäran mail.docx", "A 27452-2025")</f>
        <v/>
      </c>
      <c r="AE62">
        <f>HYPERLINK("https://klasma.github.io/Logging_2513/fåglar/A 27452-2025 prioriterade fågelarter.docx", "A 27452-2025")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46255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46255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46255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46255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46255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46255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46255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46255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46255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46255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46255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47629-2021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44448</v>
      </c>
      <c r="E74" s="1" t="n">
        <v>46255</v>
      </c>
      <c r="F74" t="inlineStr">
        <is>
          <t>NORRBOTTENS LÄN</t>
        </is>
      </c>
      <c r="G74" t="inlineStr">
        <is>
          <t>ÖVERKALIX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46255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46255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44435</v>
      </c>
      <c r="E77" s="1" t="n">
        <v>46255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46255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46255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46255</v>
      </c>
      <c r="F80" t="inlineStr">
        <is>
          <t>NORRBOTTENS LÄN</t>
        </is>
      </c>
      <c r="G80" t="inlineStr">
        <is>
          <t>ÖVERKALIX</t>
        </is>
      </c>
      <c r="I80" t="n">
        <v>12.6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46255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46255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46255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46255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46255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46255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46255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46255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46255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6916-2022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44602</v>
      </c>
      <c r="E90" s="1" t="n">
        <v>46255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46255</v>
      </c>
      <c r="F91" t="inlineStr">
        <is>
          <t>NORRBOTTENS LÄN</t>
        </is>
      </c>
      <c r="G91" t="inlineStr">
        <is>
          <t>ÖVERKALIX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46255</v>
      </c>
      <c r="F92" t="inlineStr">
        <is>
          <t>NORRBOTTENS LÄN</t>
        </is>
      </c>
      <c r="G92" t="inlineStr">
        <is>
          <t>ÖVERKALIX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46255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46255</v>
      </c>
      <c r="F94" t="inlineStr">
        <is>
          <t>NORRBOTTENS LÄN</t>
        </is>
      </c>
      <c r="G94" t="inlineStr">
        <is>
          <t>ÖVERKALIX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46255</v>
      </c>
      <c r="F95" t="inlineStr">
        <is>
          <t>NORRBOTTENS LÄN</t>
        </is>
      </c>
      <c r="G95" t="inlineStr">
        <is>
          <t>ÖVERKALIX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46255</v>
      </c>
      <c r="F96" t="inlineStr">
        <is>
          <t>NORRBOTTENS LÄN</t>
        </is>
      </c>
      <c r="G96" t="inlineStr">
        <is>
          <t>ÖVERKALIX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46255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46255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46255</v>
      </c>
      <c r="F99" t="inlineStr">
        <is>
          <t>NORRBOTTENS LÄN</t>
        </is>
      </c>
      <c r="G99" t="inlineStr">
        <is>
          <t>ÖVERKALIX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46945-2021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46255</v>
      </c>
      <c r="F100" t="inlineStr">
        <is>
          <t>NORRBOTTENS LÄN</t>
        </is>
      </c>
      <c r="G100" t="inlineStr">
        <is>
          <t>ÖVERKALIX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45379</v>
      </c>
      <c r="E101" s="1" t="n">
        <v>46255</v>
      </c>
      <c r="F101" t="inlineStr">
        <is>
          <t>NORRBOTTENS LÄN</t>
        </is>
      </c>
      <c r="G101" t="inlineStr">
        <is>
          <t>ÖVERKALIX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46255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46255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46255</v>
      </c>
      <c r="F104" t="inlineStr">
        <is>
          <t>NORRBOTTENS LÄN</t>
        </is>
      </c>
      <c r="G104" t="inlineStr">
        <is>
          <t>ÖVERKALIX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46255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45075</v>
      </c>
      <c r="E106" s="1" t="n">
        <v>46255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46255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72809-2021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46255</v>
      </c>
      <c r="F108" t="inlineStr">
        <is>
          <t>NORRBOTTENS LÄN</t>
        </is>
      </c>
      <c r="G108" t="inlineStr">
        <is>
          <t>ÖVERKALIX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46255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72623-2021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46255</v>
      </c>
      <c r="F110" t="inlineStr">
        <is>
          <t>NORRBOTTENS LÄN</t>
        </is>
      </c>
      <c r="G110" t="inlineStr">
        <is>
          <t>ÖVERKALIX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46255</v>
      </c>
      <c r="F111" t="inlineStr">
        <is>
          <t>NORRBOTTENS LÄN</t>
        </is>
      </c>
      <c r="G111" t="inlineStr">
        <is>
          <t>ÖVERKALIX</t>
        </is>
      </c>
      <c r="I111" t="n">
        <v>21.7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46255</v>
      </c>
      <c r="F112" t="inlineStr">
        <is>
          <t>NORRBOTTENS LÄN</t>
        </is>
      </c>
      <c r="G112" t="inlineStr">
        <is>
          <t>ÖVERKALIX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46255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46255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46255</v>
      </c>
      <c r="F115" t="inlineStr">
        <is>
          <t>NORRBOTTENS LÄN</t>
        </is>
      </c>
      <c r="G115" t="inlineStr">
        <is>
          <t>ÖVERKALIX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46255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45460</v>
      </c>
      <c r="E117" s="1" t="n">
        <v>46255</v>
      </c>
      <c r="F117" t="inlineStr">
        <is>
          <t>NORRBOTTENS LÄN</t>
        </is>
      </c>
      <c r="G117" t="inlineStr">
        <is>
          <t>ÖVERKALIX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46255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44306-2021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44435</v>
      </c>
      <c r="E119" s="1" t="n">
        <v>46255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46255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46255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46255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46255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46255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46255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46255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46255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17.2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45518</v>
      </c>
      <c r="E128" s="1" t="n">
        <v>46255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46255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46255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46255</v>
      </c>
      <c r="F131" t="inlineStr">
        <is>
          <t>NORRBOTTENS LÄN</t>
        </is>
      </c>
      <c r="G131" t="inlineStr">
        <is>
          <t>ÖVERKALIX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46255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46255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24.4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46255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46255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46255</v>
      </c>
      <c r="F136" t="inlineStr">
        <is>
          <t>NORRBOTTENS LÄN</t>
        </is>
      </c>
      <c r="G136" t="inlineStr">
        <is>
          <t>ÖVERKALIX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46255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46255</v>
      </c>
      <c r="F138" t="inlineStr">
        <is>
          <t>NORRBOTTENS LÄN</t>
        </is>
      </c>
      <c r="G138" t="inlineStr">
        <is>
          <t>ÖVERKALIX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46255</v>
      </c>
      <c r="F139" t="inlineStr">
        <is>
          <t>NORRBOTTENS LÄN</t>
        </is>
      </c>
      <c r="G139" t="inlineStr">
        <is>
          <t>ÖVERKALIX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46255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31744-2025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45834</v>
      </c>
      <c r="E141" s="1" t="n">
        <v>46255</v>
      </c>
      <c r="F141" t="inlineStr">
        <is>
          <t>NORRBOTTENS LÄN</t>
        </is>
      </c>
      <c r="G141" t="inlineStr">
        <is>
          <t>ÖVERKALIX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46255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46255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44950</v>
      </c>
      <c r="E144" s="1" t="n">
        <v>46255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45837</v>
      </c>
      <c r="E145" s="1" t="n">
        <v>46255</v>
      </c>
      <c r="F145" t="inlineStr">
        <is>
          <t>NORRBOTTENS LÄN</t>
        </is>
      </c>
      <c r="G145" t="inlineStr">
        <is>
          <t>ÖVERKALIX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46255</v>
      </c>
      <c r="F146" t="inlineStr">
        <is>
          <t>NORRBOTTENS LÄN</t>
        </is>
      </c>
      <c r="G146" t="inlineStr">
        <is>
          <t>ÖVERKALIX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46255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46255</v>
      </c>
      <c r="F148" t="inlineStr">
        <is>
          <t>NORRBOTTENS LÄN</t>
        </is>
      </c>
      <c r="G148" t="inlineStr">
        <is>
          <t>ÖVERKALIX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46255</v>
      </c>
      <c r="F149" t="inlineStr">
        <is>
          <t>NORRBOTTENS LÄN</t>
        </is>
      </c>
      <c r="G149" t="inlineStr">
        <is>
          <t>ÖVERKALIX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46255</v>
      </c>
      <c r="F150" t="inlineStr">
        <is>
          <t>NORRBOTTENS LÄN</t>
        </is>
      </c>
      <c r="G150" t="inlineStr">
        <is>
          <t>ÖVERKALIX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46255</v>
      </c>
      <c r="F151" t="inlineStr">
        <is>
          <t>NORRBOTTENS LÄN</t>
        </is>
      </c>
      <c r="G151" t="inlineStr">
        <is>
          <t>ÖVERKALIX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46255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46255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45840</v>
      </c>
      <c r="E154" s="1" t="n">
        <v>46255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45845</v>
      </c>
      <c r="E155" s="1" t="n">
        <v>46255</v>
      </c>
      <c r="F155" t="inlineStr">
        <is>
          <t>NORRBOTTENS LÄN</t>
        </is>
      </c>
      <c r="G155" t="inlineStr">
        <is>
          <t>ÖVERKALIX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46255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46255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13.4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46255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46255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45401</v>
      </c>
      <c r="E160" s="1" t="n">
        <v>46255</v>
      </c>
      <c r="F160" t="inlineStr">
        <is>
          <t>NORRBOTTENS LÄN</t>
        </is>
      </c>
      <c r="G160" t="inlineStr">
        <is>
          <t>ÖVERKALIX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45807</v>
      </c>
      <c r="E161" s="1" t="n">
        <v>46255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37.4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46255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46255</v>
      </c>
      <c r="F163" t="inlineStr">
        <is>
          <t>NORRBOTTENS LÄN</t>
        </is>
      </c>
      <c r="G163" t="inlineStr">
        <is>
          <t>ÖVERKALIX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45870</v>
      </c>
      <c r="E164" s="1" t="n">
        <v>46255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45870</v>
      </c>
      <c r="E165" s="1" t="n">
        <v>46255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45869</v>
      </c>
      <c r="E166" s="1" t="n">
        <v>46255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46255</v>
      </c>
      <c r="F167" t="inlineStr">
        <is>
          <t>NORRBOTTENS LÄN</t>
        </is>
      </c>
      <c r="G167" t="inlineStr">
        <is>
          <t>ÖVERKALIX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46255</v>
      </c>
      <c r="F168" t="inlineStr">
        <is>
          <t>NORRBOTTENS LÄN</t>
        </is>
      </c>
      <c r="G168" t="inlineStr">
        <is>
          <t>ÖVERKALIX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46255</v>
      </c>
      <c r="F169" t="inlineStr">
        <is>
          <t>NORRBOTTENS LÄN</t>
        </is>
      </c>
      <c r="G169" t="inlineStr">
        <is>
          <t>ÖVERKALIX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46255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46255</v>
      </c>
      <c r="F171" t="inlineStr">
        <is>
          <t>NORRBOTTENS LÄN</t>
        </is>
      </c>
      <c r="G171" t="inlineStr">
        <is>
          <t>ÖVERKALIX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45076</v>
      </c>
      <c r="E172" s="1" t="n">
        <v>46255</v>
      </c>
      <c r="F172" t="inlineStr">
        <is>
          <t>NORRBOTTENS LÄN</t>
        </is>
      </c>
      <c r="G172" t="inlineStr">
        <is>
          <t>ÖVERKALIX</t>
        </is>
      </c>
      <c r="H172" t="inlineStr">
        <is>
          <t>Övriga statliga verk och myndigheter</t>
        </is>
      </c>
      <c r="I172" t="n">
        <v>38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46255</v>
      </c>
      <c r="F173" t="inlineStr">
        <is>
          <t>NORRBOTTENS LÄN</t>
        </is>
      </c>
      <c r="G173" t="inlineStr">
        <is>
          <t>ÖVERKALIX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46255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10.4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46255</v>
      </c>
      <c r="F175" t="inlineStr">
        <is>
          <t>NORRBOTTENS LÄN</t>
        </is>
      </c>
      <c r="G175" t="inlineStr">
        <is>
          <t>ÖVERKALIX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46255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45611</v>
      </c>
      <c r="E177" s="1" t="n">
        <v>46255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25.9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46255</v>
      </c>
      <c r="F178" t="inlineStr">
        <is>
          <t>NORRBOTTENS LÄN</t>
        </is>
      </c>
      <c r="G178" t="inlineStr">
        <is>
          <t>ÖVERKALIX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46255</v>
      </c>
      <c r="F179" t="inlineStr">
        <is>
          <t>NORRBOTTENS LÄN</t>
        </is>
      </c>
      <c r="G179" t="inlineStr">
        <is>
          <t>ÖVERKALIX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46255</v>
      </c>
      <c r="F180" t="inlineStr">
        <is>
          <t>NORRBOTTENS LÄN</t>
        </is>
      </c>
      <c r="G180" t="inlineStr">
        <is>
          <t>ÖVERKALIX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46255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13.4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46255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45917</v>
      </c>
      <c r="E183" s="1" t="n">
        <v>46255</v>
      </c>
      <c r="F183" t="inlineStr">
        <is>
          <t>NORRBOTTENS LÄN</t>
        </is>
      </c>
      <c r="G183" t="inlineStr">
        <is>
          <t>ÖVERKALIX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46255</v>
      </c>
      <c r="F184" t="inlineStr">
        <is>
          <t>NORRBOTTENS LÄN</t>
        </is>
      </c>
      <c r="G184" t="inlineStr">
        <is>
          <t>ÖVERKALIX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45535-2025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45922</v>
      </c>
      <c r="E185" s="1" t="n">
        <v>46255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46255</v>
      </c>
      <c r="F186" t="inlineStr">
        <is>
          <t>NORRBOTTENS LÄN</t>
        </is>
      </c>
      <c r="G186" t="inlineStr">
        <is>
          <t>ÖVERKALIX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46255</v>
      </c>
      <c r="F187" t="inlineStr">
        <is>
          <t>NORRBOTTENS LÄN</t>
        </is>
      </c>
      <c r="G187" t="inlineStr">
        <is>
          <t>ÖVERKALIX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46255</v>
      </c>
      <c r="F188" t="inlineStr">
        <is>
          <t>NORRBOTTENS LÄN</t>
        </is>
      </c>
      <c r="G188" t="inlineStr">
        <is>
          <t>ÖVERKALIX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45818</v>
      </c>
      <c r="E189" s="1" t="n">
        <v>46255</v>
      </c>
      <c r="F189" t="inlineStr">
        <is>
          <t>NORRBOTTENS LÄN</t>
        </is>
      </c>
      <c r="G189" t="inlineStr">
        <is>
          <t>ÖVERKALIX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46255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46255</v>
      </c>
      <c r="F191" t="inlineStr">
        <is>
          <t>NORRBOTTENS LÄN</t>
        </is>
      </c>
      <c r="G191" t="inlineStr">
        <is>
          <t>ÖVERKALIX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46255</v>
      </c>
      <c r="F192" t="inlineStr">
        <is>
          <t>NORRBOTTENS LÄN</t>
        </is>
      </c>
      <c r="G192" t="inlineStr">
        <is>
          <t>ÖVERKALIX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45611</v>
      </c>
      <c r="E193" s="1" t="n">
        <v>46255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46080</v>
      </c>
      <c r="E194" s="1" t="n">
        <v>46255</v>
      </c>
      <c r="F194" t="inlineStr">
        <is>
          <t>NORRBOTTENS LÄN</t>
        </is>
      </c>
      <c r="G194" t="inlineStr">
        <is>
          <t>ÖVERKALIX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45699</v>
      </c>
      <c r="E195" s="1" t="n">
        <v>46255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46255</v>
      </c>
      <c r="F196" t="inlineStr">
        <is>
          <t>NORRBOTTENS LÄN</t>
        </is>
      </c>
      <c r="G196" t="inlineStr">
        <is>
          <t>ÖVERKALIX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46255</v>
      </c>
      <c r="F197" t="inlineStr">
        <is>
          <t>NORRBOTTENS LÄN</t>
        </is>
      </c>
      <c r="G197" t="inlineStr">
        <is>
          <t>ÖVERKALIX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46255</v>
      </c>
      <c r="F198" t="inlineStr">
        <is>
          <t>NORRBOTTENS LÄN</t>
        </is>
      </c>
      <c r="G198" t="inlineStr">
        <is>
          <t>ÖVERKALIX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46255</v>
      </c>
      <c r="F199" t="inlineStr">
        <is>
          <t>NORRBOTTENS LÄN</t>
        </is>
      </c>
      <c r="G199" t="inlineStr">
        <is>
          <t>ÖVERKALIX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46255</v>
      </c>
      <c r="F200" t="inlineStr">
        <is>
          <t>NORRBOTTENS LÄN</t>
        </is>
      </c>
      <c r="G200" t="inlineStr">
        <is>
          <t>ÖVERKALIX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46255</v>
      </c>
      <c r="F201" t="inlineStr">
        <is>
          <t>NORRBOTTENS LÄN</t>
        </is>
      </c>
      <c r="G201" t="inlineStr">
        <is>
          <t>ÖVERKALIX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46255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46255</v>
      </c>
      <c r="F203" t="inlineStr">
        <is>
          <t>NORRBOTTENS LÄN</t>
        </is>
      </c>
      <c r="G203" t="inlineStr">
        <is>
          <t>ÖVERKALIX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46255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28.8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46255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46255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46255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46255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46255</v>
      </c>
      <c r="F209" t="inlineStr">
        <is>
          <t>NORRBOTTENS LÄN</t>
        </is>
      </c>
      <c r="G209" t="inlineStr">
        <is>
          <t>ÖVERKALIX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46255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45947</v>
      </c>
      <c r="E211" s="1" t="n">
        <v>46255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45949</v>
      </c>
      <c r="E212" s="1" t="n">
        <v>46255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48577-2023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45208</v>
      </c>
      <c r="E213" s="1" t="n">
        <v>46255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51634-2025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45951</v>
      </c>
      <c r="E214" s="1" t="n">
        <v>46255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46255</v>
      </c>
      <c r="F215" t="inlineStr">
        <is>
          <t>NORRBOTTENS LÄN</t>
        </is>
      </c>
      <c r="G215" t="inlineStr">
        <is>
          <t>ÖVERKALIX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52591-2025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45954</v>
      </c>
      <c r="E216" s="1" t="n">
        <v>46255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45691</v>
      </c>
      <c r="E217" s="1" t="n">
        <v>46255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46255</v>
      </c>
      <c r="F218" t="inlineStr">
        <is>
          <t>NORRBOTTENS LÄN</t>
        </is>
      </c>
      <c r="G218" t="inlineStr">
        <is>
          <t>ÖVERKALIX</t>
        </is>
      </c>
      <c r="I218" t="n">
        <v>12.5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46255</v>
      </c>
      <c r="F219" t="inlineStr">
        <is>
          <t>NORRBOTTENS LÄN</t>
        </is>
      </c>
      <c r="G219" t="inlineStr">
        <is>
          <t>ÖVERKALIX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46255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46255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44433</v>
      </c>
      <c r="E222" s="1" t="n">
        <v>46255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46255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46255</v>
      </c>
      <c r="F224" t="inlineStr">
        <is>
          <t>NORRBOTTENS LÄN</t>
        </is>
      </c>
      <c r="G224" t="inlineStr">
        <is>
          <t>ÖVERKALIX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46255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54143-2021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46255</v>
      </c>
      <c r="F226" t="inlineStr">
        <is>
          <t>NORRBOTTENS LÄN</t>
        </is>
      </c>
      <c r="G226" t="inlineStr">
        <is>
          <t>ÖVERKALIX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44890</v>
      </c>
      <c r="E227" s="1" t="n">
        <v>46255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57744-2025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45981</v>
      </c>
      <c r="E228" s="1" t="n">
        <v>46255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46255</v>
      </c>
      <c r="F229" t="inlineStr">
        <is>
          <t>NORRBOTTENS LÄN</t>
        </is>
      </c>
      <c r="G229" t="inlineStr">
        <is>
          <t>ÖVERKALIX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46255</v>
      </c>
      <c r="F230" t="inlineStr">
        <is>
          <t>NORRBOTTENS LÄN</t>
        </is>
      </c>
      <c r="G230" t="inlineStr">
        <is>
          <t>ÖVERKALIX</t>
        </is>
      </c>
      <c r="I230" t="n">
        <v>9.300000000000001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46255</v>
      </c>
      <c r="F231" t="inlineStr">
        <is>
          <t>NORRBOTTENS LÄN</t>
        </is>
      </c>
      <c r="G231" t="inlineStr">
        <is>
          <t>ÖVERKALIX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46255</v>
      </c>
      <c r="F232" t="inlineStr">
        <is>
          <t>NORRBOTTENS LÄN</t>
        </is>
      </c>
      <c r="G232" t="inlineStr">
        <is>
          <t>ÖVERKALIX</t>
        </is>
      </c>
      <c r="I232" t="n">
        <v>16.1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46104</v>
      </c>
      <c r="E233" s="1" t="n">
        <v>46255</v>
      </c>
      <c r="F233" t="inlineStr">
        <is>
          <t>NORRBOTTENS LÄN</t>
        </is>
      </c>
      <c r="G233" t="inlineStr">
        <is>
          <t>ÖVERKALIX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45315</v>
      </c>
      <c r="E234" s="1" t="n">
        <v>46255</v>
      </c>
      <c r="F234" t="inlineStr">
        <is>
          <t>NORRBOTTENS LÄN</t>
        </is>
      </c>
      <c r="G234" t="inlineStr">
        <is>
          <t>ÖVERKALIX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46255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22.8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46255</v>
      </c>
      <c r="F236" t="inlineStr">
        <is>
          <t>NORRBOTTENS LÄN</t>
        </is>
      </c>
      <c r="G236" t="inlineStr">
        <is>
          <t>ÖVERKALIX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46255</v>
      </c>
      <c r="F237" t="inlineStr">
        <is>
          <t>NORRBOTTENS LÄN</t>
        </is>
      </c>
      <c r="G237" t="inlineStr">
        <is>
          <t>ÖVERKALIX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46255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44820</v>
      </c>
      <c r="E239" s="1" t="n">
        <v>46255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46255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46255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46255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45993</v>
      </c>
      <c r="E243" s="1" t="n">
        <v>46255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46255</v>
      </c>
      <c r="F244" t="inlineStr">
        <is>
          <t>NORRBOTTENS LÄN</t>
        </is>
      </c>
      <c r="G244" t="inlineStr">
        <is>
          <t>ÖVERKALIX</t>
        </is>
      </c>
      <c r="I244" t="n">
        <v>9.5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46255</v>
      </c>
      <c r="F245" t="inlineStr">
        <is>
          <t>NORRBOTTENS LÄN</t>
        </is>
      </c>
      <c r="G245" t="inlineStr">
        <is>
          <t>ÖVERKALIX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46255</v>
      </c>
      <c r="F246" t="inlineStr">
        <is>
          <t>NORRBOTTENS LÄN</t>
        </is>
      </c>
      <c r="G246" t="inlineStr">
        <is>
          <t>ÖVERKALIX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46255</v>
      </c>
      <c r="F247" t="inlineStr">
        <is>
          <t>NORRBOTTENS LÄN</t>
        </is>
      </c>
      <c r="G247" t="inlineStr">
        <is>
          <t>ÖVERKALIX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46255</v>
      </c>
      <c r="F248" t="inlineStr">
        <is>
          <t>NORRBOTTENS LÄN</t>
        </is>
      </c>
      <c r="G248" t="inlineStr">
        <is>
          <t>ÖVERKALIX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46255</v>
      </c>
      <c r="F249" t="inlineStr">
        <is>
          <t>NORRBOTTENS LÄN</t>
        </is>
      </c>
      <c r="G249" t="inlineStr">
        <is>
          <t>ÖVERKALIX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46255</v>
      </c>
      <c r="F250" t="inlineStr">
        <is>
          <t>NORRBOTTENS LÄN</t>
        </is>
      </c>
      <c r="G250" t="inlineStr">
        <is>
          <t>ÖVERKALIX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46255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46255</v>
      </c>
      <c r="F252" t="inlineStr">
        <is>
          <t>NORRBOTTENS LÄN</t>
        </is>
      </c>
      <c r="G252" t="inlineStr">
        <is>
          <t>ÖVERKALIX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46002</v>
      </c>
      <c r="E253" s="1" t="n">
        <v>46255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46255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46255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46255</v>
      </c>
      <c r="F256" t="inlineStr">
        <is>
          <t>NORRBOTTENS LÄN</t>
        </is>
      </c>
      <c r="G256" t="inlineStr">
        <is>
          <t>ÖVERKALIX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73216-2021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44547</v>
      </c>
      <c r="E257" s="1" t="n">
        <v>46255</v>
      </c>
      <c r="F257" t="inlineStr">
        <is>
          <t>NORRBOTTENS LÄN</t>
        </is>
      </c>
      <c r="G257" t="inlineStr">
        <is>
          <t>ÖVERKALIX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46255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46255</v>
      </c>
      <c r="F259" t="inlineStr">
        <is>
          <t>NORRBOTTENS LÄN</t>
        </is>
      </c>
      <c r="G259" t="inlineStr">
        <is>
          <t>ÖVERKALIX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46255</v>
      </c>
      <c r="F260" t="inlineStr">
        <is>
          <t>NORRBOTTENS LÄN</t>
        </is>
      </c>
      <c r="G260" t="inlineStr">
        <is>
          <t>ÖVERKALIX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46255</v>
      </c>
      <c r="F261" t="inlineStr">
        <is>
          <t>NORRBOTTENS LÄN</t>
        </is>
      </c>
      <c r="G261" t="inlineStr">
        <is>
          <t>ÖVERKALIX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46255</v>
      </c>
      <c r="F262" t="inlineStr">
        <is>
          <t>NORRBOTTENS LÄN</t>
        </is>
      </c>
      <c r="G262" t="inlineStr">
        <is>
          <t>ÖVERKALIX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46255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46255</v>
      </c>
      <c r="F264" t="inlineStr">
        <is>
          <t>NORRBOTTENS LÄN</t>
        </is>
      </c>
      <c r="G264" t="inlineStr">
        <is>
          <t>ÖVERKALIX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46255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46255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46255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46255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46255</v>
      </c>
      <c r="F269" t="inlineStr">
        <is>
          <t>NORRBOTTENS LÄN</t>
        </is>
      </c>
      <c r="G269" t="inlineStr">
        <is>
          <t>ÖVERKALIX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46255</v>
      </c>
      <c r="F270" t="inlineStr">
        <is>
          <t>NORRBOTTENS LÄN</t>
        </is>
      </c>
      <c r="G270" t="inlineStr">
        <is>
          <t>ÖVERKALIX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46255</v>
      </c>
      <c r="F271" t="inlineStr">
        <is>
          <t>NORRBOTTENS LÄN</t>
        </is>
      </c>
      <c r="G271" t="inlineStr">
        <is>
          <t>ÖVERKALIX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46255</v>
      </c>
      <c r="F272" t="inlineStr">
        <is>
          <t>NORRBOTTENS LÄN</t>
        </is>
      </c>
      <c r="G272" t="inlineStr">
        <is>
          <t>ÖVERKALIX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46255</v>
      </c>
      <c r="F273" t="inlineStr">
        <is>
          <t>NORRBOTTENS LÄN</t>
        </is>
      </c>
      <c r="G273" t="inlineStr">
        <is>
          <t>ÖVERKALIX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26366-2024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46255</v>
      </c>
      <c r="F274" t="inlineStr">
        <is>
          <t>NORRBOTTENS LÄN</t>
        </is>
      </c>
      <c r="G274" t="inlineStr">
        <is>
          <t>ÖVERKALIX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46255</v>
      </c>
      <c r="F275" t="inlineStr">
        <is>
          <t>NORRBOTTENS LÄN</t>
        </is>
      </c>
      <c r="G275" t="inlineStr">
        <is>
          <t>ÖVERKALIX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46255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46255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45460</v>
      </c>
      <c r="E278" s="1" t="n">
        <v>46255</v>
      </c>
      <c r="F278" t="inlineStr">
        <is>
          <t>NORRBOTTENS LÄN</t>
        </is>
      </c>
      <c r="G278" t="inlineStr">
        <is>
          <t>ÖVERKALIX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46255</v>
      </c>
      <c r="F279" t="inlineStr">
        <is>
          <t>NORRBOTTENS LÄN</t>
        </is>
      </c>
      <c r="G279" t="inlineStr">
        <is>
          <t>ÖVERKALIX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46255</v>
      </c>
      <c r="F280" t="inlineStr">
        <is>
          <t>NORRBOTTENS LÄN</t>
        </is>
      </c>
      <c r="G280" t="inlineStr">
        <is>
          <t>ÖVERKALIX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46255</v>
      </c>
      <c r="F281" t="inlineStr">
        <is>
          <t>NORRBOTTENS LÄN</t>
        </is>
      </c>
      <c r="G281" t="inlineStr">
        <is>
          <t>ÖVERKALIX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46255</v>
      </c>
      <c r="F282" t="inlineStr">
        <is>
          <t>NORRBOTTENS LÄN</t>
        </is>
      </c>
      <c r="G282" t="inlineStr">
        <is>
          <t>ÖVERKALIX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46255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46255</v>
      </c>
      <c r="F284" t="inlineStr">
        <is>
          <t>NORRBOTTENS LÄN</t>
        </is>
      </c>
      <c r="G284" t="inlineStr">
        <is>
          <t>ÖVERKALIX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46255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45133</v>
      </c>
      <c r="E286" s="1" t="n">
        <v>46255</v>
      </c>
      <c r="F286" t="inlineStr">
        <is>
          <t>NORRBOTTENS LÄN</t>
        </is>
      </c>
      <c r="G286" t="inlineStr">
        <is>
          <t>ÖVERKALIX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19410-2026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46255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46255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46255</v>
      </c>
      <c r="F289" t="inlineStr">
        <is>
          <t>NORRBOTTENS LÄN</t>
        </is>
      </c>
      <c r="G289" t="inlineStr">
        <is>
          <t>ÖVERKALIX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46255</v>
      </c>
      <c r="F290" t="inlineStr">
        <is>
          <t>NORRBOTTENS LÄN</t>
        </is>
      </c>
      <c r="G290" t="inlineStr">
        <is>
          <t>ÖVERKALIX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46255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45588</v>
      </c>
      <c r="E292" s="1" t="n">
        <v>46255</v>
      </c>
      <c r="F292" t="inlineStr">
        <is>
          <t>NORRBOTTENS LÄN</t>
        </is>
      </c>
      <c r="G292" t="inlineStr">
        <is>
          <t>ÖVERKALIX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45540</v>
      </c>
      <c r="E293" s="1" t="n">
        <v>46255</v>
      </c>
      <c r="F293" t="inlineStr">
        <is>
          <t>NORRBOTTENS LÄN</t>
        </is>
      </c>
      <c r="G293" t="inlineStr">
        <is>
          <t>ÖVERKALIX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45070</v>
      </c>
      <c r="E294" s="1" t="n">
        <v>46255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46255</v>
      </c>
      <c r="F295" t="inlineStr">
        <is>
          <t>NORRBOTTENS LÄN</t>
        </is>
      </c>
      <c r="G295" t="inlineStr">
        <is>
          <t>ÖVERKALIX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46255</v>
      </c>
      <c r="F296" t="inlineStr">
        <is>
          <t>NORRBOTTENS LÄN</t>
        </is>
      </c>
      <c r="G296" t="inlineStr">
        <is>
          <t>ÖVERKALIX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72364-2021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44543</v>
      </c>
      <c r="E297" s="1" t="n">
        <v>46255</v>
      </c>
      <c r="F297" t="inlineStr">
        <is>
          <t>NORRBOTTENS LÄN</t>
        </is>
      </c>
      <c r="G297" t="inlineStr">
        <is>
          <t>ÖVERKALIX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5653-2022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44595</v>
      </c>
      <c r="E298" s="1" t="n">
        <v>46255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46255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46059</v>
      </c>
      <c r="E300" s="1" t="n">
        <v>46255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32477-2024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45513</v>
      </c>
      <c r="E301" s="1" t="n">
        <v>46255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46255</v>
      </c>
      <c r="F302" t="inlineStr">
        <is>
          <t>NORRBOTTENS LÄN</t>
        </is>
      </c>
      <c r="G302" t="inlineStr">
        <is>
          <t>ÖVERKALIX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44603</v>
      </c>
      <c r="E303" s="1" t="n">
        <v>46255</v>
      </c>
      <c r="F303" t="inlineStr">
        <is>
          <t>NORRBOTTENS LÄN</t>
        </is>
      </c>
      <c r="G303" t="inlineStr">
        <is>
          <t>ÖVERKALIX</t>
        </is>
      </c>
      <c r="H303" t="inlineStr">
        <is>
          <t>Övriga statliga verk och myndigheter</t>
        </is>
      </c>
      <c r="I303" t="n">
        <v>10.3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45909</v>
      </c>
      <c r="E304" s="1" t="n">
        <v>46255</v>
      </c>
      <c r="F304" t="inlineStr">
        <is>
          <t>NORRBOTTENS LÄN</t>
        </is>
      </c>
      <c r="G304" t="inlineStr">
        <is>
          <t>ÖVERKALIX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46255</v>
      </c>
      <c r="F305" t="inlineStr">
        <is>
          <t>NORRBOTTENS LÄN</t>
        </is>
      </c>
      <c r="G305" t="inlineStr">
        <is>
          <t>ÖVERKALIX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45440</v>
      </c>
      <c r="E306" s="1" t="n">
        <v>46255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46255</v>
      </c>
      <c r="F307" t="inlineStr">
        <is>
          <t>NORRBOTTENS LÄN</t>
        </is>
      </c>
      <c r="G307" t="inlineStr">
        <is>
          <t>ÖVERKALIX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46255</v>
      </c>
      <c r="F308" t="inlineStr">
        <is>
          <t>NORRBOTTENS LÄN</t>
        </is>
      </c>
      <c r="G308" t="inlineStr">
        <is>
          <t>ÖVERKALIX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46255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46255</v>
      </c>
      <c r="F310" t="inlineStr">
        <is>
          <t>NORRBOTTENS LÄN</t>
        </is>
      </c>
      <c r="G310" t="inlineStr">
        <is>
          <t>ÖVERKALIX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15301-2022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46255</v>
      </c>
      <c r="F311" t="inlineStr">
        <is>
          <t>NORRBOTTENS LÄN</t>
        </is>
      </c>
      <c r="G311" t="inlineStr">
        <is>
          <t>ÖVERKALIX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46255</v>
      </c>
      <c r="F312" t="inlineStr">
        <is>
          <t>NORRBOTTENS LÄN</t>
        </is>
      </c>
      <c r="G312" t="inlineStr">
        <is>
          <t>ÖVERKALIX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46255</v>
      </c>
      <c r="F313" t="inlineStr">
        <is>
          <t>NORRBOTTENS LÄN</t>
        </is>
      </c>
      <c r="G313" t="inlineStr">
        <is>
          <t>ÖVERKALIX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46255</v>
      </c>
      <c r="F314" t="inlineStr">
        <is>
          <t>NORRBOTTENS LÄN</t>
        </is>
      </c>
      <c r="G314" t="inlineStr">
        <is>
          <t>ÖVERKALIX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46255</v>
      </c>
      <c r="F315" t="inlineStr">
        <is>
          <t>NORRBOTTENS LÄN</t>
        </is>
      </c>
      <c r="G315" t="inlineStr">
        <is>
          <t>ÖVERKALIX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45621</v>
      </c>
      <c r="E316" s="1" t="n">
        <v>46255</v>
      </c>
      <c r="F316" t="inlineStr">
        <is>
          <t>NORRBOTTENS LÄN</t>
        </is>
      </c>
      <c r="G316" t="inlineStr">
        <is>
          <t>ÖVERKALIX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13717-2022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44648</v>
      </c>
      <c r="E317" s="1" t="n">
        <v>46255</v>
      </c>
      <c r="F317" t="inlineStr">
        <is>
          <t>NORRBOTTENS LÄN</t>
        </is>
      </c>
      <c r="G317" t="inlineStr">
        <is>
          <t>ÖVERKALIX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41830-2024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46255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46255</v>
      </c>
      <c r="F319" t="inlineStr">
        <is>
          <t>NORRBOTTENS LÄN</t>
        </is>
      </c>
      <c r="G319" t="inlineStr">
        <is>
          <t>ÖVERKALIX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46255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46255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46255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46255</v>
      </c>
      <c r="F323" t="inlineStr">
        <is>
          <t>NORRBOTTENS LÄN</t>
        </is>
      </c>
      <c r="G323" t="inlineStr">
        <is>
          <t>ÖVERKALIX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58764-2023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45251</v>
      </c>
      <c r="E324" s="1" t="n">
        <v>46255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45463</v>
      </c>
      <c r="E325" s="1" t="n">
        <v>46255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45693</v>
      </c>
      <c r="E326" s="1" t="n">
        <v>46255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46255</v>
      </c>
      <c r="F327" t="inlineStr">
        <is>
          <t>NORRBOTTENS LÄN</t>
        </is>
      </c>
      <c r="G327" t="inlineStr">
        <is>
          <t>ÖVERKALIX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46255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46255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46255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46148</v>
      </c>
      <c r="E331" s="1" t="n">
        <v>46255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21411-2026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46255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46148</v>
      </c>
      <c r="E333" s="1" t="n">
        <v>46255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46148</v>
      </c>
      <c r="E334" s="1" t="n">
        <v>46255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21422-2026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46148</v>
      </c>
      <c r="E335" s="1" t="n">
        <v>46255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11.5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46148</v>
      </c>
      <c r="E336" s="1" t="n">
        <v>46255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18.8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46255</v>
      </c>
      <c r="F337" t="inlineStr">
        <is>
          <t>NORRBOTTENS LÄN</t>
        </is>
      </c>
      <c r="G337" t="inlineStr">
        <is>
          <t>ÖVERKALIX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64524-2023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45281</v>
      </c>
      <c r="E338" s="1" t="n">
        <v>46255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46255</v>
      </c>
      <c r="F339" t="inlineStr">
        <is>
          <t>NORRBOTTENS LÄN</t>
        </is>
      </c>
      <c r="G339" t="inlineStr">
        <is>
          <t>ÖVERKALIX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46255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23.2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46255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26554-2023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45092</v>
      </c>
      <c r="E342" s="1" t="n">
        <v>46255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46255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46255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46255</v>
      </c>
      <c r="F345" t="inlineStr">
        <is>
          <t>NORRBOTTENS LÄN</t>
        </is>
      </c>
      <c r="G345" t="inlineStr">
        <is>
          <t>ÖVERKALIX</t>
        </is>
      </c>
      <c r="I345" t="n">
        <v>10.6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46255</v>
      </c>
      <c r="F346" t="inlineStr">
        <is>
          <t>NORRBOTTENS LÄN</t>
        </is>
      </c>
      <c r="G346" t="inlineStr">
        <is>
          <t>ÖVERKALIX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1944-2022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44575</v>
      </c>
      <c r="E347" s="1" t="n">
        <v>46255</v>
      </c>
      <c r="F347" t="inlineStr">
        <is>
          <t>NORRBOTTENS LÄN</t>
        </is>
      </c>
      <c r="G347" t="inlineStr">
        <is>
          <t>ÖVERKALIX</t>
        </is>
      </c>
      <c r="I347" t="n">
        <v>10.4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45693</v>
      </c>
      <c r="E348" s="1" t="n">
        <v>46255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58038-2024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45631</v>
      </c>
      <c r="E349" s="1" t="n">
        <v>46255</v>
      </c>
      <c r="F349" t="inlineStr">
        <is>
          <t>NORRBOTTENS LÄN</t>
        </is>
      </c>
      <c r="G349" t="inlineStr">
        <is>
          <t>ÖVERKALIX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46255</v>
      </c>
      <c r="F350" t="inlineStr">
        <is>
          <t>NORRBOTTENS LÄN</t>
        </is>
      </c>
      <c r="G350" t="inlineStr">
        <is>
          <t>ÖVERKALIX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46255</v>
      </c>
      <c r="F351" t="inlineStr">
        <is>
          <t>NORRBOTTENS LÄN</t>
        </is>
      </c>
      <c r="G351" t="inlineStr">
        <is>
          <t>ÖVERKALIX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45548</v>
      </c>
      <c r="E352" s="1" t="n">
        <v>46255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46255</v>
      </c>
      <c r="F353" t="inlineStr">
        <is>
          <t>NORRBOTTENS LÄN</t>
        </is>
      </c>
      <c r="G353" t="inlineStr">
        <is>
          <t>ÖVERKALIX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72212-2021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44543</v>
      </c>
      <c r="E354" s="1" t="n">
        <v>46255</v>
      </c>
      <c r="F354" t="inlineStr">
        <is>
          <t>NORRBOTTENS LÄN</t>
        </is>
      </c>
      <c r="G354" t="inlineStr">
        <is>
          <t>ÖVERKALIX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46255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9.9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46255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51354-2025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46255</v>
      </c>
      <c r="F357" t="inlineStr">
        <is>
          <t>NORRBOTTENS LÄN</t>
        </is>
      </c>
      <c r="G357" t="inlineStr">
        <is>
          <t>ÖVERKALIX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46255</v>
      </c>
      <c r="F358" t="inlineStr">
        <is>
          <t>NORRBOTTENS LÄN</t>
        </is>
      </c>
      <c r="G358" t="inlineStr">
        <is>
          <t>ÖVERKALIX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45471</v>
      </c>
      <c r="E359" s="1" t="n">
        <v>46255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27057-2024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45471</v>
      </c>
      <c r="E360" s="1" t="n">
        <v>46255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32.6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28372-2025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45818</v>
      </c>
      <c r="E361" s="1" t="n">
        <v>46255</v>
      </c>
      <c r="F361" t="inlineStr">
        <is>
          <t>NORRBOTTENS LÄN</t>
        </is>
      </c>
      <c r="G361" t="inlineStr">
        <is>
          <t>ÖVERKALIX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46255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46255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46255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46255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46255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46255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46255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18.6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46255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44880</v>
      </c>
      <c r="E370" s="1" t="n">
        <v>46255</v>
      </c>
      <c r="F370" t="inlineStr">
        <is>
          <t>NORRBOTTENS LÄN</t>
        </is>
      </c>
      <c r="G370" t="inlineStr">
        <is>
          <t>ÖVERKALIX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46255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42407-2022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44830</v>
      </c>
      <c r="E372" s="1" t="n">
        <v>46255</v>
      </c>
      <c r="F372" t="inlineStr">
        <is>
          <t>NORRBOTTENS LÄN</t>
        </is>
      </c>
      <c r="G372" t="inlineStr">
        <is>
          <t>ÖVERKALIX</t>
        </is>
      </c>
      <c r="I372" t="n">
        <v>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46255</v>
      </c>
      <c r="F373" t="inlineStr">
        <is>
          <t>NORRBOTTENS LÄN</t>
        </is>
      </c>
      <c r="G373" t="inlineStr">
        <is>
          <t>ÖVERKALIX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44960</v>
      </c>
      <c r="E374" s="1" t="n">
        <v>46255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46255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46255</v>
      </c>
      <c r="F376" t="inlineStr">
        <is>
          <t>NORRBOTTENS LÄN</t>
        </is>
      </c>
      <c r="G376" t="inlineStr">
        <is>
          <t>ÖVERKALIX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46255</v>
      </c>
      <c r="F377" t="inlineStr">
        <is>
          <t>NORRBOTTENS LÄN</t>
        </is>
      </c>
      <c r="G377" t="inlineStr">
        <is>
          <t>ÖVERKALIX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46255</v>
      </c>
      <c r="F378" t="inlineStr">
        <is>
          <t>NORRBOTTENS LÄN</t>
        </is>
      </c>
      <c r="G378" t="inlineStr">
        <is>
          <t>ÖVERKALIX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46255</v>
      </c>
      <c r="F379" t="inlineStr">
        <is>
          <t>NORRBOTTENS LÄN</t>
        </is>
      </c>
      <c r="G379" t="inlineStr">
        <is>
          <t>ÖVERKALIX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46255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46255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45363</v>
      </c>
      <c r="E382" s="1" t="n">
        <v>46255</v>
      </c>
      <c r="F382" t="inlineStr">
        <is>
          <t>NORRBOTTENS LÄN</t>
        </is>
      </c>
      <c r="G382" t="inlineStr">
        <is>
          <t>ÖVERKALIX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45603</v>
      </c>
      <c r="E383" s="1" t="n">
        <v>46255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44834</v>
      </c>
      <c r="E384" s="1" t="n">
        <v>46255</v>
      </c>
      <c r="F384" t="inlineStr">
        <is>
          <t>NORRBOTTENS LÄN</t>
        </is>
      </c>
      <c r="G384" t="inlineStr">
        <is>
          <t>ÖVERKALIX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30881-2024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45498</v>
      </c>
      <c r="E385" s="1" t="n">
        <v>46255</v>
      </c>
      <c r="F385" t="inlineStr">
        <is>
          <t>NORRBOTTENS LÄN</t>
        </is>
      </c>
      <c r="G385" t="inlineStr">
        <is>
          <t>ÖVERKALIX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46255</v>
      </c>
      <c r="F386" t="inlineStr">
        <is>
          <t>NORRBOTTENS LÄN</t>
        </is>
      </c>
      <c r="G386" t="inlineStr">
        <is>
          <t>ÖVERKALIX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46255</v>
      </c>
      <c r="F387" t="inlineStr">
        <is>
          <t>NORRBOTTENS LÄN</t>
        </is>
      </c>
      <c r="G387" t="inlineStr">
        <is>
          <t>ÖVERKALIX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46255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46255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46255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62269-2021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46255</v>
      </c>
      <c r="F391" t="inlineStr">
        <is>
          <t>NORRBOTTENS LÄN</t>
        </is>
      </c>
      <c r="G391" t="inlineStr">
        <is>
          <t>ÖVERKALIX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46255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13.8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46255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46225</v>
      </c>
      <c r="E394" s="1" t="n">
        <v>46255</v>
      </c>
      <c r="F394" t="inlineStr">
        <is>
          <t>NORRBOTTENS LÄN</t>
        </is>
      </c>
      <c r="G394" t="inlineStr">
        <is>
          <t>ÖVERKALIX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45005</v>
      </c>
      <c r="E395" s="1" t="n">
        <v>46255</v>
      </c>
      <c r="F395" t="inlineStr">
        <is>
          <t>NORRBOTTENS LÄN</t>
        </is>
      </c>
      <c r="G395" t="inlineStr">
        <is>
          <t>ÖVERKALIX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36839-2023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45153</v>
      </c>
      <c r="E396" s="1" t="n">
        <v>46255</v>
      </c>
      <c r="F396" t="inlineStr">
        <is>
          <t>NORRBOTTENS LÄN</t>
        </is>
      </c>
      <c r="G396" t="inlineStr">
        <is>
          <t>ÖVERKALIX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46255</v>
      </c>
      <c r="F397" t="inlineStr">
        <is>
          <t>NORRBOTTENS LÄN</t>
        </is>
      </c>
      <c r="G397" t="inlineStr">
        <is>
          <t>ÖVERKALIX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31832-2026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46230</v>
      </c>
      <c r="E398" s="1" t="n">
        <v>46255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46187</v>
      </c>
      <c r="E399" s="1" t="n">
        <v>46255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44601</v>
      </c>
      <c r="E400" s="1" t="n">
        <v>46255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46255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44973</v>
      </c>
      <c r="E402" s="1" t="n">
        <v>46255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46255</v>
      </c>
      <c r="F403" t="inlineStr">
        <is>
          <t>NORRBOTTENS LÄN</t>
        </is>
      </c>
      <c r="G403" t="inlineStr">
        <is>
          <t>ÖVERKALIX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45692</v>
      </c>
      <c r="E404" s="1" t="n">
        <v>46255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10.1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45513</v>
      </c>
      <c r="E405" s="1" t="n">
        <v>46255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44910</v>
      </c>
      <c r="E406" s="1" t="n">
        <v>46255</v>
      </c>
      <c r="F406" t="inlineStr">
        <is>
          <t>NORRBOTTENS LÄN</t>
        </is>
      </c>
      <c r="G406" t="inlineStr">
        <is>
          <t>ÖVERKALIX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45641</v>
      </c>
      <c r="E407" s="1" t="n">
        <v>46255</v>
      </c>
      <c r="F407" t="inlineStr">
        <is>
          <t>NORRBOTTENS LÄN</t>
        </is>
      </c>
      <c r="G407" t="inlineStr">
        <is>
          <t>ÖVERKALIX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46255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46255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46255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45621</v>
      </c>
      <c r="E411" s="1" t="n">
        <v>46255</v>
      </c>
      <c r="F411" t="inlineStr">
        <is>
          <t>NORRBOTTENS LÄN</t>
        </is>
      </c>
      <c r="G411" t="inlineStr">
        <is>
          <t>ÖVERKALIX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28210-2026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46196</v>
      </c>
      <c r="E412" s="1" t="n">
        <v>46255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46255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46255</v>
      </c>
      <c r="F414" t="inlineStr">
        <is>
          <t>NORRBOTTENS LÄN</t>
        </is>
      </c>
      <c r="G414" t="inlineStr">
        <is>
          <t>ÖVERKALIX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46255</v>
      </c>
      <c r="F415" t="inlineStr">
        <is>
          <t>NORRBOTTENS LÄN</t>
        </is>
      </c>
      <c r="G415" t="inlineStr">
        <is>
          <t>ÖVERKALIX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46255</v>
      </c>
      <c r="F416" t="inlineStr">
        <is>
          <t>NORRBOTTENS LÄN</t>
        </is>
      </c>
      <c r="G416" t="inlineStr">
        <is>
          <t>ÖVERKALIX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46255</v>
      </c>
      <c r="F417" t="inlineStr">
        <is>
          <t>NORRBOTTENS LÄN</t>
        </is>
      </c>
      <c r="G417" t="inlineStr">
        <is>
          <t>ÖVERKALIX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46255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28641-2026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46255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46255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46255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46255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33284-2026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46246</v>
      </c>
      <c r="E423" s="1" t="n">
        <v>46255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46255</v>
      </c>
      <c r="F424" t="inlineStr">
        <is>
          <t>NORRBOTTENS LÄN</t>
        </is>
      </c>
      <c r="G424" t="inlineStr">
        <is>
          <t>ÖVERKALIX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46255</v>
      </c>
      <c r="F425" t="inlineStr">
        <is>
          <t>NORRBOTTENS LÄN</t>
        </is>
      </c>
      <c r="G425" t="inlineStr">
        <is>
          <t>ÖVERKALIX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29927-2026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46205</v>
      </c>
      <c r="E426" s="1" t="n">
        <v>46255</v>
      </c>
      <c r="F426" t="inlineStr">
        <is>
          <t>NORRBOTTENS LÄN</t>
        </is>
      </c>
      <c r="G426" t="inlineStr">
        <is>
          <t>ÖVERKALIX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46255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29937-2026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46205</v>
      </c>
      <c r="E428" s="1" t="n">
        <v>46255</v>
      </c>
      <c r="F428" t="inlineStr">
        <is>
          <t>NORRBOTTENS LÄN</t>
        </is>
      </c>
      <c r="G428" t="inlineStr">
        <is>
          <t>ÖVERKALIX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46255</v>
      </c>
      <c r="F429" t="inlineStr">
        <is>
          <t>NORRBOTTENS LÄN</t>
        </is>
      </c>
      <c r="G429" t="inlineStr">
        <is>
          <t>ÖVERKALIX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46255</v>
      </c>
      <c r="F430" t="inlineStr">
        <is>
          <t>NORRBOTTENS LÄN</t>
        </is>
      </c>
      <c r="G430" t="inlineStr">
        <is>
          <t>ÖVERKALIX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25697-2024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45463</v>
      </c>
      <c r="E431" s="1" t="n">
        <v>46255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6917-2023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46255</v>
      </c>
      <c r="F432" t="inlineStr">
        <is>
          <t>NORRBOTTENS LÄN</t>
        </is>
      </c>
      <c r="G432" t="inlineStr">
        <is>
          <t>ÖVERKALIX</t>
        </is>
      </c>
      <c r="I432" t="n">
        <v>9.4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40155-2024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45554</v>
      </c>
      <c r="E433" s="1" t="n">
        <v>46255</v>
      </c>
      <c r="F433" t="inlineStr">
        <is>
          <t>NORRBOTTENS LÄN</t>
        </is>
      </c>
      <c r="G433" t="inlineStr">
        <is>
          <t>ÖVERKALIX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30326-2026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46207</v>
      </c>
      <c r="E434" s="1" t="n">
        <v>46255</v>
      </c>
      <c r="F434" t="inlineStr">
        <is>
          <t>NORRBOTTENS LÄN</t>
        </is>
      </c>
      <c r="G434" t="inlineStr">
        <is>
          <t>ÖVERKALIX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30327-2026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46255</v>
      </c>
      <c r="F435" t="inlineStr">
        <is>
          <t>NORRBOTTENS LÄN</t>
        </is>
      </c>
      <c r="G435" t="inlineStr">
        <is>
          <t>ÖVERKALIX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46255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46255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46255</v>
      </c>
      <c r="F438" t="inlineStr">
        <is>
          <t>NORRBOTTENS LÄN</t>
        </is>
      </c>
      <c r="G438" t="inlineStr">
        <is>
          <t>ÖVERKALIX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30241-2026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46206</v>
      </c>
      <c r="E439" s="1" t="n">
        <v>46255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46255</v>
      </c>
      <c r="F440" t="inlineStr">
        <is>
          <t>NORRBOTTENS LÄN</t>
        </is>
      </c>
      <c r="G440" t="inlineStr">
        <is>
          <t>ÖVERKALIX</t>
        </is>
      </c>
      <c r="I440" t="n">
        <v>22.3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38941-2024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45548</v>
      </c>
      <c r="E441" s="1" t="n">
        <v>46255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30328-2026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46207</v>
      </c>
      <c r="E442" s="1" t="n">
        <v>46255</v>
      </c>
      <c r="F442" t="inlineStr">
        <is>
          <t>NORRBOTTENS LÄN</t>
        </is>
      </c>
      <c r="G442" t="inlineStr">
        <is>
          <t>ÖVERKALIX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46252</v>
      </c>
      <c r="E443" s="1" t="n">
        <v>46255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46255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46255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33.7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46255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46255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46255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46255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46255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9.199999999999999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46255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17.6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45785</v>
      </c>
      <c r="E452" s="1" t="n">
        <v>46255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45793</v>
      </c>
      <c r="E453" s="1" t="n">
        <v>46255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45796</v>
      </c>
      <c r="E454" s="1" t="n">
        <v>46255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46255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45793</v>
      </c>
      <c r="E456" s="1" t="n">
        <v>46255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45793</v>
      </c>
      <c r="E457" s="1" t="n">
        <v>46255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46255</v>
      </c>
      <c r="F458" t="inlineStr">
        <is>
          <t>NORRBOTTENS LÄN</t>
        </is>
      </c>
      <c r="G458" t="inlineStr">
        <is>
          <t>ÖVERKALIX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45323</v>
      </c>
      <c r="E459" s="1" t="n">
        <v>46255</v>
      </c>
      <c r="F459" t="inlineStr">
        <is>
          <t>NORRBOTTENS LÄN</t>
        </is>
      </c>
      <c r="G459" t="inlineStr">
        <is>
          <t>ÖVERKALIX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45803</v>
      </c>
      <c r="E460" s="1" t="n">
        <v>46255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45810</v>
      </c>
      <c r="E461" s="1" t="n">
        <v>46255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46255</v>
      </c>
      <c r="F462" t="inlineStr">
        <is>
          <t>NORRBOTTENS LÄN</t>
        </is>
      </c>
      <c r="G462" t="inlineStr">
        <is>
          <t>ÖVERKALIX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46255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46255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8.699999999999999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45813</v>
      </c>
      <c r="E465" s="1" t="n">
        <v>46255</v>
      </c>
      <c r="F465" t="inlineStr">
        <is>
          <t>NORRBOTTENS LÄN</t>
        </is>
      </c>
      <c r="G465" t="inlineStr">
        <is>
          <t>ÖVERKALIX</t>
        </is>
      </c>
      <c r="I465" t="n">
        <v>11.9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46255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45813</v>
      </c>
      <c r="E467" s="1" t="n">
        <v>46255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45813</v>
      </c>
      <c r="E468" s="1" t="n">
        <v>46255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45813</v>
      </c>
      <c r="E469" s="1" t="n">
        <v>46255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45813</v>
      </c>
      <c r="E470" s="1" t="n">
        <v>46255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3721-2022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44741</v>
      </c>
      <c r="E471" s="1" t="n">
        <v>46255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2792-2024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45485</v>
      </c>
      <c r="E472" s="1" t="n">
        <v>46255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2700-2024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45482</v>
      </c>
      <c r="E473" s="1" t="n">
        <v>46255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4734-2024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45607</v>
      </c>
      <c r="E474" s="1" t="n">
        <v>46255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1178-2025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45756</v>
      </c>
      <c r="E475" s="1" t="n">
        <v>46255</v>
      </c>
      <c r="F475" t="inlineStr">
        <is>
          <t>NORRBOTTENS LÄN</t>
        </is>
      </c>
      <c r="G475" t="inlineStr">
        <is>
          <t>ÖVERKALIX</t>
        </is>
      </c>
      <c r="I475" t="n">
        <v>39.9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1667-2025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45800</v>
      </c>
      <c r="E476" s="1" t="n">
        <v>46255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50-2026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46030</v>
      </c>
      <c r="E477" s="1" t="n">
        <v>46255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2026-08-21T01:53:06Z</dcterms:created>
  <dcterms:modified xmlns:dcterms="http://purl.org/dc/terms/" xmlns:xsi="http://www.w3.org/2001/XMLSchema-instance" xsi:type="dcterms:W3CDTF">2026-08-21T01:53:06Z</dcterms:modified>
</cp:coreProperties>
</file>