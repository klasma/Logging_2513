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46283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46283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46283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63242-2025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46010</v>
      </c>
      <c r="E5" s="1" t="n">
        <v>46283</v>
      </c>
      <c r="F5" t="inlineStr">
        <is>
          <t>NORRBOTTENS LÄN</t>
        </is>
      </c>
      <c r="G5" t="inlineStr">
        <is>
          <t>ÖVERKALIX</t>
        </is>
      </c>
      <c r="I5" t="n">
        <v>9.5</v>
      </c>
      <c r="J5" t="n">
        <v>3</v>
      </c>
      <c r="K5" t="n">
        <v>2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13</v>
      </c>
      <c r="T5" t="n">
        <v>45</v>
      </c>
      <c r="U5" t="n">
        <v>45</v>
      </c>
      <c r="V5" s="2" t="inlineStr">
        <is>
          <t>Garnlav
Dropptaggsvamp
Kolflarnlav
Nordtagging
Orange taggsvamp
Skarp dropptaggsvamp
Tallriska
Talltagel
Talltita
Vaddporing
Nästlav
Plattlummer
Tjäder</t>
        </is>
      </c>
      <c r="W5">
        <f>HYPERLINK("https://klasma.github.io/Logging_2513/artfynd/A 63242-2025 artfynd.xlsx", "A 63242-2025")</f>
        <v/>
      </c>
      <c r="X5">
        <f>HYPERLINK("https://klasma.github.io/Logging_2513/kartor/A 63242-2025 karta.png", "A 63242-2025")</f>
        <v/>
      </c>
      <c r="Y5">
        <f>HYPERLINK("https://klasma.github.io/Logging_2513/kartor_geotiff/A 63242-2025 georefererad karta.tif", "A 63242-2025")</f>
        <v/>
      </c>
      <c r="AA5">
        <f>HYPERLINK("https://klasma.github.io/Logging_2513/klagomål/A 63242-2025 FSC-klagomål.docx", "A 63242-2025")</f>
        <v/>
      </c>
      <c r="AB5">
        <f>HYPERLINK("https://klasma.github.io/Logging_2513/klagomålsmail/A 63242-2025 FSC-klagomål mail.docx", "A 63242-2025")</f>
        <v/>
      </c>
      <c r="AC5">
        <f>HYPERLINK("https://klasma.github.io/Logging_2513/tillsyn/A 63242-2025 tillsynsbegäran.docx", "A 63242-2025")</f>
        <v/>
      </c>
      <c r="AD5">
        <f>HYPERLINK("https://klasma.github.io/Logging_2513/tillsynsmail/A 63242-2025 tillsynsbegäran mail.docx", "A 63242-2025")</f>
        <v/>
      </c>
      <c r="AE5">
        <f>HYPERLINK("https://klasma.github.io/Logging_2513/fåglar/A 63242-2025 prioriterade fågelarter.docx", "A 63242-2025")</f>
        <v/>
      </c>
    </row>
    <row r="6" ht="15" customHeight="1">
      <c r="A6" t="inlineStr">
        <is>
          <t>A 43065-2025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45909</v>
      </c>
      <c r="E6" s="1" t="n">
        <v>46283</v>
      </c>
      <c r="F6" t="inlineStr">
        <is>
          <t>NORRBOTTENS LÄN</t>
        </is>
      </c>
      <c r="G6" t="inlineStr">
        <is>
          <t>ÖVERKALIX</t>
        </is>
      </c>
      <c r="I6" t="n">
        <v>8.9</v>
      </c>
      <c r="J6" t="n">
        <v>3</v>
      </c>
      <c r="K6" t="n">
        <v>2</v>
      </c>
      <c r="L6" t="n">
        <v>8</v>
      </c>
      <c r="M6" t="n">
        <v>2</v>
      </c>
      <c r="N6" t="n">
        <v>0</v>
      </c>
      <c r="O6" t="n">
        <v>0</v>
      </c>
      <c r="P6" t="n">
        <v>0</v>
      </c>
      <c r="Q6" t="n">
        <v>10</v>
      </c>
      <c r="R6" t="n">
        <v>2</v>
      </c>
      <c r="S6" t="n">
        <v>13</v>
      </c>
      <c r="T6" t="n">
        <v>39</v>
      </c>
      <c r="U6" t="n">
        <v>39</v>
      </c>
      <c r="V6" s="2" t="inlineStr">
        <is>
          <t>Garnlav
Smalfotad taggsvamp
Dropptaggsvamp
Nordtagging
Orange taggsvamp
Skarp dropptaggsvamp
Tallriska
Talltagel
Talltita
Vedskivlav
Nästlav
Plattlummer
Tjäder</t>
        </is>
      </c>
      <c r="W6">
        <f>HYPERLINK("https://klasma.github.io/Logging_2513/artfynd/A 43065-2025 artfynd.xlsx", "A 43065-2025")</f>
        <v/>
      </c>
      <c r="X6">
        <f>HYPERLINK("https://klasma.github.io/Logging_2513/kartor/A 43065-2025 karta.png", "A 43065-2025")</f>
        <v/>
      </c>
      <c r="Y6">
        <f>HYPERLINK("https://klasma.github.io/Logging_2513/kartor_geotiff/A 43065-2025 georefererad karta.tif", "A 43065-2025")</f>
        <v/>
      </c>
      <c r="AA6">
        <f>HYPERLINK("https://klasma.github.io/Logging_2513/klagomål/A 43065-2025 FSC-klagomål.docx", "A 43065-2025")</f>
        <v/>
      </c>
      <c r="AB6">
        <f>HYPERLINK("https://klasma.github.io/Logging_2513/klagomålsmail/A 43065-2025 FSC-klagomål mail.docx", "A 43065-2025")</f>
        <v/>
      </c>
      <c r="AC6">
        <f>HYPERLINK("https://klasma.github.io/Logging_2513/tillsyn/A 43065-2025 tillsynsbegäran.docx", "A 43065-2025")</f>
        <v/>
      </c>
      <c r="AD6">
        <f>HYPERLINK("https://klasma.github.io/Logging_2513/tillsynsmail/A 43065-2025 tillsynsbegäran mail.docx", "A 43065-2025")</f>
        <v/>
      </c>
      <c r="AE6">
        <f>HYPERLINK("https://klasma.github.io/Logging_2513/fåglar/A 43065-2025 prioriterade fågelarter.docx", "A 43065-2025")</f>
        <v/>
      </c>
    </row>
    <row r="7" ht="15" customHeight="1">
      <c r="A7" t="inlineStr">
        <is>
          <t>A 23383-2026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46162</v>
      </c>
      <c r="E7" s="1" t="n">
        <v>46283</v>
      </c>
      <c r="F7" t="inlineStr">
        <is>
          <t>NORRBOTTENS LÄN</t>
        </is>
      </c>
      <c r="G7" t="inlineStr">
        <is>
          <t>ÖVERKALIX</t>
        </is>
      </c>
      <c r="I7" t="n">
        <v>2.6</v>
      </c>
      <c r="J7" t="n">
        <v>4</v>
      </c>
      <c r="K7" t="n">
        <v>5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13</v>
      </c>
      <c r="T7" t="n">
        <v>26</v>
      </c>
      <c r="U7" t="n">
        <v>26</v>
      </c>
      <c r="V7" s="2" t="inlineStr">
        <is>
          <t>Garnlav
Knärot
Myskmåra
Tretåig hackspett
Björksplintborre
Nästlav
Sotlav
Trådticka
Vågbandad barkbock
Järpe
Liljekonvalj
Sälg
Tjäder</t>
        </is>
      </c>
      <c r="W7">
        <f>HYPERLINK("https://klasma.github.io/Logging_2513/artfynd/A 23383-2026 artfynd.xlsx", "A 23383-2026")</f>
        <v/>
      </c>
      <c r="X7">
        <f>HYPERLINK("https://klasma.github.io/Logging_2513/kartor/A 23383-2026 karta.png", "A 23383-2026")</f>
        <v/>
      </c>
      <c r="Y7">
        <f>HYPERLINK("https://klasma.github.io/Logging_2513/kartor_geotiff/A 23383-2026 georefererad karta.tif", "A 23383-2026")</f>
        <v/>
      </c>
      <c r="Z7">
        <f>HYPERLINK("https://klasma.github.io/Logging_2513/knärot/A 23383-2026 karta knärot.png", "A 23383-2026")</f>
        <v/>
      </c>
      <c r="AA7">
        <f>HYPERLINK("https://klasma.github.io/Logging_2513/klagomål/A 23383-2026 FSC-klagomål.docx", "A 23383-2026")</f>
        <v/>
      </c>
      <c r="AB7">
        <f>HYPERLINK("https://klasma.github.io/Logging_2513/klagomålsmail/A 23383-2026 FSC-klagomål mail.docx", "A 23383-2026")</f>
        <v/>
      </c>
      <c r="AC7">
        <f>HYPERLINK("https://klasma.github.io/Logging_2513/tillsyn/A 23383-2026 tillsynsbegäran.docx", "A 23383-2026")</f>
        <v/>
      </c>
      <c r="AD7">
        <f>HYPERLINK("https://klasma.github.io/Logging_2513/tillsynsmail/A 23383-2026 tillsynsbegäran mail.docx", "A 23383-2026")</f>
        <v/>
      </c>
      <c r="AE7">
        <f>HYPERLINK("https://klasma.github.io/Logging_2513/fåglar/A 23383-2026 prioriterade fågelarter.docx", "A 23383-2026")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46283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46283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16</v>
      </c>
      <c r="U9" t="n">
        <v>16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46283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46283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46283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46283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46283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38989-2023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46283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9</v>
      </c>
      <c r="U15" t="n">
        <v>9</v>
      </c>
      <c r="V15" s="2" t="inlineStr">
        <is>
          <t>Goliatmusseron
Blå taggsvamp
Dropptaggsvamp
Motaggsvamp
Orange taggsvamp</t>
        </is>
      </c>
      <c r="W15">
        <f>HYPERLINK("https://klasma.github.io/Logging_2513/artfynd/A 38989-2023 artfynd.xlsx", "A 38989-2023")</f>
        <v/>
      </c>
      <c r="X15">
        <f>HYPERLINK("https://klasma.github.io/Logging_2513/kartor/A 38989-2023 karta.png", "A 38989-2023")</f>
        <v/>
      </c>
      <c r="Y15">
        <f>HYPERLINK("https://klasma.github.io/Logging_2513/kartor_geotiff/A 38989-2023 georefererad karta.tif", "A 38989-2023")</f>
        <v/>
      </c>
      <c r="AA15">
        <f>HYPERLINK("https://klasma.github.io/Logging_2513/klagomål/A 38989-2023 FSC-klagomål.docx", "A 38989-2023")</f>
        <v/>
      </c>
      <c r="AB15">
        <f>HYPERLINK("https://klasma.github.io/Logging_2513/klagomålsmail/A 38989-2023 FSC-klagomål mail.docx", "A 38989-2023")</f>
        <v/>
      </c>
      <c r="AC15">
        <f>HYPERLINK("https://klasma.github.io/Logging_2513/tillsyn/A 38989-2023 tillsynsbegäran.docx", "A 38989-2023")</f>
        <v/>
      </c>
      <c r="AD15">
        <f>HYPERLINK("https://klasma.github.io/Logging_2513/tillsynsmail/A 38989-2023 tillsynsbegäran mail.docx", "A 38989-2023")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46283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46283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46283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46283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Gammelgransskål
Bollvitmossa
Järpe</t>
        </is>
      </c>
      <c r="W19">
        <f>HYPERLINK("https://klasma.github.io/Logging_2513/artfynd/A 30525-2025 artfynd.xlsx", "A 30525-2025")</f>
        <v/>
      </c>
      <c r="X19">
        <f>HYPERLINK("https://klasma.github.io/Logging_2513/kartor/A 30525-2025 karta.png", "A 30525-2025")</f>
        <v/>
      </c>
      <c r="Y19">
        <f>HYPERLINK("https://klasma.github.io/Logging_2513/kartor_geotiff/A 30525-2025 georefererad karta.tif", "A 30525-2025")</f>
        <v/>
      </c>
      <c r="AA19">
        <f>HYPERLINK("https://klasma.github.io/Logging_2513/klagomål/A 30525-2025 FSC-klagomål.docx", "A 30525-2025")</f>
        <v/>
      </c>
      <c r="AB19">
        <f>HYPERLINK("https://klasma.github.io/Logging_2513/klagomålsmail/A 30525-2025 FSC-klagomål mail.docx", "A 30525-2025")</f>
        <v/>
      </c>
      <c r="AC19">
        <f>HYPERLINK("https://klasma.github.io/Logging_2513/tillsyn/A 30525-2025 tillsynsbegäran.docx", "A 30525-2025")</f>
        <v/>
      </c>
      <c r="AD19">
        <f>HYPERLINK("https://klasma.github.io/Logging_2513/tillsynsmail/A 30525-2025 tillsynsbegäran mail.docx", "A 30525-2025")</f>
        <v/>
      </c>
      <c r="AE19">
        <f>HYPERLINK("https://klasma.github.io/Logging_2513/fåglar/A 30525-2025 prioriterade fågelarter.docx", "A 30525-2025")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46283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45478</v>
      </c>
      <c r="E21" s="1" t="n">
        <v>46283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0.8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12</v>
      </c>
      <c r="U21" t="n">
        <v>0</v>
      </c>
      <c r="V21" s="2" t="inlineStr">
        <is>
          <t>Månlåsbräken
Plattlummer
Fläcknycklar</t>
        </is>
      </c>
      <c r="W21">
        <f>HYPERLINK("https://klasma.github.io/Logging_2513/artfynd/A 28577-2024 artfynd.xlsx", "A 28577-2024")</f>
        <v/>
      </c>
      <c r="X21">
        <f>HYPERLINK("https://klasma.github.io/Logging_2513/kartor/A 28577-2024 karta.png", "A 28577-2024")</f>
        <v/>
      </c>
      <c r="Y21">
        <f>HYPERLINK("https://klasma.github.io/Logging_2513/kartor_geotiff/A 28577-2024 georefererad karta.tif", "A 28577-2024")</f>
        <v/>
      </c>
      <c r="AA21">
        <f>HYPERLINK("https://klasma.github.io/Logging_2513/klagomål/A 28577-2024 FSC-klagomål.docx", "A 28577-2024")</f>
        <v/>
      </c>
      <c r="AB21">
        <f>HYPERLINK("https://klasma.github.io/Logging_2513/klagomålsmail/A 28577-2024 FSC-klagomål mail.docx", "A 28577-2024")</f>
        <v/>
      </c>
      <c r="AC21">
        <f>HYPERLINK("https://klasma.github.io/Logging_2513/tillsyn/A 28577-2024 tillsynsbegäran.docx", "A 28577-2024")</f>
        <v/>
      </c>
      <c r="AD21">
        <f>HYPERLINK("https://klasma.github.io/Logging_2513/tillsynsmail/A 28577-2024 tillsynsbegäran mail.docx", "A 28577-2024")</f>
        <v/>
      </c>
    </row>
    <row r="22" ht="15" customHeight="1">
      <c r="A22" t="inlineStr">
        <is>
          <t>A 42861-2025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46283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Blå taggsvamp
Dropptaggsvamp
Skarp dropptaggsvamp</t>
        </is>
      </c>
      <c r="W22">
        <f>HYPERLINK("https://klasma.github.io/Logging_2513/artfynd/A 42861-2025 artfynd.xlsx", "A 42861-2025")</f>
        <v/>
      </c>
      <c r="X22">
        <f>HYPERLINK("https://klasma.github.io/Logging_2513/kartor/A 42861-2025 karta.png", "A 42861-2025")</f>
        <v/>
      </c>
      <c r="Y22">
        <f>HYPERLINK("https://klasma.github.io/Logging_2513/kartor_geotiff/A 42861-2025 georefererad karta.tif", "A 42861-2025")</f>
        <v/>
      </c>
      <c r="AA22">
        <f>HYPERLINK("https://klasma.github.io/Logging_2513/klagomål/A 42861-2025 FSC-klagomål.docx", "A 42861-2025")</f>
        <v/>
      </c>
      <c r="AB22">
        <f>HYPERLINK("https://klasma.github.io/Logging_2513/klagomålsmail/A 42861-2025 FSC-klagomål mail.docx", "A 42861-2025")</f>
        <v/>
      </c>
      <c r="AC22">
        <f>HYPERLINK("https://klasma.github.io/Logging_2513/tillsyn/A 42861-2025 tillsynsbegäran.docx", "A 42861-2025")</f>
        <v/>
      </c>
      <c r="AD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46283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46283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46283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46283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46283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17802-2025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45758</v>
      </c>
      <c r="E28" s="1" t="n">
        <v>46283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1.6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Hökuggla
Älg
Tjäder</t>
        </is>
      </c>
      <c r="W28">
        <f>HYPERLINK("https://klasma.github.io/Logging_2513/artfynd/A 17802-2025 artfynd.xlsx", "A 17802-2025")</f>
        <v/>
      </c>
      <c r="X28">
        <f>HYPERLINK("https://klasma.github.io/Logging_2513/kartor/A 17802-2025 karta.png", "A 17802-2025")</f>
        <v/>
      </c>
      <c r="Y28">
        <f>HYPERLINK("https://klasma.github.io/Logging_2513/kartor_geotiff/A 17802-2025 georefererad karta.tif", "A 17802-2025")</f>
        <v/>
      </c>
      <c r="AA28">
        <f>HYPERLINK("https://klasma.github.io/Logging_2513/klagomål/A 17802-2025 FSC-klagomål.docx", "A 17802-2025")</f>
        <v/>
      </c>
      <c r="AB28">
        <f>HYPERLINK("https://klasma.github.io/Logging_2513/klagomålsmail/A 17802-2025 FSC-klagomål mail.docx", "A 17802-2025")</f>
        <v/>
      </c>
      <c r="AC28">
        <f>HYPERLINK("https://klasma.github.io/Logging_2513/tillsyn/A 17802-2025 tillsynsbegäran.docx", "A 17802-2025")</f>
        <v/>
      </c>
      <c r="AD28">
        <f>HYPERLINK("https://klasma.github.io/Logging_2513/tillsynsmail/A 17802-2025 tillsynsbegäran mail.docx", "A 17802-2025")</f>
        <v/>
      </c>
      <c r="AE28">
        <f>HYPERLINK("https://klasma.github.io/Logging_2513/fåglar/A 17802-2025 prioriterade fågelarter.docx", "A 17802-2025")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46283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46283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46283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46283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46283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50691-2024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46283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4.2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HYPERLINK("https://klasma.github.io/Logging_2513/artfynd/A 50691-2024 artfynd.xlsx", "A 50691-2024")</f>
        <v/>
      </c>
      <c r="X34">
        <f>HYPERLINK("https://klasma.github.io/Logging_2513/kartor/A 50691-2024 karta.png", "A 50691-2024")</f>
        <v/>
      </c>
      <c r="Y34">
        <f>HYPERLINK("https://klasma.github.io/Logging_2513/kartor_geotiff/A 50691-2024 georefererad karta.tif", "A 50691-2024")</f>
        <v/>
      </c>
      <c r="AA34">
        <f>HYPERLINK("https://klasma.github.io/Logging_2513/klagomål/A 50691-2024 FSC-klagomål.docx", "A 50691-2024")</f>
        <v/>
      </c>
      <c r="AB34">
        <f>HYPERLINK("https://klasma.github.io/Logging_2513/klagomålsmail/A 50691-2024 FSC-klagomål mail.docx", "A 50691-2024")</f>
        <v/>
      </c>
      <c r="AC34">
        <f>HYPERLINK("https://klasma.github.io/Logging_2513/tillsyn/A 50691-2024 tillsynsbegäran.docx", "A 50691-2024")</f>
        <v/>
      </c>
      <c r="AD34">
        <f>HYPERLINK("https://klasma.github.io/Logging_2513/tillsynsmail/A 50691-2024 tillsynsbegäran mail.docx", "A 50691-2024")</f>
        <v/>
      </c>
    </row>
    <row r="35" ht="15" customHeight="1">
      <c r="A35" t="inlineStr">
        <is>
          <t>A 14152-2026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46099</v>
      </c>
      <c r="E35" s="1" t="n">
        <v>46283</v>
      </c>
      <c r="F35" t="inlineStr">
        <is>
          <t>NORRBOTTENS LÄN</t>
        </is>
      </c>
      <c r="G35" t="inlineStr">
        <is>
          <t>ÖVERKALIX</t>
        </is>
      </c>
      <c r="I35" t="n">
        <v>4.6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Källpraktmossa
Spädstarr</t>
        </is>
      </c>
      <c r="W35">
        <f>HYPERLINK("https://klasma.github.io/Logging_2513/artfynd/A 14152-2026 artfynd.xlsx", "A 14152-2026")</f>
        <v/>
      </c>
      <c r="X35">
        <f>HYPERLINK("https://klasma.github.io/Logging_2513/kartor/A 14152-2026 karta.png", "A 14152-2026")</f>
        <v/>
      </c>
      <c r="Y35">
        <f>HYPERLINK("https://klasma.github.io/Logging_2513/kartor_geotiff/A 14152-2026 georefererad karta.tif", "A 14152-2026")</f>
        <v/>
      </c>
      <c r="AA35">
        <f>HYPERLINK("https://klasma.github.io/Logging_2513/klagomål/A 14152-2026 FSC-klagomål.docx", "A 14152-2026")</f>
        <v/>
      </c>
      <c r="AB35">
        <f>HYPERLINK("https://klasma.github.io/Logging_2513/klagomålsmail/A 14152-2026 FSC-klagomål mail.docx", "A 14152-2026")</f>
        <v/>
      </c>
      <c r="AC35">
        <f>HYPERLINK("https://klasma.github.io/Logging_2513/tillsyn/A 14152-2026 tillsynsbegäran.docx", "A 14152-2026")</f>
        <v/>
      </c>
      <c r="AD35">
        <f>HYPERLINK("https://klasma.github.io/Logging_2513/tillsynsmail/A 14152-2026 tillsynsbegäran mail.docx", "A 14152-2026")</f>
        <v/>
      </c>
    </row>
    <row r="36" ht="15" customHeight="1">
      <c r="A36" t="inlineStr">
        <is>
          <t>A 34921-2025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46283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16.4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Lunglav</t>
        </is>
      </c>
      <c r="W36">
        <f>HYPERLINK("https://klasma.github.io/Logging_2513/artfynd/A 34921-2025 artfynd.xlsx", "A 34921-2025")</f>
        <v/>
      </c>
      <c r="X36">
        <f>HYPERLINK("https://klasma.github.io/Logging_2513/kartor/A 34921-2025 karta.png", "A 34921-2025")</f>
        <v/>
      </c>
      <c r="Y36">
        <f>HYPERLINK("https://klasma.github.io/Logging_2513/kartor_geotiff/A 34921-2025 georefererad karta.tif", "A 34921-2025")</f>
        <v/>
      </c>
      <c r="AA36">
        <f>HYPERLINK("https://klasma.github.io/Logging_2513/klagomål/A 34921-2025 FSC-klagomål.docx", "A 34921-2025")</f>
        <v/>
      </c>
      <c r="AB36">
        <f>HYPERLINK("https://klasma.github.io/Logging_2513/klagomålsmail/A 34921-2025 FSC-klagomål mail.docx", "A 34921-2025")</f>
        <v/>
      </c>
      <c r="AC36">
        <f>HYPERLINK("https://klasma.github.io/Logging_2513/tillsyn/A 34921-2025 tillsynsbegäran.docx", "A 34921-2025")</f>
        <v/>
      </c>
      <c r="AD36">
        <f>HYPERLINK("https://klasma.github.io/Logging_2513/tillsynsmail/A 34921-2025 tillsynsbegäran mail.docx", "A 34921-2025")</f>
        <v/>
      </c>
    </row>
    <row r="37" ht="15" customHeight="1">
      <c r="A37" t="inlineStr">
        <is>
          <t>A 40116-2025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46283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29.7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5</v>
      </c>
      <c r="U37" t="n">
        <v>3</v>
      </c>
      <c r="V37" s="2" t="inlineStr">
        <is>
          <t>Lunglav
Skrovellav</t>
        </is>
      </c>
      <c r="W37">
        <f>HYPERLINK("https://klasma.github.io/Logging_2513/artfynd/A 40116-2025 artfynd.xlsx", "A 40116-2025")</f>
        <v/>
      </c>
      <c r="X37">
        <f>HYPERLINK("https://klasma.github.io/Logging_2513/kartor/A 40116-2025 karta.png", "A 40116-2025")</f>
        <v/>
      </c>
      <c r="Y37">
        <f>HYPERLINK("https://klasma.github.io/Logging_2513/kartor_geotiff/A 40116-2025 georefererad karta.tif", "A 40116-2025")</f>
        <v/>
      </c>
      <c r="AA37">
        <f>HYPERLINK("https://klasma.github.io/Logging_2513/klagomål/A 40116-2025 FSC-klagomål.docx", "A 40116-2025")</f>
        <v/>
      </c>
      <c r="AB37">
        <f>HYPERLINK("https://klasma.github.io/Logging_2513/klagomålsmail/A 40116-2025 FSC-klagomål mail.docx", "A 40116-2025")</f>
        <v/>
      </c>
      <c r="AC37">
        <f>HYPERLINK("https://klasma.github.io/Logging_2513/tillsyn/A 40116-2025 tillsynsbegäran.docx", "A 40116-2025")</f>
        <v/>
      </c>
      <c r="AD37">
        <f>HYPERLINK("https://klasma.github.io/Logging_2513/tillsynsmail/A 40116-2025 tillsynsbegäran mail.docx", "A 40116-2025")</f>
        <v/>
      </c>
    </row>
    <row r="38" ht="15" customHeight="1">
      <c r="A38" t="inlineStr">
        <is>
          <t>A 42285-2025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45904</v>
      </c>
      <c r="E38" s="1" t="n">
        <v>46283</v>
      </c>
      <c r="F38" t="inlineStr">
        <is>
          <t>NORRBOTTENS LÄN</t>
        </is>
      </c>
      <c r="G38" t="inlineStr">
        <is>
          <t>ÖVERKALIX</t>
        </is>
      </c>
      <c r="I38" t="n">
        <v>0.3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Kungsfågel
Vanlig padda</t>
        </is>
      </c>
      <c r="W38">
        <f>HYPERLINK("https://klasma.github.io/Logging_2513/artfynd/A 42285-2025 artfynd.xlsx", "A 42285-2025")</f>
        <v/>
      </c>
      <c r="X38">
        <f>HYPERLINK("https://klasma.github.io/Logging_2513/kartor/A 42285-2025 karta.png", "A 42285-2025")</f>
        <v/>
      </c>
      <c r="Y38">
        <f>HYPERLINK("https://klasma.github.io/Logging_2513/kartor_geotiff/A 42285-2025 georefererad karta.tif", "A 42285-2025")</f>
        <v/>
      </c>
      <c r="AA38">
        <f>HYPERLINK("https://klasma.github.io/Logging_2513/klagomål/A 42285-2025 FSC-klagomål.docx", "A 42285-2025")</f>
        <v/>
      </c>
      <c r="AB38">
        <f>HYPERLINK("https://klasma.github.io/Logging_2513/klagomålsmail/A 42285-2025 FSC-klagomål mail.docx", "A 42285-2025")</f>
        <v/>
      </c>
      <c r="AC38">
        <f>HYPERLINK("https://klasma.github.io/Logging_2513/tillsyn/A 42285-2025 tillsynsbegäran.docx", "A 42285-2025")</f>
        <v/>
      </c>
      <c r="AD38">
        <f>HYPERLINK("https://klasma.github.io/Logging_2513/tillsynsmail/A 42285-2025 tillsynsbegäran mail.docx", "A 42285-2025")</f>
        <v/>
      </c>
    </row>
    <row r="39" ht="15" customHeight="1">
      <c r="A39" t="inlineStr">
        <is>
          <t>A 40706-2023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46283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7.1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HYPERLINK("https://klasma.github.io/Logging_2513/artfynd/A 40706-2023 artfynd.xlsx", "A 40706-2023")</f>
        <v/>
      </c>
      <c r="X39">
        <f>HYPERLINK("https://klasma.github.io/Logging_2513/kartor/A 40706-2023 karta.png", "A 40706-2023")</f>
        <v/>
      </c>
      <c r="Y39">
        <f>HYPERLINK("https://klasma.github.io/Logging_2513/kartor_geotiff/A 40706-2023 georefererad karta.tif", "A 40706-2023")</f>
        <v/>
      </c>
      <c r="Z39">
        <f>HYPERLINK("https://klasma.github.io/Logging_2513/knärot/A 40706-2023 karta knärot.png", "A 40706-2023")</f>
        <v/>
      </c>
      <c r="AA39">
        <f>HYPERLINK("https://klasma.github.io/Logging_2513/klagomål/A 40706-2023 FSC-klagomål.docx", "A 40706-2023")</f>
        <v/>
      </c>
      <c r="AB39">
        <f>HYPERLINK("https://klasma.github.io/Logging_2513/klagomålsmail/A 40706-2023 FSC-klagomål mail.docx", "A 40706-2023")</f>
        <v/>
      </c>
      <c r="AC39">
        <f>HYPERLINK("https://klasma.github.io/Logging_2513/tillsyn/A 40706-2023 tillsynsbegäran.docx", "A 40706-2023")</f>
        <v/>
      </c>
      <c r="AD39">
        <f>HYPERLINK("https://klasma.github.io/Logging_2513/tillsynsmail/A 40706-2023 tillsynsbegäran mail.docx", "A 40706-2023")</f>
        <v/>
      </c>
    </row>
    <row r="40" ht="15" customHeight="1">
      <c r="A40" t="inlineStr">
        <is>
          <t>A 47680-2024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46283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Blå taggsvamp
Skarp dropptaggsvamp</t>
        </is>
      </c>
      <c r="W40">
        <f>HYPERLINK("https://klasma.github.io/Logging_2513/artfynd/A 47680-2024 artfynd.xlsx", "A 47680-2024")</f>
        <v/>
      </c>
      <c r="X40">
        <f>HYPERLINK("https://klasma.github.io/Logging_2513/kartor/A 47680-2024 karta.png", "A 47680-2024")</f>
        <v/>
      </c>
      <c r="Y40">
        <f>HYPERLINK("https://klasma.github.io/Logging_2513/kartor_geotiff/A 47680-2024 georefererad karta.tif", "A 47680-2024")</f>
        <v/>
      </c>
      <c r="AA40">
        <f>HYPERLINK("https://klasma.github.io/Logging_2513/klagomål/A 47680-2024 FSC-klagomål.docx", "A 47680-2024")</f>
        <v/>
      </c>
      <c r="AB40">
        <f>HYPERLINK("https://klasma.github.io/Logging_2513/klagomålsmail/A 47680-2024 FSC-klagomål mail.docx", "A 47680-2024")</f>
        <v/>
      </c>
      <c r="AC40">
        <f>HYPERLINK("https://klasma.github.io/Logging_2513/tillsyn/A 47680-2024 tillsynsbegäran.docx", "A 47680-2024")</f>
        <v/>
      </c>
      <c r="AD40">
        <f>HYPERLINK("https://klasma.github.io/Logging_2513/tillsynsmail/A 47680-2024 tillsynsbegäran mail.docx", "A 47680-2024")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46283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36803-2023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45154</v>
      </c>
      <c r="E42" s="1" t="n">
        <v>46283</v>
      </c>
      <c r="F42" t="inlineStr">
        <is>
          <t>NORRBOTTENS LÄN</t>
        </is>
      </c>
      <c r="G42" t="inlineStr">
        <is>
          <t>ÖVERKALIX</t>
        </is>
      </c>
      <c r="I42" t="n">
        <v>3.1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6</v>
      </c>
      <c r="U42" t="n">
        <v>6</v>
      </c>
      <c r="V42" s="2" t="inlineStr">
        <is>
          <t>Knärot
Revlummer</t>
        </is>
      </c>
      <c r="W42">
        <f>HYPERLINK("https://klasma.github.io/Logging_2513/artfynd/A 36803-2023 artfynd.xlsx", "A 36803-2023")</f>
        <v/>
      </c>
      <c r="X42">
        <f>HYPERLINK("https://klasma.github.io/Logging_2513/kartor/A 36803-2023 karta.png", "A 36803-2023")</f>
        <v/>
      </c>
      <c r="Y42">
        <f>HYPERLINK("https://klasma.github.io/Logging_2513/kartor_geotiff/A 36803-2023 georefererad karta.tif", "A 36803-2023")</f>
        <v/>
      </c>
      <c r="Z42">
        <f>HYPERLINK("https://klasma.github.io/Logging_2513/knärot/A 36803-2023 karta knärot.png", "A 36803-2023")</f>
        <v/>
      </c>
      <c r="AA42">
        <f>HYPERLINK("https://klasma.github.io/Logging_2513/klagomål/A 36803-2023 FSC-klagomål.docx", "A 36803-2023")</f>
        <v/>
      </c>
      <c r="AB42">
        <f>HYPERLINK("https://klasma.github.io/Logging_2513/klagomålsmail/A 36803-2023 FSC-klagomål mail.docx", "A 36803-2023")</f>
        <v/>
      </c>
      <c r="AC42">
        <f>HYPERLINK("https://klasma.github.io/Logging_2513/tillsyn/A 36803-2023 tillsynsbegäran.docx", "A 36803-2023")</f>
        <v/>
      </c>
      <c r="AD42">
        <f>HYPERLINK("https://klasma.github.io/Logging_2513/tillsynsmail/A 36803-2023 tillsynsbegäran mail.docx", "A 36803-2023")</f>
        <v/>
      </c>
    </row>
    <row r="43" ht="15" customHeight="1">
      <c r="A43" t="inlineStr">
        <is>
          <t>A 28929-2026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46283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3.9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5</v>
      </c>
      <c r="V43" s="2" t="inlineStr">
        <is>
          <t>Knärot
Fläcknycklar</t>
        </is>
      </c>
      <c r="W43">
        <f>HYPERLINK("https://klasma.github.io/Logging_2513/artfynd/A 28929-2026 artfynd.xlsx", "A 28929-2026")</f>
        <v/>
      </c>
      <c r="X43">
        <f>HYPERLINK("https://klasma.github.io/Logging_2513/kartor/A 28929-2026 karta.png", "A 28929-2026")</f>
        <v/>
      </c>
      <c r="Y43">
        <f>HYPERLINK("https://klasma.github.io/Logging_2513/kartor_geotiff/A 28929-2026 georefererad karta.tif", "A 28929-2026")</f>
        <v/>
      </c>
      <c r="Z43">
        <f>HYPERLINK("https://klasma.github.io/Logging_2513/knärot/A 28929-2026 karta knärot.png", "A 28929-2026")</f>
        <v/>
      </c>
      <c r="AA43">
        <f>HYPERLINK("https://klasma.github.io/Logging_2513/klagomål/A 28929-2026 FSC-klagomål.docx", "A 28929-2026")</f>
        <v/>
      </c>
      <c r="AB43">
        <f>HYPERLINK("https://klasma.github.io/Logging_2513/klagomålsmail/A 28929-2026 FSC-klagomål mail.docx", "A 28929-2026")</f>
        <v/>
      </c>
      <c r="AC43">
        <f>HYPERLINK("https://klasma.github.io/Logging_2513/tillsyn/A 28929-2026 tillsynsbegäran.docx", "A 28929-2026")</f>
        <v/>
      </c>
      <c r="AD43">
        <f>HYPERLINK("https://klasma.github.io/Logging_2513/tillsynsmail/A 28929-2026 tillsynsbegäran mail.docx", "A 28929-2026")</f>
        <v/>
      </c>
    </row>
    <row r="44" ht="15" customHeight="1">
      <c r="A44" t="inlineStr">
        <is>
          <t>A 35594-2026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46283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40.3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7</v>
      </c>
      <c r="U44" t="n">
        <v>4</v>
      </c>
      <c r="V44" s="2" t="inlineStr">
        <is>
          <t>Dropptaggsvamp
Lunglav</t>
        </is>
      </c>
      <c r="W44">
        <f>HYPERLINK("https://klasma.github.io/Logging_2513/artfynd/A 35594-2026 artfynd.xlsx", "A 35594-2026")</f>
        <v/>
      </c>
      <c r="X44">
        <f>HYPERLINK("https://klasma.github.io/Logging_2513/kartor/A 35594-2026 karta.png", "A 35594-2026")</f>
        <v/>
      </c>
      <c r="Y44">
        <f>HYPERLINK("https://klasma.github.io/Logging_2513/kartor_geotiff/A 35594-2026 georefererad karta.tif", "A 35594-2026")</f>
        <v/>
      </c>
      <c r="AA44">
        <f>HYPERLINK("https://klasma.github.io/Logging_2513/klagomål/A 35594-2026 FSC-klagomål.docx", "A 35594-2026")</f>
        <v/>
      </c>
      <c r="AB44">
        <f>HYPERLINK("https://klasma.github.io/Logging_2513/klagomålsmail/A 35594-2026 FSC-klagomål mail.docx", "A 35594-2026")</f>
        <v/>
      </c>
      <c r="AC44">
        <f>HYPERLINK("https://klasma.github.io/Logging_2513/tillsyn/A 35594-2026 tillsynsbegäran.docx", "A 35594-2026")</f>
        <v/>
      </c>
      <c r="AD44">
        <f>HYPERLINK("https://klasma.github.io/Logging_2513/tillsynsmail/A 35594-2026 tillsynsbegäran mail.docx", "A 35594-2026")</f>
        <v/>
      </c>
    </row>
    <row r="45" ht="15" customHeight="1">
      <c r="A45" t="inlineStr">
        <is>
          <t>A 31704-2026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46283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Blå taggsvamp
Skarp dropptaggsvamp</t>
        </is>
      </c>
      <c r="W45">
        <f>HYPERLINK("https://klasma.github.io/Logging_2513/artfynd/A 31704-2026 artfynd.xlsx", "A 31704-2026")</f>
        <v/>
      </c>
      <c r="X45">
        <f>HYPERLINK("https://klasma.github.io/Logging_2513/kartor/A 31704-2026 karta.png", "A 31704-2026")</f>
        <v/>
      </c>
      <c r="Y45">
        <f>HYPERLINK("https://klasma.github.io/Logging_2513/kartor_geotiff/A 31704-2026 georefererad karta.tif", "A 31704-2026")</f>
        <v/>
      </c>
      <c r="AA45">
        <f>HYPERLINK("https://klasma.github.io/Logging_2513/klagomål/A 31704-2026 FSC-klagomål.docx", "A 31704-2026")</f>
        <v/>
      </c>
      <c r="AB45">
        <f>HYPERLINK("https://klasma.github.io/Logging_2513/klagomålsmail/A 31704-2026 FSC-klagomål mail.docx", "A 31704-2026")</f>
        <v/>
      </c>
      <c r="AC45">
        <f>HYPERLINK("https://klasma.github.io/Logging_2513/tillsyn/A 31704-2026 tillsynsbegäran.docx", "A 31704-2026")</f>
        <v/>
      </c>
      <c r="AD45">
        <f>HYPERLINK("https://klasma.github.io/Logging_2513/tillsynsmail/A 31704-2026 tillsynsbegäran mail.docx", "A 31704-2026")</f>
        <v/>
      </c>
    </row>
    <row r="46" ht="15" customHeight="1">
      <c r="A46" t="inlineStr">
        <is>
          <t>A 62951-2025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46283</v>
      </c>
      <c r="F46" t="inlineStr">
        <is>
          <t>NORRBOTTENS LÄN</t>
        </is>
      </c>
      <c r="G46" t="inlineStr">
        <is>
          <t>ÖVERKALIX</t>
        </is>
      </c>
      <c r="H46" t="inlineStr">
        <is>
          <t>SCA</t>
        </is>
      </c>
      <c r="I46" t="n">
        <v>4.2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Garnlav
Ullticka</t>
        </is>
      </c>
      <c r="W46">
        <f>HYPERLINK("https://klasma.github.io/Logging_2513/artfynd/A 62951-2025 artfynd.xlsx", "A 62951-2025")</f>
        <v/>
      </c>
      <c r="X46">
        <f>HYPERLINK("https://klasma.github.io/Logging_2513/kartor/A 62951-2025 karta.png", "A 62951-2025")</f>
        <v/>
      </c>
      <c r="Y46">
        <f>HYPERLINK("https://klasma.github.io/Logging_2513/kartor_geotiff/A 62951-2025 georefererad karta.tif", "A 62951-2025")</f>
        <v/>
      </c>
      <c r="AA46">
        <f>HYPERLINK("https://klasma.github.io/Logging_2513/klagomål/A 62951-2025 FSC-klagomål.docx", "A 62951-2025")</f>
        <v/>
      </c>
      <c r="AB46">
        <f>HYPERLINK("https://klasma.github.io/Logging_2513/klagomålsmail/A 62951-2025 FSC-klagomål mail.docx", "A 62951-2025")</f>
        <v/>
      </c>
      <c r="AC46">
        <f>HYPERLINK("https://klasma.github.io/Logging_2513/tillsyn/A 62951-2025 tillsynsbegäran.docx", "A 62951-2025")</f>
        <v/>
      </c>
      <c r="AD46">
        <f>HYPERLINK("https://klasma.github.io/Logging_2513/tillsynsmail/A 62951-2025 tillsynsbegäran mail.docx", "A 62951-2025")</f>
        <v/>
      </c>
    </row>
    <row r="47" ht="15" customHeight="1">
      <c r="A47" t="inlineStr">
        <is>
          <t>A 60509-2021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44496</v>
      </c>
      <c r="E47" s="1" t="n">
        <v>46283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13.5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Stor aspticka
Vedticka</t>
        </is>
      </c>
      <c r="W47">
        <f>HYPERLINK("https://klasma.github.io/Logging_2513/artfynd/A 60509-2021 artfynd.xlsx", "A 60509-2021")</f>
        <v/>
      </c>
      <c r="X47">
        <f>HYPERLINK("https://klasma.github.io/Logging_2513/kartor/A 60509-2021 karta.png", "A 60509-2021")</f>
        <v/>
      </c>
      <c r="Y47">
        <f>HYPERLINK("https://klasma.github.io/Logging_2513/kartor_geotiff/A 60509-2021 georefererad karta.tif", "A 60509-2021")</f>
        <v/>
      </c>
      <c r="AA47">
        <f>HYPERLINK("https://klasma.github.io/Logging_2513/klagomål/A 60509-2021 FSC-klagomål.docx", "A 60509-2021")</f>
        <v/>
      </c>
      <c r="AB47">
        <f>HYPERLINK("https://klasma.github.io/Logging_2513/klagomålsmail/A 60509-2021 FSC-klagomål mail.docx", "A 60509-2021")</f>
        <v/>
      </c>
      <c r="AC47">
        <f>HYPERLINK("https://klasma.github.io/Logging_2513/tillsyn/A 60509-2021 tillsynsbegäran.docx", "A 60509-2021")</f>
        <v/>
      </c>
      <c r="AD47">
        <f>HYPERLINK("https://klasma.github.io/Logging_2513/tillsynsmail/A 60509-2021 tillsynsbegäran mail.docx", "A 60509-2021")</f>
        <v/>
      </c>
    </row>
    <row r="48" ht="15" customHeight="1">
      <c r="A48" t="inlineStr">
        <is>
          <t>A 26452-2025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45807</v>
      </c>
      <c r="E48" s="1" t="n">
        <v>46283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1.2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Gammelgransskål
Stor aspticka</t>
        </is>
      </c>
      <c r="W48">
        <f>HYPERLINK("https://klasma.github.io/Logging_2513/artfynd/A 26452-2025 artfynd.xlsx", "A 26452-2025")</f>
        <v/>
      </c>
      <c r="X48">
        <f>HYPERLINK("https://klasma.github.io/Logging_2513/kartor/A 26452-2025 karta.png", "A 26452-2025")</f>
        <v/>
      </c>
      <c r="Y48">
        <f>HYPERLINK("https://klasma.github.io/Logging_2513/kartor_geotiff/A 26452-2025 georefererad karta.tif", "A 26452-2025")</f>
        <v/>
      </c>
      <c r="AA48">
        <f>HYPERLINK("https://klasma.github.io/Logging_2513/klagomål/A 26452-2025 FSC-klagomål.docx", "A 26452-2025")</f>
        <v/>
      </c>
      <c r="AB48">
        <f>HYPERLINK("https://klasma.github.io/Logging_2513/klagomålsmail/A 26452-2025 FSC-klagomål mail.docx", "A 26452-2025")</f>
        <v/>
      </c>
      <c r="AC48">
        <f>HYPERLINK("https://klasma.github.io/Logging_2513/tillsyn/A 26452-2025 tillsynsbegäran.docx", "A 26452-2025")</f>
        <v/>
      </c>
      <c r="AD48">
        <f>HYPERLINK("https://klasma.github.io/Logging_2513/tillsynsmail/A 26452-2025 tillsynsbegäran mail.docx", "A 26452-2025")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46283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46283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21777-2024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45442</v>
      </c>
      <c r="E51" s="1" t="n">
        <v>46283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30.5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HYPERLINK("https://klasma.github.io/Logging_2513/artfynd/A 21777-2024 artfynd.xlsx", "A 21777-2024")</f>
        <v/>
      </c>
      <c r="X51">
        <f>HYPERLINK("https://klasma.github.io/Logging_2513/kartor/A 21777-2024 karta.png", "A 21777-2024")</f>
        <v/>
      </c>
      <c r="Y51">
        <f>HYPERLINK("https://klasma.github.io/Logging_2513/kartor_geotiff/A 21777-2024 georefererad karta.tif", "A 21777-2024")</f>
        <v/>
      </c>
      <c r="AA51">
        <f>HYPERLINK("https://klasma.github.io/Logging_2513/klagomål/A 21777-2024 FSC-klagomål.docx", "A 21777-2024")</f>
        <v/>
      </c>
      <c r="AB51">
        <f>HYPERLINK("https://klasma.github.io/Logging_2513/klagomålsmail/A 21777-2024 FSC-klagomål mail.docx", "A 21777-2024")</f>
        <v/>
      </c>
      <c r="AC51">
        <f>HYPERLINK("https://klasma.github.io/Logging_2513/tillsyn/A 21777-2024 tillsynsbegäran.docx", "A 21777-2024")</f>
        <v/>
      </c>
      <c r="AD51">
        <f>HYPERLINK("https://klasma.github.io/Logging_2513/tillsynsmail/A 21777-2024 tillsynsbegäran mail.docx", "A 21777-2024")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46283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35602-2025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45859</v>
      </c>
      <c r="E53" s="1" t="n">
        <v>46283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HYPERLINK("https://klasma.github.io/Logging_2513/artfynd/A 35602-2025 artfynd.xlsx", "A 35602-2025")</f>
        <v/>
      </c>
      <c r="X53">
        <f>HYPERLINK("https://klasma.github.io/Logging_2513/kartor/A 35602-2025 karta.png", "A 35602-2025")</f>
        <v/>
      </c>
      <c r="Y53">
        <f>HYPERLINK("https://klasma.github.io/Logging_2513/kartor_geotiff/A 35602-2025 georefererad karta.tif", "A 35602-2025")</f>
        <v/>
      </c>
      <c r="AA53">
        <f>HYPERLINK("https://klasma.github.io/Logging_2513/klagomål/A 35602-2025 FSC-klagomål.docx", "A 35602-2025")</f>
        <v/>
      </c>
      <c r="AB53">
        <f>HYPERLINK("https://klasma.github.io/Logging_2513/klagomålsmail/A 35602-2025 FSC-klagomål mail.docx", "A 35602-2025")</f>
        <v/>
      </c>
      <c r="AC53">
        <f>HYPERLINK("https://klasma.github.io/Logging_2513/tillsyn/A 35602-2025 tillsynsbegäran.docx", "A 35602-2025")</f>
        <v/>
      </c>
      <c r="AD53">
        <f>HYPERLINK("https://klasma.github.io/Logging_2513/tillsynsmail/A 35602-2025 tillsynsbegäran mail.docx", "A 35602-2025")</f>
        <v/>
      </c>
    </row>
    <row r="54" ht="15" customHeight="1">
      <c r="A54" t="inlineStr">
        <is>
          <t>A 71902-2021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46283</v>
      </c>
      <c r="F54" t="inlineStr">
        <is>
          <t>NORRBOTTENS LÄN</t>
        </is>
      </c>
      <c r="G54" t="inlineStr">
        <is>
          <t>ÖVERKALIX</t>
        </is>
      </c>
      <c r="I54" t="n">
        <v>24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71902-2021 artfynd.xlsx", "A 71902-2021")</f>
        <v/>
      </c>
      <c r="X54">
        <f>HYPERLINK("https://klasma.github.io/Logging_2513/kartor/A 71902-2021 karta.png", "A 71902-2021")</f>
        <v/>
      </c>
      <c r="Y54">
        <f>HYPERLINK("https://klasma.github.io/Logging_2513/kartor_geotiff/A 71902-2021 georefererad karta.tif", "A 71902-2021")</f>
        <v/>
      </c>
      <c r="AA54">
        <f>HYPERLINK("https://klasma.github.io/Logging_2513/klagomål/A 71902-2021 FSC-klagomål.docx", "A 71902-2021")</f>
        <v/>
      </c>
      <c r="AB54">
        <f>HYPERLINK("https://klasma.github.io/Logging_2513/klagomålsmail/A 71902-2021 FSC-klagomål mail.docx", "A 71902-2021")</f>
        <v/>
      </c>
      <c r="AC54">
        <f>HYPERLINK("https://klasma.github.io/Logging_2513/tillsyn/A 71902-2021 tillsynsbegäran.docx", "A 71902-2021")</f>
        <v/>
      </c>
      <c r="AD54">
        <f>HYPERLINK("https://klasma.github.io/Logging_2513/tillsynsmail/A 71902-2021 tillsynsbegäran mail.docx", "A 71902-2021")</f>
        <v/>
      </c>
      <c r="AE54">
        <f>HYPERLINK("https://klasma.github.io/Logging_2513/fåglar/A 71902-2021 prioriterade fågelarter.docx", "A 71902-2021")</f>
        <v/>
      </c>
    </row>
    <row r="55" ht="15" customHeight="1">
      <c r="A55" t="inlineStr">
        <is>
          <t>A 37532-2022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44809</v>
      </c>
      <c r="E55" s="1" t="n">
        <v>46283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 taggsvamp</t>
        </is>
      </c>
      <c r="W55">
        <f>HYPERLINK("https://klasma.github.io/Logging_2513/artfynd/A 37532-2022 artfynd.xlsx", "A 37532-2022")</f>
        <v/>
      </c>
      <c r="X55">
        <f>HYPERLINK("https://klasma.github.io/Logging_2513/kartor/A 37532-2022 karta.png", "A 37532-2022")</f>
        <v/>
      </c>
      <c r="Y55">
        <f>HYPERLINK("https://klasma.github.io/Logging_2513/kartor_geotiff/A 37532-2022 georefererad karta.tif", "A 37532-2022")</f>
        <v/>
      </c>
      <c r="AA55">
        <f>HYPERLINK("https://klasma.github.io/Logging_2513/klagomål/A 37532-2022 FSC-klagomål.docx", "A 37532-2022")</f>
        <v/>
      </c>
      <c r="AB55">
        <f>HYPERLINK("https://klasma.github.io/Logging_2513/klagomålsmail/A 37532-2022 FSC-klagomål mail.docx", "A 37532-2022")</f>
        <v/>
      </c>
      <c r="AC55">
        <f>HYPERLINK("https://klasma.github.io/Logging_2513/tillsyn/A 37532-2022 tillsynsbegäran.docx", "A 37532-2022")</f>
        <v/>
      </c>
      <c r="AD55">
        <f>HYPERLINK("https://klasma.github.io/Logging_2513/tillsynsmail/A 37532-2022 tillsynsbegäran mail.docx", "A 37532-2022")</f>
        <v/>
      </c>
    </row>
    <row r="56" ht="15" customHeight="1">
      <c r="A56" t="inlineStr">
        <is>
          <t>A 20949-2026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46142</v>
      </c>
      <c r="E56" s="1" t="n">
        <v>46283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9.1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20949-2026 artfynd.xlsx", "A 20949-2026")</f>
        <v/>
      </c>
      <c r="X56">
        <f>HYPERLINK("https://klasma.github.io/Logging_2513/kartor/A 20949-2026 karta.png", "A 20949-2026")</f>
        <v/>
      </c>
      <c r="Y56">
        <f>HYPERLINK("https://klasma.github.io/Logging_2513/kartor_geotiff/A 20949-2026 georefererad karta.tif", "A 20949-2026")</f>
        <v/>
      </c>
      <c r="AA56">
        <f>HYPERLINK("https://klasma.github.io/Logging_2513/klagomål/A 20949-2026 FSC-klagomål.docx", "A 20949-2026")</f>
        <v/>
      </c>
      <c r="AB56">
        <f>HYPERLINK("https://klasma.github.io/Logging_2513/klagomålsmail/A 20949-2026 FSC-klagomål mail.docx", "A 20949-2026")</f>
        <v/>
      </c>
      <c r="AC56">
        <f>HYPERLINK("https://klasma.github.io/Logging_2513/tillsyn/A 20949-2026 tillsynsbegäran.docx", "A 20949-2026")</f>
        <v/>
      </c>
      <c r="AD56">
        <f>HYPERLINK("https://klasma.github.io/Logging_2513/tillsynsmail/A 20949-2026 tillsynsbegäran mail.docx", "A 20949-2026")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46283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31920-2026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46231</v>
      </c>
      <c r="E58" s="1" t="n">
        <v>46283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HYPERLINK("https://klasma.github.io/Logging_2513/artfynd/A 31920-2026 artfynd.xlsx", "A 31920-2026")</f>
        <v/>
      </c>
      <c r="X58">
        <f>HYPERLINK("https://klasma.github.io/Logging_2513/kartor/A 31920-2026 karta.png", "A 31920-2026")</f>
        <v/>
      </c>
      <c r="Y58">
        <f>HYPERLINK("https://klasma.github.io/Logging_2513/kartor_geotiff/A 31920-2026 georefererad karta.tif", "A 31920-2026")</f>
        <v/>
      </c>
      <c r="AA58">
        <f>HYPERLINK("https://klasma.github.io/Logging_2513/klagomål/A 31920-2026 FSC-klagomål.docx", "A 31920-2026")</f>
        <v/>
      </c>
      <c r="AB58">
        <f>HYPERLINK("https://klasma.github.io/Logging_2513/klagomålsmail/A 31920-2026 FSC-klagomål mail.docx", "A 31920-2026")</f>
        <v/>
      </c>
      <c r="AC58">
        <f>HYPERLINK("https://klasma.github.io/Logging_2513/tillsyn/A 31920-2026 tillsynsbegäran.docx", "A 31920-2026")</f>
        <v/>
      </c>
      <c r="AD58">
        <f>HYPERLINK("https://klasma.github.io/Logging_2513/tillsynsmail/A 31920-2026 tillsynsbegäran mail.docx", "A 31920-2026")</f>
        <v/>
      </c>
    </row>
    <row r="59" ht="15" customHeight="1">
      <c r="A59" t="inlineStr">
        <is>
          <t>A 8407-2025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45709</v>
      </c>
      <c r="E59" s="1" t="n">
        <v>46283</v>
      </c>
      <c r="F59" t="inlineStr">
        <is>
          <t>NORRBOTTENS LÄN</t>
        </is>
      </c>
      <c r="G59" t="inlineStr">
        <is>
          <t>ÖVERKALIX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Tallbit</t>
        </is>
      </c>
      <c r="W59">
        <f>HYPERLINK("https://klasma.github.io/Logging_2513/artfynd/A 8407-2025 artfynd.xlsx", "A 8407-2025")</f>
        <v/>
      </c>
      <c r="X59">
        <f>HYPERLINK("https://klasma.github.io/Logging_2513/kartor/A 8407-2025 karta.png", "A 8407-2025")</f>
        <v/>
      </c>
      <c r="Y59">
        <f>HYPERLINK("https://klasma.github.io/Logging_2513/kartor_geotiff/A 8407-2025 georefererad karta.tif", "A 8407-2025")</f>
        <v/>
      </c>
      <c r="AA59">
        <f>HYPERLINK("https://klasma.github.io/Logging_2513/klagomål/A 8407-2025 FSC-klagomål.docx", "A 8407-2025")</f>
        <v/>
      </c>
      <c r="AB59">
        <f>HYPERLINK("https://klasma.github.io/Logging_2513/klagomålsmail/A 8407-2025 FSC-klagomål mail.docx", "A 8407-2025")</f>
        <v/>
      </c>
      <c r="AC59">
        <f>HYPERLINK("https://klasma.github.io/Logging_2513/tillsyn/A 8407-2025 tillsynsbegäran.docx", "A 8407-2025")</f>
        <v/>
      </c>
      <c r="AD59">
        <f>HYPERLINK("https://klasma.github.io/Logging_2513/tillsynsmail/A 8407-2025 tillsynsbegäran mail.docx", "A 8407-2025")</f>
        <v/>
      </c>
      <c r="AE59">
        <f>HYPERLINK("https://klasma.github.io/Logging_2513/fåglar/A 8407-2025 prioriterade fågelarter.docx", "A 8407-2025")</f>
        <v/>
      </c>
    </row>
    <row r="60" ht="15" customHeight="1">
      <c r="A60" t="inlineStr">
        <is>
          <t>A 7234-2023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44970</v>
      </c>
      <c r="E60" s="1" t="n">
        <v>46283</v>
      </c>
      <c r="F60" t="inlineStr">
        <is>
          <t>NORRBOTTENS LÄN</t>
        </is>
      </c>
      <c r="G60" t="inlineStr">
        <is>
          <t>ÖVERKALIX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HYPERLINK("https://klasma.github.io/Logging_2513/artfynd/A 7234-2023 artfynd.xlsx", "A 7234-2023")</f>
        <v/>
      </c>
      <c r="X60">
        <f>HYPERLINK("https://klasma.github.io/Logging_2513/kartor/A 7234-2023 karta.png", "A 7234-2023")</f>
        <v/>
      </c>
      <c r="Y60">
        <f>HYPERLINK("https://klasma.github.io/Logging_2513/kartor_geotiff/A 7234-2023 georefererad karta.tif", "A 7234-2023")</f>
        <v/>
      </c>
      <c r="AA60">
        <f>HYPERLINK("https://klasma.github.io/Logging_2513/klagomål/A 7234-2023 FSC-klagomål.docx", "A 7234-2023")</f>
        <v/>
      </c>
      <c r="AB60">
        <f>HYPERLINK("https://klasma.github.io/Logging_2513/klagomålsmail/A 7234-2023 FSC-klagomål mail.docx", "A 7234-2023")</f>
        <v/>
      </c>
      <c r="AC60">
        <f>HYPERLINK("https://klasma.github.io/Logging_2513/tillsyn/A 7234-2023 tillsynsbegäran.docx", "A 7234-2023")</f>
        <v/>
      </c>
      <c r="AD60">
        <f>HYPERLINK("https://klasma.github.io/Logging_2513/tillsynsmail/A 7234-2023 tillsynsbegäran mail.docx", "A 7234-2023")</f>
        <v/>
      </c>
      <c r="AE60">
        <f>HYPERLINK("https://klasma.github.io/Logging_2513/fåglar/A 7234-2023 prioriterade fågelarter.docx", "A 7234-2023")</f>
        <v/>
      </c>
    </row>
    <row r="61" ht="15" customHeight="1">
      <c r="A61" t="inlineStr">
        <is>
          <t>A 46280-2024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45581</v>
      </c>
      <c r="E61" s="1" t="n">
        <v>46283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Spillkråka</t>
        </is>
      </c>
      <c r="W61">
        <f>HYPERLINK("https://klasma.github.io/Logging_2513/artfynd/A 46280-2024 artfynd.xlsx", "A 46280-2024")</f>
        <v/>
      </c>
      <c r="X61">
        <f>HYPERLINK("https://klasma.github.io/Logging_2513/kartor/A 46280-2024 karta.png", "A 46280-2024")</f>
        <v/>
      </c>
      <c r="Y61">
        <f>HYPERLINK("https://klasma.github.io/Logging_2513/kartor_geotiff/A 46280-2024 georefererad karta.tif", "A 46280-2024")</f>
        <v/>
      </c>
      <c r="AA61">
        <f>HYPERLINK("https://klasma.github.io/Logging_2513/klagomål/A 46280-2024 FSC-klagomål.docx", "A 46280-2024")</f>
        <v/>
      </c>
      <c r="AB61">
        <f>HYPERLINK("https://klasma.github.io/Logging_2513/klagomålsmail/A 46280-2024 FSC-klagomål mail.docx", "A 46280-2024")</f>
        <v/>
      </c>
      <c r="AC61">
        <f>HYPERLINK("https://klasma.github.io/Logging_2513/tillsyn/A 46280-2024 tillsynsbegäran.docx", "A 46280-2024")</f>
        <v/>
      </c>
      <c r="AD61">
        <f>HYPERLINK("https://klasma.github.io/Logging_2513/tillsynsmail/A 46280-2024 tillsynsbegäran mail.docx", "A 46280-2024")</f>
        <v/>
      </c>
      <c r="AE61">
        <f>HYPERLINK("https://klasma.github.io/Logging_2513/fåglar/A 46280-2024 prioriterade fågelarter.docx", "A 46280-2024")</f>
        <v/>
      </c>
    </row>
    <row r="62" ht="15" customHeight="1">
      <c r="A62" t="inlineStr">
        <is>
          <t>A 46281-2024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46283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 taggsvamp</t>
        </is>
      </c>
      <c r="W62">
        <f>HYPERLINK("https://klasma.github.io/Logging_2513/artfynd/A 46281-2024 artfynd.xlsx", "A 46281-2024")</f>
        <v/>
      </c>
      <c r="X62">
        <f>HYPERLINK("https://klasma.github.io/Logging_2513/kartor/A 46281-2024 karta.png", "A 46281-2024")</f>
        <v/>
      </c>
      <c r="Y62">
        <f>HYPERLINK("https://klasma.github.io/Logging_2513/kartor_geotiff/A 46281-2024 georefererad karta.tif", "A 46281-2024")</f>
        <v/>
      </c>
      <c r="AA62">
        <f>HYPERLINK("https://klasma.github.io/Logging_2513/klagomål/A 46281-2024 FSC-klagomål.docx", "A 46281-2024")</f>
        <v/>
      </c>
      <c r="AB62">
        <f>HYPERLINK("https://klasma.github.io/Logging_2513/klagomålsmail/A 46281-2024 FSC-klagomål mail.docx", "A 46281-2024")</f>
        <v/>
      </c>
      <c r="AC62">
        <f>HYPERLINK("https://klasma.github.io/Logging_2513/tillsyn/A 46281-2024 tillsynsbegäran.docx", "A 46281-2024")</f>
        <v/>
      </c>
      <c r="AD62">
        <f>HYPERLINK("https://klasma.github.io/Logging_2513/tillsynsmail/A 46281-2024 tillsynsbegäran mail.docx", "A 46281-2024")</f>
        <v/>
      </c>
    </row>
    <row r="63" ht="15" customHeight="1">
      <c r="A63" t="inlineStr">
        <is>
          <t>A 26305-2025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46283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5.2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Luddlav</t>
        </is>
      </c>
      <c r="W63">
        <f>HYPERLINK("https://klasma.github.io/Logging_2513/artfynd/A 26305-2025 artfynd.xlsx", "A 26305-2025")</f>
        <v/>
      </c>
      <c r="X63">
        <f>HYPERLINK("https://klasma.github.io/Logging_2513/kartor/A 26305-2025 karta.png", "A 26305-2025")</f>
        <v/>
      </c>
      <c r="Y63">
        <f>HYPERLINK("https://klasma.github.io/Logging_2513/kartor_geotiff/A 26305-2025 georefererad karta.tif", "A 26305-2025")</f>
        <v/>
      </c>
      <c r="AA63">
        <f>HYPERLINK("https://klasma.github.io/Logging_2513/klagomål/A 26305-2025 FSC-klagomål.docx", "A 26305-2025")</f>
        <v/>
      </c>
      <c r="AB63">
        <f>HYPERLINK("https://klasma.github.io/Logging_2513/klagomålsmail/A 26305-2025 FSC-klagomål mail.docx", "A 26305-2025")</f>
        <v/>
      </c>
      <c r="AC63">
        <f>HYPERLINK("https://klasma.github.io/Logging_2513/tillsyn/A 26305-2025 tillsynsbegäran.docx", "A 26305-2025")</f>
        <v/>
      </c>
      <c r="AD63">
        <f>HYPERLINK("https://klasma.github.io/Logging_2513/tillsynsmail/A 26305-2025 tillsynsbegäran mail.docx", "A 26305-2025")</f>
        <v/>
      </c>
    </row>
    <row r="64" ht="15" customHeight="1">
      <c r="A64" t="inlineStr">
        <is>
          <t>A 27452-2025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46283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6.3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HYPERLINK("https://klasma.github.io/Logging_2513/artfynd/A 27452-2025 artfynd.xlsx", "A 27452-2025")</f>
        <v/>
      </c>
      <c r="X64">
        <f>HYPERLINK("https://klasma.github.io/Logging_2513/kartor/A 27452-2025 karta.png", "A 27452-2025")</f>
        <v/>
      </c>
      <c r="Y64">
        <f>HYPERLINK("https://klasma.github.io/Logging_2513/kartor_geotiff/A 27452-2025 georefererad karta.tif", "A 27452-2025")</f>
        <v/>
      </c>
      <c r="AA64">
        <f>HYPERLINK("https://klasma.github.io/Logging_2513/klagomål/A 27452-2025 FSC-klagomål.docx", "A 27452-2025")</f>
        <v/>
      </c>
      <c r="AB64">
        <f>HYPERLINK("https://klasma.github.io/Logging_2513/klagomålsmail/A 27452-2025 FSC-klagomål mail.docx", "A 27452-2025")</f>
        <v/>
      </c>
      <c r="AC64">
        <f>HYPERLINK("https://klasma.github.io/Logging_2513/tillsyn/A 27452-2025 tillsynsbegäran.docx", "A 27452-2025")</f>
        <v/>
      </c>
      <c r="AD64">
        <f>HYPERLINK("https://klasma.github.io/Logging_2513/tillsynsmail/A 27452-2025 tillsynsbegäran mail.docx", "A 27452-2025")</f>
        <v/>
      </c>
      <c r="AE64">
        <f>HYPERLINK("https://klasma.github.io/Logging_2513/fåglar/A 27452-2025 prioriterade fågelarter.docx", "A 27452-2025")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46283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46283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46283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46283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46283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46283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46283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46283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46283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46283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46283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46283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46283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46283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44470</v>
      </c>
      <c r="E79" s="1" t="n">
        <v>46283</v>
      </c>
      <c r="F79" t="inlineStr">
        <is>
          <t>NORRBOTTENS LÄN</t>
        </is>
      </c>
      <c r="G79" t="inlineStr">
        <is>
          <t>ÖVERKALIX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46283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46283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46283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46283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46283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46283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46283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46283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46283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46283</v>
      </c>
      <c r="F89" t="inlineStr">
        <is>
          <t>NORRBOTTENS LÄN</t>
        </is>
      </c>
      <c r="G89" t="inlineStr">
        <is>
          <t>ÖVERKALIX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19985-2025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46283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45238</v>
      </c>
      <c r="E91" s="1" t="n">
        <v>46283</v>
      </c>
      <c r="F91" t="inlineStr">
        <is>
          <t>NORRBOTTENS LÄN</t>
        </is>
      </c>
      <c r="G91" t="inlineStr">
        <is>
          <t>ÖVERKALIX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46283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45429</v>
      </c>
      <c r="E93" s="1" t="n">
        <v>46283</v>
      </c>
      <c r="F93" t="inlineStr">
        <is>
          <t>NORRBOTTENS LÄN</t>
        </is>
      </c>
      <c r="G93" t="inlineStr">
        <is>
          <t>ÖVERKALIX</t>
        </is>
      </c>
      <c r="H93" t="inlineStr">
        <is>
          <t>Sveaskog</t>
        </is>
      </c>
      <c r="I93" t="n">
        <v>22.7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46283</v>
      </c>
      <c r="F94" t="inlineStr">
        <is>
          <t>NORRBOTTENS LÄN</t>
        </is>
      </c>
      <c r="G94" t="inlineStr">
        <is>
          <t>ÖVERKALIX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12580-2024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45379</v>
      </c>
      <c r="E95" s="1" t="n">
        <v>46283</v>
      </c>
      <c r="F95" t="inlineStr">
        <is>
          <t>NORRBOTTENS LÄN</t>
        </is>
      </c>
      <c r="G95" t="inlineStr">
        <is>
          <t>ÖVERKALIX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45443</v>
      </c>
      <c r="E96" s="1" t="n">
        <v>46283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25510-2024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45463</v>
      </c>
      <c r="E97" s="1" t="n">
        <v>46283</v>
      </c>
      <c r="F97" t="inlineStr">
        <is>
          <t>NORRBOTTENS LÄN</t>
        </is>
      </c>
      <c r="G97" t="inlineStr">
        <is>
          <t>ÖVERKALIX</t>
        </is>
      </c>
      <c r="H97" t="inlineStr">
        <is>
          <t>Sveaskog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46283</v>
      </c>
      <c r="F98" t="inlineStr">
        <is>
          <t>NORRBOTTENS LÄN</t>
        </is>
      </c>
      <c r="G98" t="inlineStr">
        <is>
          <t>ÖVERKALIX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46283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45075</v>
      </c>
      <c r="E100" s="1" t="n">
        <v>46283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44797</v>
      </c>
      <c r="E101" s="1" t="n">
        <v>46283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72809-2021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44546</v>
      </c>
      <c r="E102" s="1" t="n">
        <v>46283</v>
      </c>
      <c r="F102" t="inlineStr">
        <is>
          <t>NORRBOTTENS LÄN</t>
        </is>
      </c>
      <c r="G102" t="inlineStr">
        <is>
          <t>ÖVERKALIX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45463</v>
      </c>
      <c r="E103" s="1" t="n">
        <v>46283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72623-2021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46283</v>
      </c>
      <c r="F104" t="inlineStr">
        <is>
          <t>NORRBOTTENS LÄN</t>
        </is>
      </c>
      <c r="G104" t="inlineStr">
        <is>
          <t>ÖVERKALIX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46283</v>
      </c>
      <c r="F105" t="inlineStr">
        <is>
          <t>NORRBOTTENS LÄN</t>
        </is>
      </c>
      <c r="G105" t="inlineStr">
        <is>
          <t>ÖVERKALIX</t>
        </is>
      </c>
      <c r="I105" t="n">
        <v>21.7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44817</v>
      </c>
      <c r="E106" s="1" t="n">
        <v>46283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46283</v>
      </c>
      <c r="F107" t="inlineStr">
        <is>
          <t>NORRBOTTENS LÄN</t>
        </is>
      </c>
      <c r="G107" t="inlineStr">
        <is>
          <t>ÖVERKALIX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46283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45428</v>
      </c>
      <c r="E109" s="1" t="n">
        <v>46283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45436</v>
      </c>
      <c r="E110" s="1" t="n">
        <v>46283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44899</v>
      </c>
      <c r="E111" s="1" t="n">
        <v>46283</v>
      </c>
      <c r="F111" t="inlineStr">
        <is>
          <t>NORRBOTTENS LÄN</t>
        </is>
      </c>
      <c r="G111" t="inlineStr">
        <is>
          <t>ÖVERKALIX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46283</v>
      </c>
      <c r="F112" t="inlineStr">
        <is>
          <t>NORRBOTTENS LÄN</t>
        </is>
      </c>
      <c r="G112" t="inlineStr">
        <is>
          <t>ÖVERKALIX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46283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45518</v>
      </c>
      <c r="E114" s="1" t="n">
        <v>46283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45518</v>
      </c>
      <c r="E115" s="1" t="n">
        <v>46283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46283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46283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9.699999999999999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28402-2025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46283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46283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46283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28400-2025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46283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46283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8.199999999999999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29150-2025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46283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17.2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46283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46283</v>
      </c>
      <c r="F125" t="inlineStr">
        <is>
          <t>NORRBOTTENS LÄN</t>
        </is>
      </c>
      <c r="G125" t="inlineStr">
        <is>
          <t>ÖVERKALIX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46283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46283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24.4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46283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45826</v>
      </c>
      <c r="E129" s="1" t="n">
        <v>46283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45826</v>
      </c>
      <c r="E130" s="1" t="n">
        <v>46283</v>
      </c>
      <c r="F130" t="inlineStr">
        <is>
          <t>NORRBOTTENS LÄN</t>
        </is>
      </c>
      <c r="G130" t="inlineStr">
        <is>
          <t>ÖVERKALIX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44966</v>
      </c>
      <c r="E131" s="1" t="n">
        <v>46283</v>
      </c>
      <c r="F131" t="inlineStr">
        <is>
          <t>NORRBOTTENS LÄN</t>
        </is>
      </c>
      <c r="G131" t="inlineStr">
        <is>
          <t>ÖVERKALIX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46283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10293-2026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46076</v>
      </c>
      <c r="E133" s="1" t="n">
        <v>46283</v>
      </c>
      <c r="F133" t="inlineStr">
        <is>
          <t>NORRBOTTENS LÄN</t>
        </is>
      </c>
      <c r="G133" t="inlineStr">
        <is>
          <t>ÖVERKALIX</t>
        </is>
      </c>
      <c r="I133" t="n">
        <v>10.8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44950</v>
      </c>
      <c r="E134" s="1" t="n">
        <v>46283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46283</v>
      </c>
      <c r="F135" t="inlineStr">
        <is>
          <t>NORRBOTTENS LÄN</t>
        </is>
      </c>
      <c r="G135" t="inlineStr">
        <is>
          <t>ÖVERKALIX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10292-2026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46076</v>
      </c>
      <c r="E136" s="1" t="n">
        <v>46283</v>
      </c>
      <c r="F136" t="inlineStr">
        <is>
          <t>NORRBOTTENS LÄN</t>
        </is>
      </c>
      <c r="G136" t="inlineStr">
        <is>
          <t>ÖVERKALIX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11329-2024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45371</v>
      </c>
      <c r="E137" s="1" t="n">
        <v>46283</v>
      </c>
      <c r="F137" t="inlineStr">
        <is>
          <t>NORRBOTTENS LÄN</t>
        </is>
      </c>
      <c r="G137" t="inlineStr">
        <is>
          <t>ÖVERKALIX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45588</v>
      </c>
      <c r="E138" s="1" t="n">
        <v>46283</v>
      </c>
      <c r="F138" t="inlineStr">
        <is>
          <t>NORRBOTTENS LÄN</t>
        </is>
      </c>
      <c r="G138" t="inlineStr">
        <is>
          <t>ÖVERKALIX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46283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28343-2025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45818</v>
      </c>
      <c r="E140" s="1" t="n">
        <v>46283</v>
      </c>
      <c r="F140" t="inlineStr">
        <is>
          <t>NORRBOTTENS LÄN</t>
        </is>
      </c>
      <c r="G140" t="inlineStr">
        <is>
          <t>ÖVERKALIX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31744-2025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45834</v>
      </c>
      <c r="E141" s="1" t="n">
        <v>46283</v>
      </c>
      <c r="F141" t="inlineStr">
        <is>
          <t>NORRBOTTENS LÄN</t>
        </is>
      </c>
      <c r="G141" t="inlineStr">
        <is>
          <t>ÖVERKALIX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46080</v>
      </c>
      <c r="E142" s="1" t="n">
        <v>46283</v>
      </c>
      <c r="F142" t="inlineStr">
        <is>
          <t>NORRBOTTENS LÄN</t>
        </is>
      </c>
      <c r="G142" t="inlineStr">
        <is>
          <t>ÖVERKALIX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32636-2025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45838</v>
      </c>
      <c r="E143" s="1" t="n">
        <v>46283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32067-2025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45835</v>
      </c>
      <c r="E144" s="1" t="n">
        <v>46283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46080</v>
      </c>
      <c r="E145" s="1" t="n">
        <v>46283</v>
      </c>
      <c r="F145" t="inlineStr">
        <is>
          <t>NORRBOTTENS LÄN</t>
        </is>
      </c>
      <c r="G145" t="inlineStr">
        <is>
          <t>ÖVERKALIX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46283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11772-2026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46283</v>
      </c>
      <c r="F147" t="inlineStr">
        <is>
          <t>NORRBOTTENS LÄN</t>
        </is>
      </c>
      <c r="G147" t="inlineStr">
        <is>
          <t>ÖVERKALIX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45837</v>
      </c>
      <c r="E148" s="1" t="n">
        <v>46283</v>
      </c>
      <c r="F148" t="inlineStr">
        <is>
          <t>NORRBOTTENS LÄN</t>
        </is>
      </c>
      <c r="G148" t="inlineStr">
        <is>
          <t>ÖVERKALIX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46283</v>
      </c>
      <c r="F149" t="inlineStr">
        <is>
          <t>NORRBOTTENS LÄN</t>
        </is>
      </c>
      <c r="G149" t="inlineStr">
        <is>
          <t>ÖVERKALIX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46084</v>
      </c>
      <c r="E150" s="1" t="n">
        <v>46283</v>
      </c>
      <c r="F150" t="inlineStr">
        <is>
          <t>NORRBOTTENS LÄN</t>
        </is>
      </c>
      <c r="G150" t="inlineStr">
        <is>
          <t>ÖVERKALIX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46283</v>
      </c>
      <c r="F151" t="inlineStr">
        <is>
          <t>NORRBOTTENS LÄN</t>
        </is>
      </c>
      <c r="G151" t="inlineStr">
        <is>
          <t>ÖVERKALIX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46283</v>
      </c>
      <c r="F152" t="inlineStr">
        <is>
          <t>NORRBOTTENS LÄN</t>
        </is>
      </c>
      <c r="G152" t="inlineStr">
        <is>
          <t>ÖVERKALIX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46283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46283</v>
      </c>
      <c r="F154" t="inlineStr">
        <is>
          <t>NORRBOTTENS LÄN</t>
        </is>
      </c>
      <c r="G154" t="inlineStr">
        <is>
          <t>ÖVERKALIX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45837</v>
      </c>
      <c r="E155" s="1" t="n">
        <v>46283</v>
      </c>
      <c r="F155" t="inlineStr">
        <is>
          <t>NORRBOTTENS LÄN</t>
        </is>
      </c>
      <c r="G155" t="inlineStr">
        <is>
          <t>ÖVERKALIX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45837</v>
      </c>
      <c r="E156" s="1" t="n">
        <v>46283</v>
      </c>
      <c r="F156" t="inlineStr">
        <is>
          <t>NORRBOTTENS LÄN</t>
        </is>
      </c>
      <c r="G156" t="inlineStr">
        <is>
          <t>ÖVERKALIX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46283</v>
      </c>
      <c r="F157" t="inlineStr">
        <is>
          <t>NORRBOTTENS LÄN</t>
        </is>
      </c>
      <c r="G157" t="inlineStr">
        <is>
          <t>ÖVERKALIX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46087</v>
      </c>
      <c r="E158" s="1" t="n">
        <v>46283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46087</v>
      </c>
      <c r="E159" s="1" t="n">
        <v>46283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45839</v>
      </c>
      <c r="E160" s="1" t="n">
        <v>46283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9.199999999999999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46283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19529-2024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45429</v>
      </c>
      <c r="E162" s="1" t="n">
        <v>46283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46283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45401</v>
      </c>
      <c r="E164" s="1" t="n">
        <v>46283</v>
      </c>
      <c r="F164" t="inlineStr">
        <is>
          <t>NORRBOTTENS LÄN</t>
        </is>
      </c>
      <c r="G164" t="inlineStr">
        <is>
          <t>ÖVERKALIX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34128-2025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45845</v>
      </c>
      <c r="E165" s="1" t="n">
        <v>46283</v>
      </c>
      <c r="F165" t="inlineStr">
        <is>
          <t>NORRBOTTENS LÄN</t>
        </is>
      </c>
      <c r="G165" t="inlineStr">
        <is>
          <t>ÖVERKALIX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46093</v>
      </c>
      <c r="E166" s="1" t="n">
        <v>46283</v>
      </c>
      <c r="F166" t="inlineStr">
        <is>
          <t>NORRBOTTENS LÄN</t>
        </is>
      </c>
      <c r="G166" t="inlineStr">
        <is>
          <t>ÖVERKALIX</t>
        </is>
      </c>
      <c r="I166" t="n">
        <v>12.5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45107</v>
      </c>
      <c r="E167" s="1" t="n">
        <v>46283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62561-2023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45268</v>
      </c>
      <c r="E168" s="1" t="n">
        <v>46283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45076</v>
      </c>
      <c r="E169" s="1" t="n">
        <v>46283</v>
      </c>
      <c r="F169" t="inlineStr">
        <is>
          <t>NORRBOTTENS LÄN</t>
        </is>
      </c>
      <c r="G169" t="inlineStr">
        <is>
          <t>ÖVERKALIX</t>
        </is>
      </c>
      <c r="H169" t="inlineStr">
        <is>
          <t>Övriga statliga verk och myndigheter</t>
        </is>
      </c>
      <c r="I169" t="n">
        <v>38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15011-2026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46104</v>
      </c>
      <c r="E170" s="1" t="n">
        <v>46283</v>
      </c>
      <c r="F170" t="inlineStr">
        <is>
          <t>NORRBOTTENS LÄN</t>
        </is>
      </c>
      <c r="G170" t="inlineStr">
        <is>
          <t>ÖVERKALIX</t>
        </is>
      </c>
      <c r="I170" t="n">
        <v>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46283</v>
      </c>
      <c r="F171" t="inlineStr">
        <is>
          <t>NORRBOTTENS LÄN</t>
        </is>
      </c>
      <c r="G171" t="inlineStr">
        <is>
          <t>ÖVERKALIX</t>
        </is>
      </c>
      <c r="I171" t="n">
        <v>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15358-2026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46283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22.8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46283</v>
      </c>
      <c r="F173" t="inlineStr">
        <is>
          <t>NORRBOTTENS LÄN</t>
        </is>
      </c>
      <c r="G173" t="inlineStr">
        <is>
          <t>ÖVERKALIX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45890</v>
      </c>
      <c r="E174" s="1" t="n">
        <v>46283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13.4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46283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10.9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45869</v>
      </c>
      <c r="E176" s="1" t="n">
        <v>46283</v>
      </c>
      <c r="F176" t="inlineStr">
        <is>
          <t>NORRBOTTENS LÄN</t>
        </is>
      </c>
      <c r="G176" t="inlineStr">
        <is>
          <t>ÖVERKALIX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46113</v>
      </c>
      <c r="E177" s="1" t="n">
        <v>46283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45870</v>
      </c>
      <c r="E178" s="1" t="n">
        <v>46283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45870</v>
      </c>
      <c r="E179" s="1" t="n">
        <v>46283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45869</v>
      </c>
      <c r="E180" s="1" t="n">
        <v>46283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16487-2026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46112</v>
      </c>
      <c r="E181" s="1" t="n">
        <v>46283</v>
      </c>
      <c r="F181" t="inlineStr">
        <is>
          <t>NORRBOTTENS LÄN</t>
        </is>
      </c>
      <c r="G181" t="inlineStr">
        <is>
          <t>ÖVERKALIX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45643</v>
      </c>
      <c r="E182" s="1" t="n">
        <v>46283</v>
      </c>
      <c r="F182" t="inlineStr">
        <is>
          <t>NORRBOTTENS LÄN</t>
        </is>
      </c>
      <c r="G182" t="inlineStr">
        <is>
          <t>ÖVERKALIX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45631</v>
      </c>
      <c r="E183" s="1" t="n">
        <v>46283</v>
      </c>
      <c r="F183" t="inlineStr">
        <is>
          <t>NORRBOTTENS LÄN</t>
        </is>
      </c>
      <c r="G183" t="inlineStr">
        <is>
          <t>ÖVERKALIX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45873</v>
      </c>
      <c r="E184" s="1" t="n">
        <v>46283</v>
      </c>
      <c r="F184" t="inlineStr">
        <is>
          <t>NORRBOTTENS LÄN</t>
        </is>
      </c>
      <c r="G184" t="inlineStr">
        <is>
          <t>ÖVERKALIX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17690-2026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46121</v>
      </c>
      <c r="E185" s="1" t="n">
        <v>46283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46120</v>
      </c>
      <c r="E186" s="1" t="n">
        <v>46283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17469-2026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46120</v>
      </c>
      <c r="E187" s="1" t="n">
        <v>46283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44993</v>
      </c>
      <c r="E188" s="1" t="n">
        <v>46283</v>
      </c>
      <c r="F188" t="inlineStr">
        <is>
          <t>NORRBOTTENS LÄN</t>
        </is>
      </c>
      <c r="G188" t="inlineStr">
        <is>
          <t>ÖVERKALIX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46283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Sveaskog</t>
        </is>
      </c>
      <c r="I189" t="n">
        <v>37.4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44952-2024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46283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51561-2024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46283</v>
      </c>
      <c r="F191" t="inlineStr">
        <is>
          <t>NORRBOTTENS LÄN</t>
        </is>
      </c>
      <c r="G191" t="inlineStr">
        <is>
          <t>ÖVERKALIX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52976-2024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45611</v>
      </c>
      <c r="E192" s="1" t="n">
        <v>46283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45882</v>
      </c>
      <c r="E193" s="1" t="n">
        <v>46283</v>
      </c>
      <c r="F193" t="inlineStr">
        <is>
          <t>NORRBOTTENS LÄN</t>
        </is>
      </c>
      <c r="G193" t="inlineStr">
        <is>
          <t>ÖVERKALIX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45882</v>
      </c>
      <c r="E194" s="1" t="n">
        <v>46283</v>
      </c>
      <c r="F194" t="inlineStr">
        <is>
          <t>NORRBOTTENS LÄN</t>
        </is>
      </c>
      <c r="G194" t="inlineStr">
        <is>
          <t>ÖVERKALIX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46283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46283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18523-2026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46283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38191-2025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45882</v>
      </c>
      <c r="E198" s="1" t="n">
        <v>46283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46283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18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46132</v>
      </c>
      <c r="E200" s="1" t="n">
        <v>46283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19410-2026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46133</v>
      </c>
      <c r="E201" s="1" t="n">
        <v>46283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46133</v>
      </c>
      <c r="E202" s="1" t="n">
        <v>46283</v>
      </c>
      <c r="F202" t="inlineStr">
        <is>
          <t>NORRBOTTENS LÄN</t>
        </is>
      </c>
      <c r="G202" t="inlineStr">
        <is>
          <t>ÖVERKALIX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19616-2026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46134</v>
      </c>
      <c r="E203" s="1" t="n">
        <v>46283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46283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28.8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46283</v>
      </c>
      <c r="F205" t="inlineStr">
        <is>
          <t>NORRBOTTENS LÄN</t>
        </is>
      </c>
      <c r="G205" t="inlineStr">
        <is>
          <t>ÖVERKALIX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46283</v>
      </c>
      <c r="F206" t="inlineStr">
        <is>
          <t>NORRBOTTENS LÄN</t>
        </is>
      </c>
      <c r="G206" t="inlineStr">
        <is>
          <t>ÖVERKALIX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46283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10.4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26140-2023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45086</v>
      </c>
      <c r="E208" s="1" t="n">
        <v>46283</v>
      </c>
      <c r="F208" t="inlineStr">
        <is>
          <t>NORRBOTTENS LÄN</t>
        </is>
      </c>
      <c r="G208" t="inlineStr">
        <is>
          <t>ÖVERKALIX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45909</v>
      </c>
      <c r="E209" s="1" t="n">
        <v>46283</v>
      </c>
      <c r="F209" t="inlineStr">
        <is>
          <t>NORRBOTTENS LÄN</t>
        </is>
      </c>
      <c r="G209" t="inlineStr">
        <is>
          <t>ÖVERKALIX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46283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44754-2025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45917</v>
      </c>
      <c r="E211" s="1" t="n">
        <v>46283</v>
      </c>
      <c r="F211" t="inlineStr">
        <is>
          <t>NORRBOTTENS LÄN</t>
        </is>
      </c>
      <c r="G211" t="inlineStr">
        <is>
          <t>ÖVERKALIX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60417-2024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45643</v>
      </c>
      <c r="E212" s="1" t="n">
        <v>46283</v>
      </c>
      <c r="F212" t="inlineStr">
        <is>
          <t>NORRBOTTENS LÄN</t>
        </is>
      </c>
      <c r="G212" t="inlineStr">
        <is>
          <t>ÖVERKALIX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45535-2025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45922</v>
      </c>
      <c r="E213" s="1" t="n">
        <v>46283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48577-2023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45208</v>
      </c>
      <c r="E214" s="1" t="n">
        <v>46283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45909</v>
      </c>
      <c r="E215" s="1" t="n">
        <v>46283</v>
      </c>
      <c r="F215" t="inlineStr">
        <is>
          <t>NORRBOTTENS LÄN</t>
        </is>
      </c>
      <c r="G215" t="inlineStr">
        <is>
          <t>ÖVERKALIX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45440</v>
      </c>
      <c r="E216" s="1" t="n">
        <v>46283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45691</v>
      </c>
      <c r="E217" s="1" t="n">
        <v>46283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20.3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45671</v>
      </c>
      <c r="E218" s="1" t="n">
        <v>46283</v>
      </c>
      <c r="F218" t="inlineStr">
        <is>
          <t>NORRBOTTENS LÄN</t>
        </is>
      </c>
      <c r="G218" t="inlineStr">
        <is>
          <t>ÖVERKALIX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46283</v>
      </c>
      <c r="F219" t="inlineStr">
        <is>
          <t>NORRBOTTENS LÄN</t>
        </is>
      </c>
      <c r="G219" t="inlineStr">
        <is>
          <t>ÖVERKALIX</t>
        </is>
      </c>
      <c r="I219" t="n">
        <v>10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15301-2022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44659</v>
      </c>
      <c r="E220" s="1" t="n">
        <v>46283</v>
      </c>
      <c r="F220" t="inlineStr">
        <is>
          <t>NORRBOTTENS LÄN</t>
        </is>
      </c>
      <c r="G220" t="inlineStr">
        <is>
          <t>ÖVERKALIX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45818</v>
      </c>
      <c r="E221" s="1" t="n">
        <v>46283</v>
      </c>
      <c r="F221" t="inlineStr">
        <is>
          <t>NORRBOTTENS LÄN</t>
        </is>
      </c>
      <c r="G221" t="inlineStr">
        <is>
          <t>ÖVERKALIX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13717-2022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44648</v>
      </c>
      <c r="E222" s="1" t="n">
        <v>46283</v>
      </c>
      <c r="F222" t="inlineStr">
        <is>
          <t>NORRBOTTENS LÄN</t>
        </is>
      </c>
      <c r="G222" t="inlineStr">
        <is>
          <t>ÖVERKALIX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46139</v>
      </c>
      <c r="E223" s="1" t="n">
        <v>46283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20505-2026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46283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54143-2021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46283</v>
      </c>
      <c r="F225" t="inlineStr">
        <is>
          <t>NORRBOTTENS LÄN</t>
        </is>
      </c>
      <c r="G225" t="inlineStr">
        <is>
          <t>ÖVERKALIX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44890</v>
      </c>
      <c r="E226" s="1" t="n">
        <v>46283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13.8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45205</v>
      </c>
      <c r="E227" s="1" t="n">
        <v>46283</v>
      </c>
      <c r="F227" t="inlineStr">
        <is>
          <t>NORRBOTTENS LÄN</t>
        </is>
      </c>
      <c r="G227" t="inlineStr">
        <is>
          <t>ÖVERKALIX</t>
        </is>
      </c>
      <c r="I227" t="n">
        <v>9.300000000000001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46283</v>
      </c>
      <c r="F228" t="inlineStr">
        <is>
          <t>NORRBOTTENS LÄN</t>
        </is>
      </c>
      <c r="G228" t="inlineStr">
        <is>
          <t>ÖVERKALIX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46148</v>
      </c>
      <c r="E229" s="1" t="n">
        <v>46283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Sveaskog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46148</v>
      </c>
      <c r="E230" s="1" t="n">
        <v>46283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Sveaskog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46148</v>
      </c>
      <c r="E231" s="1" t="n">
        <v>46283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46148</v>
      </c>
      <c r="E232" s="1" t="n">
        <v>46283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46148</v>
      </c>
      <c r="E233" s="1" t="n">
        <v>46283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46148</v>
      </c>
      <c r="E234" s="1" t="n">
        <v>46283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Sveaskog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46148</v>
      </c>
      <c r="E235" s="1" t="n">
        <v>46283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Sveaskog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46148</v>
      </c>
      <c r="E236" s="1" t="n">
        <v>46283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11.5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46148</v>
      </c>
      <c r="E237" s="1" t="n">
        <v>46283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Sveaskog</t>
        </is>
      </c>
      <c r="I237" t="n">
        <v>18.8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45562</v>
      </c>
      <c r="E238" s="1" t="n">
        <v>46283</v>
      </c>
      <c r="F238" t="inlineStr">
        <is>
          <t>NORRBOTTENS LÄN</t>
        </is>
      </c>
      <c r="G238" t="inlineStr">
        <is>
          <t>ÖVERKALIX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46048</v>
      </c>
      <c r="E239" s="1" t="n">
        <v>46283</v>
      </c>
      <c r="F239" t="inlineStr">
        <is>
          <t>NORRBOTTENS LÄN</t>
        </is>
      </c>
      <c r="G239" t="inlineStr">
        <is>
          <t>ÖVERKALIX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46283</v>
      </c>
      <c r="F240" t="inlineStr">
        <is>
          <t>NORRBOTTENS LÄN</t>
        </is>
      </c>
      <c r="G240" t="inlineStr">
        <is>
          <t>ÖVERKALIX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22163-2026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46153</v>
      </c>
      <c r="E241" s="1" t="n">
        <v>46283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23.2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48221-2025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46283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Sveaskog</t>
        </is>
      </c>
      <c r="I242" t="n">
        <v>11.8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46283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46283</v>
      </c>
      <c r="F244" t="inlineStr">
        <is>
          <t>NORRBOTTENS LÄN</t>
        </is>
      </c>
      <c r="G244" t="inlineStr">
        <is>
          <t>ÖVERKALIX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46160</v>
      </c>
      <c r="E245" s="1" t="n">
        <v>46283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46160</v>
      </c>
      <c r="E246" s="1" t="n">
        <v>46283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22742-2026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46157</v>
      </c>
      <c r="E247" s="1" t="n">
        <v>46283</v>
      </c>
      <c r="F247" t="inlineStr">
        <is>
          <t>NORRBOTTENS LÄN</t>
        </is>
      </c>
      <c r="G247" t="inlineStr">
        <is>
          <t>ÖVERKALIX</t>
        </is>
      </c>
      <c r="I247" t="n">
        <v>10.6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46162</v>
      </c>
      <c r="E248" s="1" t="n">
        <v>46283</v>
      </c>
      <c r="F248" t="inlineStr">
        <is>
          <t>NORRBOTTENS LÄN</t>
        </is>
      </c>
      <c r="G248" t="inlineStr">
        <is>
          <t>ÖVERKALIX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46162</v>
      </c>
      <c r="E249" s="1" t="n">
        <v>46283</v>
      </c>
      <c r="F249" t="inlineStr">
        <is>
          <t>NORRBOTTENS LÄN</t>
        </is>
      </c>
      <c r="G249" t="inlineStr">
        <is>
          <t>ÖVERKALIX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46283</v>
      </c>
      <c r="F250" t="inlineStr">
        <is>
          <t>NORRBOTTENS LÄN</t>
        </is>
      </c>
      <c r="G250" t="inlineStr">
        <is>
          <t>ÖVERKALIX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49756-2025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45940</v>
      </c>
      <c r="E251" s="1" t="n">
        <v>46283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73216-2021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44547</v>
      </c>
      <c r="E252" s="1" t="n">
        <v>46283</v>
      </c>
      <c r="F252" t="inlineStr">
        <is>
          <t>NORRBOTTENS LÄN</t>
        </is>
      </c>
      <c r="G252" t="inlineStr">
        <is>
          <t>ÖVERKALIX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45189</v>
      </c>
      <c r="E253" s="1" t="n">
        <v>46283</v>
      </c>
      <c r="F253" t="inlineStr">
        <is>
          <t>NORRBOTTENS LÄN</t>
        </is>
      </c>
      <c r="G253" t="inlineStr">
        <is>
          <t>ÖVERKALIX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46283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46283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45950</v>
      </c>
      <c r="E256" s="1" t="n">
        <v>46283</v>
      </c>
      <c r="F256" t="inlineStr">
        <is>
          <t>NORRBOTTENS LÄN</t>
        </is>
      </c>
      <c r="G256" t="inlineStr">
        <is>
          <t>ÖVERKALIX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23507-2026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46283</v>
      </c>
      <c r="F257" t="inlineStr">
        <is>
          <t>NORRBOTTENS LÄN</t>
        </is>
      </c>
      <c r="G257" t="inlineStr">
        <is>
          <t>ÖVERKALIX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28372-2025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45818</v>
      </c>
      <c r="E258" s="1" t="n">
        <v>46283</v>
      </c>
      <c r="F258" t="inlineStr">
        <is>
          <t>NORRBOTTENS LÄN</t>
        </is>
      </c>
      <c r="G258" t="inlineStr">
        <is>
          <t>ÖVERKALIX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46168</v>
      </c>
      <c r="E259" s="1" t="n">
        <v>46283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46167</v>
      </c>
      <c r="E260" s="1" t="n">
        <v>46283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46283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14.2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12591-2024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45379</v>
      </c>
      <c r="E262" s="1" t="n">
        <v>46283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46283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46167</v>
      </c>
      <c r="E264" s="1" t="n">
        <v>46283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46167</v>
      </c>
      <c r="E265" s="1" t="n">
        <v>46283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46283</v>
      </c>
      <c r="F266" t="inlineStr">
        <is>
          <t>NORRBOTTENS LÄN</t>
        </is>
      </c>
      <c r="G266" t="inlineStr">
        <is>
          <t>ÖVERKALIX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46168</v>
      </c>
      <c r="E267" s="1" t="n">
        <v>46283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18.6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23935-2026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46167</v>
      </c>
      <c r="E268" s="1" t="n">
        <v>46283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46283</v>
      </c>
      <c r="F269" t="inlineStr">
        <is>
          <t>NORRBOTTENS LÄN</t>
        </is>
      </c>
      <c r="G269" t="inlineStr">
        <is>
          <t>ÖVERKALIX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46283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45404</v>
      </c>
      <c r="E271" s="1" t="n">
        <v>46283</v>
      </c>
      <c r="F271" t="inlineStr">
        <is>
          <t>NORRBOTTENS LÄN</t>
        </is>
      </c>
      <c r="G271" t="inlineStr">
        <is>
          <t>ÖVERKALIX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45944</v>
      </c>
      <c r="E272" s="1" t="n">
        <v>46283</v>
      </c>
      <c r="F272" t="inlineStr">
        <is>
          <t>NORRBOTTENS LÄN</t>
        </is>
      </c>
      <c r="G272" t="inlineStr">
        <is>
          <t>ÖVERKALIX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25180-2026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46283</v>
      </c>
      <c r="F273" t="inlineStr">
        <is>
          <t>NORRBOTTENS LÄN</t>
        </is>
      </c>
      <c r="G273" t="inlineStr">
        <is>
          <t>ÖVERKALIX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50720-2025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45946</v>
      </c>
      <c r="E274" s="1" t="n">
        <v>46283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45460</v>
      </c>
      <c r="E275" s="1" t="n">
        <v>46283</v>
      </c>
      <c r="F275" t="inlineStr">
        <is>
          <t>NORRBOTTENS LÄN</t>
        </is>
      </c>
      <c r="G275" t="inlineStr">
        <is>
          <t>ÖVERKALIX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45429</v>
      </c>
      <c r="E276" s="1" t="n">
        <v>46283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25546-2026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46283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45947</v>
      </c>
      <c r="E278" s="1" t="n">
        <v>46283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45947</v>
      </c>
      <c r="E279" s="1" t="n">
        <v>46283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14255-2023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45009</v>
      </c>
      <c r="E280" s="1" t="n">
        <v>46283</v>
      </c>
      <c r="F280" t="inlineStr">
        <is>
          <t>NORRBOTTENS LÄN</t>
        </is>
      </c>
      <c r="G280" t="inlineStr">
        <is>
          <t>ÖVERKALIX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45949</v>
      </c>
      <c r="E281" s="1" t="n">
        <v>46283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46283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45133</v>
      </c>
      <c r="E283" s="1" t="n">
        <v>46283</v>
      </c>
      <c r="F283" t="inlineStr">
        <is>
          <t>NORRBOTTENS LÄN</t>
        </is>
      </c>
      <c r="G283" t="inlineStr">
        <is>
          <t>ÖVERKALIX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51634-2025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45951</v>
      </c>
      <c r="E284" s="1" t="n">
        <v>46283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25822-2026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46178</v>
      </c>
      <c r="E285" s="1" t="n">
        <v>46283</v>
      </c>
      <c r="F285" t="inlineStr">
        <is>
          <t>NORRBOTTENS LÄN</t>
        </is>
      </c>
      <c r="G285" t="inlineStr">
        <is>
          <t>ÖVERKALIX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45771</v>
      </c>
      <c r="E286" s="1" t="n">
        <v>46283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10.5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51656-2025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46283</v>
      </c>
      <c r="F287" t="inlineStr">
        <is>
          <t>NORRBOTTENS LÄN</t>
        </is>
      </c>
      <c r="G287" t="inlineStr">
        <is>
          <t>ÖVERKALIX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25965-2026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46181</v>
      </c>
      <c r="E288" s="1" t="n">
        <v>46283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Sveaskog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46283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26429-2026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46183</v>
      </c>
      <c r="E290" s="1" t="n">
        <v>46283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8.5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47734-2024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45588</v>
      </c>
      <c r="E291" s="1" t="n">
        <v>46283</v>
      </c>
      <c r="F291" t="inlineStr">
        <is>
          <t>NORRBOTTENS LÄN</t>
        </is>
      </c>
      <c r="G291" t="inlineStr">
        <is>
          <t>ÖVERKALIX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52591-2025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45954</v>
      </c>
      <c r="E292" s="1" t="n">
        <v>46283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45540</v>
      </c>
      <c r="E293" s="1" t="n">
        <v>46283</v>
      </c>
      <c r="F293" t="inlineStr">
        <is>
          <t>NORRBOTTENS LÄN</t>
        </is>
      </c>
      <c r="G293" t="inlineStr">
        <is>
          <t>ÖVERKALIX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22470-2023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45070</v>
      </c>
      <c r="E294" s="1" t="n">
        <v>46283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26426-2026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46183</v>
      </c>
      <c r="E295" s="1" t="n">
        <v>46283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13.8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46183</v>
      </c>
      <c r="E296" s="1" t="n">
        <v>46283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17.7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46283</v>
      </c>
      <c r="F297" t="inlineStr">
        <is>
          <t>NORRBOTTENS LÄN</t>
        </is>
      </c>
      <c r="G297" t="inlineStr">
        <is>
          <t>ÖVERKALIX</t>
        </is>
      </c>
      <c r="I297" t="n">
        <v>8.6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46283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72364-2021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44543</v>
      </c>
      <c r="E299" s="1" t="n">
        <v>46283</v>
      </c>
      <c r="F299" t="inlineStr">
        <is>
          <t>NORRBOTTENS LÄN</t>
        </is>
      </c>
      <c r="G299" t="inlineStr">
        <is>
          <t>ÖVERKALIX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46187</v>
      </c>
      <c r="E300" s="1" t="n">
        <v>46283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5653-2022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44595</v>
      </c>
      <c r="E301" s="1" t="n">
        <v>46283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46283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9.9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32477-2024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45513</v>
      </c>
      <c r="E303" s="1" t="n">
        <v>46283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55857-2024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45622</v>
      </c>
      <c r="E304" s="1" t="n">
        <v>46283</v>
      </c>
      <c r="F304" t="inlineStr">
        <is>
          <t>NORRBOTTENS LÄN</t>
        </is>
      </c>
      <c r="G304" t="inlineStr">
        <is>
          <t>ÖVERKALIX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45964</v>
      </c>
      <c r="E305" s="1" t="n">
        <v>46283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44603</v>
      </c>
      <c r="E306" s="1" t="n">
        <v>46283</v>
      </c>
      <c r="F306" t="inlineStr">
        <is>
          <t>NORRBOTTENS LÄN</t>
        </is>
      </c>
      <c r="G306" t="inlineStr">
        <is>
          <t>ÖVERKALIX</t>
        </is>
      </c>
      <c r="H306" t="inlineStr">
        <is>
          <t>Övriga statliga verk och myndigheter</t>
        </is>
      </c>
      <c r="I306" t="n">
        <v>10.3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46195</v>
      </c>
      <c r="E307" s="1" t="n">
        <v>46283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28210-2026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46196</v>
      </c>
      <c r="E308" s="1" t="n">
        <v>46283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45321</v>
      </c>
      <c r="E309" s="1" t="n">
        <v>46283</v>
      </c>
      <c r="F309" t="inlineStr">
        <is>
          <t>NORRBOTTENS LÄN</t>
        </is>
      </c>
      <c r="G309" t="inlineStr">
        <is>
          <t>ÖVERKALIX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45967</v>
      </c>
      <c r="E310" s="1" t="n">
        <v>46283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45677</v>
      </c>
      <c r="E311" s="1" t="n">
        <v>46283</v>
      </c>
      <c r="F311" t="inlineStr">
        <is>
          <t>NORRBOTTENS LÄN</t>
        </is>
      </c>
      <c r="G311" t="inlineStr">
        <is>
          <t>ÖVERKALIX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32933-2026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46244</v>
      </c>
      <c r="E312" s="1" t="n">
        <v>46283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46283</v>
      </c>
      <c r="F313" t="inlineStr">
        <is>
          <t>NORRBOTTENS LÄN</t>
        </is>
      </c>
      <c r="G313" t="inlineStr">
        <is>
          <t>ÖVERKALIX</t>
        </is>
      </c>
      <c r="I313" t="n">
        <v>8.6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46283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28644-2026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46198</v>
      </c>
      <c r="E315" s="1" t="n">
        <v>46283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27681-2023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45097</v>
      </c>
      <c r="E316" s="1" t="n">
        <v>46283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46199</v>
      </c>
      <c r="E317" s="1" t="n">
        <v>46283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32962-2026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46244</v>
      </c>
      <c r="E318" s="1" t="n">
        <v>46283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33284-2026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46246</v>
      </c>
      <c r="E319" s="1" t="n">
        <v>46283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45748-2023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45189</v>
      </c>
      <c r="E320" s="1" t="n">
        <v>46283</v>
      </c>
      <c r="F320" t="inlineStr">
        <is>
          <t>NORRBOTTENS LÄN</t>
        </is>
      </c>
      <c r="G320" t="inlineStr">
        <is>
          <t>ÖVERKALIX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46283</v>
      </c>
      <c r="F321" t="inlineStr">
        <is>
          <t>NORRBOTTENS LÄN</t>
        </is>
      </c>
      <c r="G321" t="inlineStr">
        <is>
          <t>ÖVERKALIX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57744-2025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45981</v>
      </c>
      <c r="E322" s="1" t="n">
        <v>46283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29927-2026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46205</v>
      </c>
      <c r="E323" s="1" t="n">
        <v>46283</v>
      </c>
      <c r="F323" t="inlineStr">
        <is>
          <t>NORRBOTTENS LÄN</t>
        </is>
      </c>
      <c r="G323" t="inlineStr">
        <is>
          <t>ÖVERKALIX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45622</v>
      </c>
      <c r="E324" s="1" t="n">
        <v>46283</v>
      </c>
      <c r="F324" t="inlineStr">
        <is>
          <t>NORRBOTTENS LÄN</t>
        </is>
      </c>
      <c r="G324" t="inlineStr">
        <is>
          <t>ÖVERKALIX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45622</v>
      </c>
      <c r="E325" s="1" t="n">
        <v>46283</v>
      </c>
      <c r="F325" t="inlineStr">
        <is>
          <t>NORRBOTTENS LÄN</t>
        </is>
      </c>
      <c r="G325" t="inlineStr">
        <is>
          <t>ÖVERKALIX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29937-2026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46205</v>
      </c>
      <c r="E326" s="1" t="n">
        <v>46283</v>
      </c>
      <c r="F326" t="inlineStr">
        <is>
          <t>NORRBOTTENS LÄN</t>
        </is>
      </c>
      <c r="G326" t="inlineStr">
        <is>
          <t>ÖVERKALIX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9458-2025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46283</v>
      </c>
      <c r="F327" t="inlineStr">
        <is>
          <t>NORRBOTTENS LÄN</t>
        </is>
      </c>
      <c r="G327" t="inlineStr">
        <is>
          <t>ÖVERKALIX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46283</v>
      </c>
      <c r="F328" t="inlineStr">
        <is>
          <t>NORRBOTTENS LÄN</t>
        </is>
      </c>
      <c r="G328" t="inlineStr">
        <is>
          <t>ÖVERKALIX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45621</v>
      </c>
      <c r="E329" s="1" t="n">
        <v>46283</v>
      </c>
      <c r="F329" t="inlineStr">
        <is>
          <t>NORRBOTTENS LÄN</t>
        </is>
      </c>
      <c r="G329" t="inlineStr">
        <is>
          <t>ÖVERKALIX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33408-2026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46247</v>
      </c>
      <c r="E330" s="1" t="n">
        <v>46283</v>
      </c>
      <c r="F330" t="inlineStr">
        <is>
          <t>NORRBOTTENS LÄN</t>
        </is>
      </c>
      <c r="G330" t="inlineStr">
        <is>
          <t>ÖVERKALIX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41830-2024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45561</v>
      </c>
      <c r="E331" s="1" t="n">
        <v>46283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45709</v>
      </c>
      <c r="E332" s="1" t="n">
        <v>46283</v>
      </c>
      <c r="F332" t="inlineStr">
        <is>
          <t>NORRBOTTENS LÄN</t>
        </is>
      </c>
      <c r="G332" t="inlineStr">
        <is>
          <t>ÖVERKALIX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45986</v>
      </c>
      <c r="E333" s="1" t="n">
        <v>46283</v>
      </c>
      <c r="F333" t="inlineStr">
        <is>
          <t>NORRBOTTENS LÄN</t>
        </is>
      </c>
      <c r="G333" t="inlineStr">
        <is>
          <t>ÖVERKALIX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46283</v>
      </c>
      <c r="F334" t="inlineStr">
        <is>
          <t>NORRBOTTENS LÄN</t>
        </is>
      </c>
      <c r="G334" t="inlineStr">
        <is>
          <t>ÖVERKALIX</t>
        </is>
      </c>
      <c r="I334" t="n">
        <v>16.1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45693</v>
      </c>
      <c r="E335" s="1" t="n">
        <v>46283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30326-2026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46207</v>
      </c>
      <c r="E336" s="1" t="n">
        <v>46283</v>
      </c>
      <c r="F336" t="inlineStr">
        <is>
          <t>NORRBOTTENS LÄN</t>
        </is>
      </c>
      <c r="G336" t="inlineStr">
        <is>
          <t>ÖVERKALIX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30327-2026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46207</v>
      </c>
      <c r="E337" s="1" t="n">
        <v>46283</v>
      </c>
      <c r="F337" t="inlineStr">
        <is>
          <t>NORRBOTTENS LÄN</t>
        </is>
      </c>
      <c r="G337" t="inlineStr">
        <is>
          <t>ÖVERKALIX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30039-2026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46283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30037-2026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46283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30019-2026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46283</v>
      </c>
      <c r="F340" t="inlineStr">
        <is>
          <t>NORRBOTTENS LÄN</t>
        </is>
      </c>
      <c r="G340" t="inlineStr">
        <is>
          <t>ÖVERKALIX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30241-2026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46206</v>
      </c>
      <c r="E341" s="1" t="n">
        <v>46283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45702</v>
      </c>
      <c r="E342" s="1" t="n">
        <v>46283</v>
      </c>
      <c r="F342" t="inlineStr">
        <is>
          <t>NORRBOTTENS LÄN</t>
        </is>
      </c>
      <c r="G342" t="inlineStr">
        <is>
          <t>ÖVERKALIX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58764-2023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45251</v>
      </c>
      <c r="E343" s="1" t="n">
        <v>46283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46283</v>
      </c>
      <c r="F344" t="inlineStr">
        <is>
          <t>NORRBOTTENS LÄN</t>
        </is>
      </c>
      <c r="G344" t="inlineStr">
        <is>
          <t>ÖVERKALIX</t>
        </is>
      </c>
      <c r="I344" t="n">
        <v>22.3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25506-2024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45463</v>
      </c>
      <c r="E345" s="1" t="n">
        <v>46283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30328-2026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46207</v>
      </c>
      <c r="E346" s="1" t="n">
        <v>46283</v>
      </c>
      <c r="F346" t="inlineStr">
        <is>
          <t>NORRBOTTENS LÄN</t>
        </is>
      </c>
      <c r="G346" t="inlineStr">
        <is>
          <t>ÖVERKALIX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45693</v>
      </c>
      <c r="E347" s="1" t="n">
        <v>46283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46252</v>
      </c>
      <c r="E348" s="1" t="n">
        <v>46283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46254</v>
      </c>
      <c r="E349" s="1" t="n">
        <v>46283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42721-2023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45181</v>
      </c>
      <c r="E350" s="1" t="n">
        <v>46283</v>
      </c>
      <c r="F350" t="inlineStr">
        <is>
          <t>NORRBOTTENS LÄN</t>
        </is>
      </c>
      <c r="G350" t="inlineStr">
        <is>
          <t>ÖVERKALIX</t>
        </is>
      </c>
      <c r="I350" t="n">
        <v>13.1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46283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46283</v>
      </c>
      <c r="F352" t="inlineStr">
        <is>
          <t>NORRBOTTENS LÄN</t>
        </is>
      </c>
      <c r="G352" t="inlineStr">
        <is>
          <t>ÖVERKALIX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34424-2026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46254</v>
      </c>
      <c r="E353" s="1" t="n">
        <v>46283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46283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46283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17.6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59829-2025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46283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40281-2022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44820</v>
      </c>
      <c r="E357" s="1" t="n">
        <v>46283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40619-2022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44823</v>
      </c>
      <c r="E358" s="1" t="n">
        <v>46283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46283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64524-2023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45281</v>
      </c>
      <c r="E360" s="1" t="n">
        <v>46283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45993</v>
      </c>
      <c r="E361" s="1" t="n">
        <v>46283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34358-2026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46254</v>
      </c>
      <c r="E362" s="1" t="n">
        <v>46283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33.7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34362-2026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46254</v>
      </c>
      <c r="E363" s="1" t="n">
        <v>46283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9.199999999999999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60215-2025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46283</v>
      </c>
      <c r="F364" t="inlineStr">
        <is>
          <t>NORRBOTTENS LÄN</t>
        </is>
      </c>
      <c r="G364" t="inlineStr">
        <is>
          <t>ÖVERKALIX</t>
        </is>
      </c>
      <c r="I364" t="n">
        <v>9.5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34838-2026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46258</v>
      </c>
      <c r="E365" s="1" t="n">
        <v>46283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11.5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45996</v>
      </c>
      <c r="E366" s="1" t="n">
        <v>46283</v>
      </c>
      <c r="F366" t="inlineStr">
        <is>
          <t>NORRBOTTENS LÄN</t>
        </is>
      </c>
      <c r="G366" t="inlineStr">
        <is>
          <t>ÖVERKALIX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46260</v>
      </c>
      <c r="E367" s="1" t="n">
        <v>46283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35228-2026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46260</v>
      </c>
      <c r="E368" s="1" t="n">
        <v>46283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35235-2026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46260</v>
      </c>
      <c r="E369" s="1" t="n">
        <v>46283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60815-2025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45999</v>
      </c>
      <c r="E370" s="1" t="n">
        <v>46283</v>
      </c>
      <c r="F370" t="inlineStr">
        <is>
          <t>NORRBOTTENS LÄN</t>
        </is>
      </c>
      <c r="G370" t="inlineStr">
        <is>
          <t>ÖVERKALIX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60834-2025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46283</v>
      </c>
      <c r="F371" t="inlineStr">
        <is>
          <t>NORRBOTTENS LÄN</t>
        </is>
      </c>
      <c r="G371" t="inlineStr">
        <is>
          <t>ÖVERKALIX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60890-2025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46283</v>
      </c>
      <c r="F372" t="inlineStr">
        <is>
          <t>NORRBOTTENS LÄN</t>
        </is>
      </c>
      <c r="G372" t="inlineStr">
        <is>
          <t>ÖVERKALIX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60909-2025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46283</v>
      </c>
      <c r="F373" t="inlineStr">
        <is>
          <t>NORRBOTTENS LÄN</t>
        </is>
      </c>
      <c r="G373" t="inlineStr">
        <is>
          <t>ÖVERKALIX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46283</v>
      </c>
      <c r="F374" t="inlineStr">
        <is>
          <t>NORRBOTTENS LÄN</t>
        </is>
      </c>
      <c r="G374" t="inlineStr">
        <is>
          <t>ÖVERKALIX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59911-2024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45641</v>
      </c>
      <c r="E375" s="1" t="n">
        <v>46283</v>
      </c>
      <c r="F375" t="inlineStr">
        <is>
          <t>NORRBOTTENS LÄN</t>
        </is>
      </c>
      <c r="G375" t="inlineStr">
        <is>
          <t>ÖVERKALIX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46283</v>
      </c>
      <c r="F376" t="inlineStr">
        <is>
          <t>NORRBOTTENS LÄN</t>
        </is>
      </c>
      <c r="G376" t="inlineStr">
        <is>
          <t>ÖVERKALIX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35191-2026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46260</v>
      </c>
      <c r="E377" s="1" t="n">
        <v>46283</v>
      </c>
      <c r="F377" t="inlineStr">
        <is>
          <t>NORRBOTTENS LÄN</t>
        </is>
      </c>
      <c r="G377" t="inlineStr">
        <is>
          <t>ÖVERKALIX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46001</v>
      </c>
      <c r="E378" s="1" t="n">
        <v>46283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46283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26554-2023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45092</v>
      </c>
      <c r="E380" s="1" t="n">
        <v>46283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46283</v>
      </c>
      <c r="F381" t="inlineStr">
        <is>
          <t>NORRBOTTENS LÄN</t>
        </is>
      </c>
      <c r="G381" t="inlineStr">
        <is>
          <t>ÖVERKALIX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46225</v>
      </c>
      <c r="E382" s="1" t="n">
        <v>46283</v>
      </c>
      <c r="F382" t="inlineStr">
        <is>
          <t>NORRBOTTENS LÄN</t>
        </is>
      </c>
      <c r="G382" t="inlineStr">
        <is>
          <t>ÖVERKALIX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1944-2022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44575</v>
      </c>
      <c r="E383" s="1" t="n">
        <v>46283</v>
      </c>
      <c r="F383" t="inlineStr">
        <is>
          <t>NORRBOTTENS LÄN</t>
        </is>
      </c>
      <c r="G383" t="inlineStr">
        <is>
          <t>ÖVERKALIX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45693</v>
      </c>
      <c r="E384" s="1" t="n">
        <v>46283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58038-2024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45631</v>
      </c>
      <c r="E385" s="1" t="n">
        <v>46283</v>
      </c>
      <c r="F385" t="inlineStr">
        <is>
          <t>NORRBOTTENS LÄN</t>
        </is>
      </c>
      <c r="G385" t="inlineStr">
        <is>
          <t>ÖVERKALIX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38975-2024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45548</v>
      </c>
      <c r="E386" s="1" t="n">
        <v>46283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46267</v>
      </c>
      <c r="E387" s="1" t="n">
        <v>46283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45807</v>
      </c>
      <c r="E388" s="1" t="n">
        <v>46283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54026-2023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45231</v>
      </c>
      <c r="E389" s="1" t="n">
        <v>46283</v>
      </c>
      <c r="F389" t="inlineStr">
        <is>
          <t>NORRBOTTENS LÄN</t>
        </is>
      </c>
      <c r="G389" t="inlineStr">
        <is>
          <t>ÖVERKALIX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46283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20.5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72212-2021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44543</v>
      </c>
      <c r="E391" s="1" t="n">
        <v>46283</v>
      </c>
      <c r="F391" t="inlineStr">
        <is>
          <t>NORRBOTTENS LÄN</t>
        </is>
      </c>
      <c r="G391" t="inlineStr">
        <is>
          <t>ÖVERKALIX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36570-2026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46269</v>
      </c>
      <c r="E392" s="1" t="n">
        <v>46283</v>
      </c>
      <c r="F392" t="inlineStr">
        <is>
          <t>NORRBOTTENS LÄN</t>
        </is>
      </c>
      <c r="G392" t="inlineStr">
        <is>
          <t>ÖVERKALIX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46283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45471</v>
      </c>
      <c r="E394" s="1" t="n">
        <v>46283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45471</v>
      </c>
      <c r="E395" s="1" t="n">
        <v>46283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32.6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46283</v>
      </c>
      <c r="F396" t="inlineStr">
        <is>
          <t>NORRBOTTENS LÄN</t>
        </is>
      </c>
      <c r="G396" t="inlineStr">
        <is>
          <t>ÖVERKALIX</t>
        </is>
      </c>
      <c r="I396" t="n">
        <v>9.800000000000001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63451-2025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46013</v>
      </c>
      <c r="E397" s="1" t="n">
        <v>46283</v>
      </c>
      <c r="F397" t="inlineStr">
        <is>
          <t>NORRBOTTENS LÄN</t>
        </is>
      </c>
      <c r="G397" t="inlineStr">
        <is>
          <t>ÖVERKALIX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63454-2025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46013</v>
      </c>
      <c r="E398" s="1" t="n">
        <v>46283</v>
      </c>
      <c r="F398" t="inlineStr">
        <is>
          <t>NORRBOTTENS LÄN</t>
        </is>
      </c>
      <c r="G398" t="inlineStr">
        <is>
          <t>ÖVERKALIX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63545-2025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46013</v>
      </c>
      <c r="E399" s="1" t="n">
        <v>46283</v>
      </c>
      <c r="F399" t="inlineStr">
        <is>
          <t>NORRBOTTENS LÄN</t>
        </is>
      </c>
      <c r="G399" t="inlineStr">
        <is>
          <t>ÖVERKALIX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31832-2026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46230</v>
      </c>
      <c r="E400" s="1" t="n">
        <v>46283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46283</v>
      </c>
      <c r="F401" t="inlineStr">
        <is>
          <t>NORRBOTTENS LÄN</t>
        </is>
      </c>
      <c r="G401" t="inlineStr">
        <is>
          <t>ÖVERKALIX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53732-2022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44880</v>
      </c>
      <c r="E402" s="1" t="n">
        <v>46283</v>
      </c>
      <c r="F402" t="inlineStr">
        <is>
          <t>NORRBOTTENS LÄN</t>
        </is>
      </c>
      <c r="G402" t="inlineStr">
        <is>
          <t>ÖVERKALIX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46280</v>
      </c>
      <c r="E403" s="1" t="n">
        <v>46283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37683-2026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46278</v>
      </c>
      <c r="E404" s="1" t="n">
        <v>46283</v>
      </c>
      <c r="F404" t="inlineStr">
        <is>
          <t>NORRBOTTENS LÄN</t>
        </is>
      </c>
      <c r="G404" t="inlineStr">
        <is>
          <t>ÖVERKALIX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42407-2022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44830</v>
      </c>
      <c r="E405" s="1" t="n">
        <v>46283</v>
      </c>
      <c r="F405" t="inlineStr">
        <is>
          <t>NORRBOTTENS LÄN</t>
        </is>
      </c>
      <c r="G405" t="inlineStr">
        <is>
          <t>ÖVERKALIX</t>
        </is>
      </c>
      <c r="I405" t="n">
        <v>9.1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44960</v>
      </c>
      <c r="E406" s="1" t="n">
        <v>46283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25698-2024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46283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46283</v>
      </c>
      <c r="F408" t="inlineStr">
        <is>
          <t>NORRBOTTENS LÄN</t>
        </is>
      </c>
      <c r="G408" t="inlineStr">
        <is>
          <t>ÖVERKALIX</t>
        </is>
      </c>
      <c r="I408" t="n">
        <v>6.1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46283</v>
      </c>
      <c r="F409" t="inlineStr">
        <is>
          <t>NORRBOTTENS LÄN</t>
        </is>
      </c>
      <c r="G409" t="inlineStr">
        <is>
          <t>ÖVERKALIX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38102-2026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46281</v>
      </c>
      <c r="E410" s="1" t="n">
        <v>46283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46283</v>
      </c>
      <c r="F411" t="inlineStr">
        <is>
          <t>NORRBOTTENS LÄN</t>
        </is>
      </c>
      <c r="G411" t="inlineStr">
        <is>
          <t>ÖVERKALIX</t>
        </is>
      </c>
      <c r="I411" t="n">
        <v>10.1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40329-2023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46283</v>
      </c>
      <c r="F412" t="inlineStr">
        <is>
          <t>NORRBOTTENS LÄN</t>
        </is>
      </c>
      <c r="G412" t="inlineStr">
        <is>
          <t>ÖVERKALIX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46281</v>
      </c>
      <c r="E413" s="1" t="n">
        <v>46283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8.9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2009-2024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45308</v>
      </c>
      <c r="E414" s="1" t="n">
        <v>46283</v>
      </c>
      <c r="F414" t="inlineStr">
        <is>
          <t>NORRBOTTENS LÄN</t>
        </is>
      </c>
      <c r="G414" t="inlineStr">
        <is>
          <t>ÖVERKALIX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38134-2026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46281</v>
      </c>
      <c r="E415" s="1" t="n">
        <v>46283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20.1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32382-2026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46238</v>
      </c>
      <c r="E416" s="1" t="n">
        <v>46283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45308</v>
      </c>
      <c r="E417" s="1" t="n">
        <v>46283</v>
      </c>
      <c r="F417" t="inlineStr">
        <is>
          <t>NORRBOTTENS LÄN</t>
        </is>
      </c>
      <c r="G417" t="inlineStr">
        <is>
          <t>ÖVERKALIX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45363</v>
      </c>
      <c r="E418" s="1" t="n">
        <v>46283</v>
      </c>
      <c r="F418" t="inlineStr">
        <is>
          <t>NORRBOTTENS LÄN</t>
        </is>
      </c>
      <c r="G418" t="inlineStr">
        <is>
          <t>ÖVERKALIX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46283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46283</v>
      </c>
      <c r="F420" t="inlineStr">
        <is>
          <t>NORRBOTTENS LÄN</t>
        </is>
      </c>
      <c r="G420" t="inlineStr">
        <is>
          <t>ÖVERKALIX</t>
        </is>
      </c>
      <c r="I420" t="n">
        <v>13.1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30881-2024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45498</v>
      </c>
      <c r="E421" s="1" t="n">
        <v>46283</v>
      </c>
      <c r="F421" t="inlineStr">
        <is>
          <t>NORRBOTTENS LÄN</t>
        </is>
      </c>
      <c r="G421" t="inlineStr">
        <is>
          <t>ÖVERKALIX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44930</v>
      </c>
      <c r="E422" s="1" t="n">
        <v>46283</v>
      </c>
      <c r="F422" t="inlineStr">
        <is>
          <t>NORRBOTTENS LÄN</t>
        </is>
      </c>
      <c r="G422" t="inlineStr">
        <is>
          <t>ÖVERKALIX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15491-2025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45747</v>
      </c>
      <c r="E423" s="1" t="n">
        <v>46283</v>
      </c>
      <c r="F423" t="inlineStr">
        <is>
          <t>NORRBOTTENS LÄN</t>
        </is>
      </c>
      <c r="G423" t="inlineStr">
        <is>
          <t>ÖVERKALIX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46042</v>
      </c>
      <c r="E424" s="1" t="n">
        <v>46283</v>
      </c>
      <c r="F424" t="inlineStr">
        <is>
          <t>NORRBOTTENS LÄN</t>
        </is>
      </c>
      <c r="G424" t="inlineStr">
        <is>
          <t>ÖVERKALIX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46042</v>
      </c>
      <c r="E425" s="1" t="n">
        <v>46283</v>
      </c>
      <c r="F425" t="inlineStr">
        <is>
          <t>NORRBOTTENS LÄN</t>
        </is>
      </c>
      <c r="G425" t="inlineStr">
        <is>
          <t>ÖVERKALIX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8672-2025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45712</v>
      </c>
      <c r="E426" s="1" t="n">
        <v>46283</v>
      </c>
      <c r="F426" t="inlineStr">
        <is>
          <t>NORRBOTTENS LÄN</t>
        </is>
      </c>
      <c r="G426" t="inlineStr">
        <is>
          <t>ÖVERKALIX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62269-2021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44502</v>
      </c>
      <c r="E427" s="1" t="n">
        <v>46283</v>
      </c>
      <c r="F427" t="inlineStr">
        <is>
          <t>NORRBOTTENS LÄN</t>
        </is>
      </c>
      <c r="G427" t="inlineStr">
        <is>
          <t>ÖVERKALIX</t>
        </is>
      </c>
      <c r="I427" t="n">
        <v>9.199999999999999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45005</v>
      </c>
      <c r="E428" s="1" t="n">
        <v>46283</v>
      </c>
      <c r="F428" t="inlineStr">
        <is>
          <t>NORRBOTTENS LÄN</t>
        </is>
      </c>
      <c r="G428" t="inlineStr">
        <is>
          <t>ÖVERKALIX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36839-2023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45153</v>
      </c>
      <c r="E429" s="1" t="n">
        <v>46283</v>
      </c>
      <c r="F429" t="inlineStr">
        <is>
          <t>NORRBOTTENS LÄN</t>
        </is>
      </c>
      <c r="G429" t="inlineStr">
        <is>
          <t>ÖVERKALIX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4678-2026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46283</v>
      </c>
      <c r="F430" t="inlineStr">
        <is>
          <t>NORRBOTTENS LÄN</t>
        </is>
      </c>
      <c r="G430" t="inlineStr">
        <is>
          <t>ÖVERKALIX</t>
        </is>
      </c>
      <c r="I430" t="n">
        <v>6.9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45639</v>
      </c>
      <c r="E431" s="1" t="n">
        <v>46283</v>
      </c>
      <c r="F431" t="inlineStr">
        <is>
          <t>NORRBOTTENS LÄN</t>
        </is>
      </c>
      <c r="G431" t="inlineStr">
        <is>
          <t>ÖVERKALIX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46283</v>
      </c>
      <c r="F432" t="inlineStr">
        <is>
          <t>NORRBOTTENS LÄN</t>
        </is>
      </c>
      <c r="G432" t="inlineStr">
        <is>
          <t>ÖVERKALIX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6641-2022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44601</v>
      </c>
      <c r="E433" s="1" t="n">
        <v>46283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49091-2024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45594</v>
      </c>
      <c r="E434" s="1" t="n">
        <v>46283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8026-2023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44973</v>
      </c>
      <c r="E435" s="1" t="n">
        <v>46283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36797-2023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45154</v>
      </c>
      <c r="E436" s="1" t="n">
        <v>46283</v>
      </c>
      <c r="F436" t="inlineStr">
        <is>
          <t>NORRBOTTENS LÄN</t>
        </is>
      </c>
      <c r="G436" t="inlineStr">
        <is>
          <t>ÖVERKALIX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7488-2026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46059</v>
      </c>
      <c r="E437" s="1" t="n">
        <v>46283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7487-2026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46059</v>
      </c>
      <c r="E438" s="1" t="n">
        <v>46283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45692</v>
      </c>
      <c r="E439" s="1" t="n">
        <v>46283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10.1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45513</v>
      </c>
      <c r="E440" s="1" t="n">
        <v>46283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60400-2022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44910</v>
      </c>
      <c r="E441" s="1" t="n">
        <v>46283</v>
      </c>
      <c r="F441" t="inlineStr">
        <is>
          <t>NORRBOTTENS LÄN</t>
        </is>
      </c>
      <c r="G441" t="inlineStr">
        <is>
          <t>ÖVERKALIX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45160</v>
      </c>
      <c r="E442" s="1" t="n">
        <v>46283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55226-2024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45621</v>
      </c>
      <c r="E443" s="1" t="n">
        <v>46283</v>
      </c>
      <c r="F443" t="inlineStr">
        <is>
          <t>NORRBOTTENS LÄN</t>
        </is>
      </c>
      <c r="G443" t="inlineStr">
        <is>
          <t>ÖVERKALIX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48561-2024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45593</v>
      </c>
      <c r="E444" s="1" t="n">
        <v>46283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50862-2023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46283</v>
      </c>
      <c r="F445" t="inlineStr">
        <is>
          <t>NORRBOTTENS LÄN</t>
        </is>
      </c>
      <c r="G445" t="inlineStr">
        <is>
          <t>ÖVERKALIX</t>
        </is>
      </c>
      <c r="I445" t="n">
        <v>8.199999999999999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52075-2023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45223</v>
      </c>
      <c r="E446" s="1" t="n">
        <v>46283</v>
      </c>
      <c r="F446" t="inlineStr">
        <is>
          <t>NORRBOTTENS LÄN</t>
        </is>
      </c>
      <c r="G446" t="inlineStr">
        <is>
          <t>ÖVERKALIX</t>
        </is>
      </c>
      <c r="I446" t="n">
        <v>8.6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43173-2023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45180</v>
      </c>
      <c r="E447" s="1" t="n">
        <v>46283</v>
      </c>
      <c r="F447" t="inlineStr">
        <is>
          <t>NORRBOTTENS LÄN</t>
        </is>
      </c>
      <c r="G447" t="inlineStr">
        <is>
          <t>ÖVERKALIX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45315</v>
      </c>
      <c r="E448" s="1" t="n">
        <v>46283</v>
      </c>
      <c r="F448" t="inlineStr">
        <is>
          <t>NORRBOTTENS LÄN</t>
        </is>
      </c>
      <c r="G448" t="inlineStr">
        <is>
          <t>ÖVERKALIX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45321</v>
      </c>
      <c r="E449" s="1" t="n">
        <v>46283</v>
      </c>
      <c r="F449" t="inlineStr">
        <is>
          <t>NORRBOTTENS LÄN</t>
        </is>
      </c>
      <c r="G449" t="inlineStr">
        <is>
          <t>ÖVERKALIX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45610</v>
      </c>
      <c r="E450" s="1" t="n">
        <v>46283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45667</v>
      </c>
      <c r="E451" s="1" t="n">
        <v>46283</v>
      </c>
      <c r="F451" t="inlineStr">
        <is>
          <t>NORRBOTTENS LÄN</t>
        </is>
      </c>
      <c r="G451" t="inlineStr">
        <is>
          <t>ÖVERKALIX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25697-2024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45463</v>
      </c>
      <c r="E452" s="1" t="n">
        <v>46283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46283</v>
      </c>
      <c r="F453" t="inlineStr">
        <is>
          <t>NORRBOTTENS LÄN</t>
        </is>
      </c>
      <c r="G453" t="inlineStr">
        <is>
          <t>ÖVERKALIX</t>
        </is>
      </c>
      <c r="I453" t="n">
        <v>9.4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40155-2024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45554</v>
      </c>
      <c r="E454" s="1" t="n">
        <v>46283</v>
      </c>
      <c r="F454" t="inlineStr">
        <is>
          <t>NORRBOTTENS LÄN</t>
        </is>
      </c>
      <c r="G454" t="inlineStr">
        <is>
          <t>ÖVERKALIX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38941-2024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45548</v>
      </c>
      <c r="E455" s="1" t="n">
        <v>46283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21520-2025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45782</v>
      </c>
      <c r="E456" s="1" t="n">
        <v>46283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45785</v>
      </c>
      <c r="E457" s="1" t="n">
        <v>46283</v>
      </c>
      <c r="F457" t="inlineStr">
        <is>
          <t>NORRBOTTENS LÄN</t>
        </is>
      </c>
      <c r="G457" t="inlineStr">
        <is>
          <t>ÖVERKALIX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45793</v>
      </c>
      <c r="E458" s="1" t="n">
        <v>46283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8.5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45796</v>
      </c>
      <c r="E459" s="1" t="n">
        <v>46283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24141-2025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46283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45793</v>
      </c>
      <c r="E461" s="1" t="n">
        <v>46283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23873-2025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45793</v>
      </c>
      <c r="E462" s="1" t="n">
        <v>46283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45377</v>
      </c>
      <c r="E463" s="1" t="n">
        <v>46283</v>
      </c>
      <c r="F463" t="inlineStr">
        <is>
          <t>NORRBOTTENS LÄN</t>
        </is>
      </c>
      <c r="G463" t="inlineStr">
        <is>
          <t>ÖVERKALIX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45323</v>
      </c>
      <c r="E464" s="1" t="n">
        <v>46283</v>
      </c>
      <c r="F464" t="inlineStr">
        <is>
          <t>NORRBOTTENS LÄN</t>
        </is>
      </c>
      <c r="G464" t="inlineStr">
        <is>
          <t>ÖVERKALIX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25629-2025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45803</v>
      </c>
      <c r="E465" s="1" t="n">
        <v>46283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26666-2025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45810</v>
      </c>
      <c r="E466" s="1" t="n">
        <v>46283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17.5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26945-2025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45811</v>
      </c>
      <c r="E467" s="1" t="n">
        <v>46283</v>
      </c>
      <c r="F467" t="inlineStr">
        <is>
          <t>NORRBOTTENS LÄN</t>
        </is>
      </c>
      <c r="G467" t="inlineStr">
        <is>
          <t>ÖVERKALIX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26944-2025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45811</v>
      </c>
      <c r="E468" s="1" t="n">
        <v>46283</v>
      </c>
      <c r="F468" t="inlineStr">
        <is>
          <t>NORRBOTTENS LÄN</t>
        </is>
      </c>
      <c r="G468" t="inlineStr">
        <is>
          <t>ÖVERKALIX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27454-2025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45813</v>
      </c>
      <c r="E469" s="1" t="n">
        <v>46283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8.699999999999999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27613-2025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45813</v>
      </c>
      <c r="E470" s="1" t="n">
        <v>46283</v>
      </c>
      <c r="F470" t="inlineStr">
        <is>
          <t>NORRBOTTENS LÄN</t>
        </is>
      </c>
      <c r="G470" t="inlineStr">
        <is>
          <t>ÖVERKALIX</t>
        </is>
      </c>
      <c r="I470" t="n">
        <v>11.9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27451-2025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45813</v>
      </c>
      <c r="E471" s="1" t="n">
        <v>46283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27456-2025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45813</v>
      </c>
      <c r="E472" s="1" t="n">
        <v>46283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27455-2025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45813</v>
      </c>
      <c r="E473" s="1" t="n">
        <v>46283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27458-2025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45813</v>
      </c>
      <c r="E474" s="1" t="n">
        <v>46283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27461-2025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45813</v>
      </c>
      <c r="E475" s="1" t="n">
        <v>46283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3721-2022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44741</v>
      </c>
      <c r="E476" s="1" t="n">
        <v>46283</v>
      </c>
      <c r="F476" t="inlineStr">
        <is>
          <t>NORRBOTTENS LÄN</t>
        </is>
      </c>
      <c r="G476" t="inlineStr">
        <is>
          <t>ÖVERKALIX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2792-2024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45485</v>
      </c>
      <c r="E477" s="1" t="n">
        <v>46283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2700-2024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45482</v>
      </c>
      <c r="E478" s="1" t="n">
        <v>46283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4734-2024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45607</v>
      </c>
      <c r="E479" s="1" t="n">
        <v>46283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1178-2025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45756</v>
      </c>
      <c r="E480" s="1" t="n">
        <v>46283</v>
      </c>
      <c r="F480" t="inlineStr">
        <is>
          <t>NORRBOTTENS LÄN</t>
        </is>
      </c>
      <c r="G480" t="inlineStr">
        <is>
          <t>ÖVERKALIX</t>
        </is>
      </c>
      <c r="I480" t="n">
        <v>39.9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1667-2025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45800</v>
      </c>
      <c r="E481" s="1" t="n">
        <v>46283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SCA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50-2026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46030</v>
      </c>
      <c r="E482" s="1" t="n">
        <v>46283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Sveaskog</t>
        </is>
      </c>
      <c r="I482" t="n">
        <v>9.800000000000001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2026-09-18T02:00:01Z</dcterms:created>
  <dcterms:modified xmlns:dcterms="http://purl.org/dc/terms/" xmlns:xsi="http://www.w3.org/2001/XMLSchema-instance" xsi:type="dcterms:W3CDTF">2026-09-18T02:00:02Z</dcterms:modified>
</cp:coreProperties>
</file>