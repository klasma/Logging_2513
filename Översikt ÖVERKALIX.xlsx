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46307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46307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46307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46307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46307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46307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46307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46307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46307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46307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46307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46307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46307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46307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46307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46307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46307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46307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46307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46307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46307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46307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46307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Hökuggla
Älg
Tjäder</t>
        </is>
      </c>
      <c r="W24">
        <f>HYPERLINK("https://klasma.github.io/Logging_2513/artfynd/A 17802-2025 artfynd.xlsx", "A 17802-2025")</f>
        <v/>
      </c>
      <c r="X24">
        <f>HYPERLINK("https://klasma.github.io/Logging_2513/kartor/A 17802-2025 karta.png", "A 17802-2025")</f>
        <v/>
      </c>
      <c r="Y24">
        <f>HYPERLINK("https://klasma.github.io/Logging_2513/kartor_geotiff/A 17802-2025 georefererad karta.tif", "A 17802-2025")</f>
        <v/>
      </c>
      <c r="AA24">
        <f>HYPERLINK("https://klasma.github.io/Logging_2513/klagomål/A 17802-2025 FSC-klagomål.docx", "A 17802-2025")</f>
        <v/>
      </c>
      <c r="AB24">
        <f>HYPERLINK("https://klasma.github.io/Logging_2513/klagomålsmail/A 17802-2025 FSC-klagomål mail.docx", "A 17802-2025")</f>
        <v/>
      </c>
      <c r="AC24">
        <f>HYPERLINK("https://klasma.github.io/Logging_2513/tillsyn/A 17802-2025 tillsynsbegäran.docx", "A 17802-2025")</f>
        <v/>
      </c>
      <c r="AD24">
        <f>HYPERLINK("https://klasma.github.io/Logging_2513/tillsynsmail/A 17802-2025 tillsynsbegäran mail.docx", "A 17802-2025")</f>
        <v/>
      </c>
      <c r="AE24">
        <f>HYPERLINK("https://klasma.github.io/Logging_2513/fåglar/A 17802-2025 prioriterade fågelarter.docx", "A 17802-2025")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46307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46307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46307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46307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46307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46307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46307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46307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46307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46307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60509-2021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44496</v>
      </c>
      <c r="E35" s="1" t="n">
        <v>46307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13.5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Stor aspticka
Vedticka</t>
        </is>
      </c>
      <c r="W35">
        <f>HYPERLINK("https://klasma.github.io/Logging_2513/artfynd/A 60509-2021 artfynd.xlsx", "A 60509-2021")</f>
        <v/>
      </c>
      <c r="X35">
        <f>HYPERLINK("https://klasma.github.io/Logging_2513/kartor/A 60509-2021 karta.png", "A 60509-2021")</f>
        <v/>
      </c>
      <c r="Y35">
        <f>HYPERLINK("https://klasma.github.io/Logging_2513/kartor_geotiff/A 60509-2021 georefererad karta.tif", "A 60509-2021")</f>
        <v/>
      </c>
      <c r="AA35">
        <f>HYPERLINK("https://klasma.github.io/Logging_2513/klagomål/A 60509-2021 FSC-klagomål.docx", "A 60509-2021")</f>
        <v/>
      </c>
      <c r="AB35">
        <f>HYPERLINK("https://klasma.github.io/Logging_2513/klagomålsmail/A 60509-2021 FSC-klagomål mail.docx", "A 60509-2021")</f>
        <v/>
      </c>
      <c r="AC35">
        <f>HYPERLINK("https://klasma.github.io/Logging_2513/tillsyn/A 60509-2021 tillsynsbegäran.docx", "A 60509-2021")</f>
        <v/>
      </c>
      <c r="AD35">
        <f>HYPERLINK("https://klasma.github.io/Logging_2513/tillsynsmail/A 60509-2021 tillsynsbegäran mail.docx", "A 60509-2021")</f>
        <v/>
      </c>
    </row>
    <row r="36" ht="15" customHeight="1">
      <c r="A36" t="inlineStr">
        <is>
          <t>A 7477-2023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46307</v>
      </c>
      <c r="F36" t="inlineStr">
        <is>
          <t>NORRBOTTENS LÄN</t>
        </is>
      </c>
      <c r="G36" t="inlineStr">
        <is>
          <t>ÖVERKALIX</t>
        </is>
      </c>
      <c r="I36" t="n">
        <v>2.6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Motaggsvamp
Skarp dropptaggsvamp</t>
        </is>
      </c>
      <c r="W36">
        <f>HYPERLINK("https://klasma.github.io/Logging_2513/artfynd/A 7477-2023 artfynd.xlsx", "A 7477-2023")</f>
        <v/>
      </c>
      <c r="X36">
        <f>HYPERLINK("https://klasma.github.io/Logging_2513/kartor/A 7477-2023 karta.png", "A 7477-2023")</f>
        <v/>
      </c>
      <c r="Y36">
        <f>HYPERLINK("https://klasma.github.io/Logging_2513/kartor_geotiff/A 7477-2023 georefererad karta.tif", "A 7477-2023")</f>
        <v/>
      </c>
      <c r="AA36">
        <f>HYPERLINK("https://klasma.github.io/Logging_2513/klagomål/A 7477-2023 FSC-klagomål.docx", "A 7477-2023")</f>
        <v/>
      </c>
      <c r="AB36">
        <f>HYPERLINK("https://klasma.github.io/Logging_2513/klagomålsmail/A 7477-2023 FSC-klagomål mail.docx", "A 7477-2023")</f>
        <v/>
      </c>
      <c r="AC36">
        <f>HYPERLINK("https://klasma.github.io/Logging_2513/tillsyn/A 7477-2023 tillsynsbegäran.docx", "A 7477-2023")</f>
        <v/>
      </c>
      <c r="AD36">
        <f>HYPERLINK("https://klasma.github.io/Logging_2513/tillsynsmail/A 7477-2023 tillsynsbegäran mail.docx", "A 7477-2023")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46307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26452-2025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45807</v>
      </c>
      <c r="E38" s="1" t="n">
        <v>46307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Gammelgransskål
Stor aspticka</t>
        </is>
      </c>
      <c r="W38">
        <f>HYPERLINK("https://klasma.github.io/Logging_2513/artfynd/A 26452-2025 artfynd.xlsx", "A 26452-2025")</f>
        <v/>
      </c>
      <c r="X38">
        <f>HYPERLINK("https://klasma.github.io/Logging_2513/kartor/A 26452-2025 karta.png", "A 26452-2025")</f>
        <v/>
      </c>
      <c r="Y38">
        <f>HYPERLINK("https://klasma.github.io/Logging_2513/kartor_geotiff/A 26452-2025 georefererad karta.tif", "A 26452-2025")</f>
        <v/>
      </c>
      <c r="AA38">
        <f>HYPERLINK("https://klasma.github.io/Logging_2513/klagomål/A 26452-2025 FSC-klagomål.docx", "A 26452-2025")</f>
        <v/>
      </c>
      <c r="AB38">
        <f>HYPERLINK("https://klasma.github.io/Logging_2513/klagomålsmail/A 26452-2025 FSC-klagomål mail.docx", "A 26452-2025")</f>
        <v/>
      </c>
      <c r="AC38">
        <f>HYPERLINK("https://klasma.github.io/Logging_2513/tillsyn/A 26452-2025 tillsynsbegäran.docx", "A 26452-2025")</f>
        <v/>
      </c>
      <c r="AD38">
        <f>HYPERLINK("https://klasma.github.io/Logging_2513/tillsynsmail/A 26452-2025 tillsynsbegäran mail.docx", "A 26452-2025")</f>
        <v/>
      </c>
    </row>
    <row r="39" ht="15" customHeight="1">
      <c r="A39" t="inlineStr">
        <is>
          <t>A 50691-2024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46307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4.2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Gammelgransskål
Vedticka</t>
        </is>
      </c>
      <c r="W39">
        <f>HYPERLINK("https://klasma.github.io/Logging_2513/artfynd/A 50691-2024 artfynd.xlsx", "A 50691-2024")</f>
        <v/>
      </c>
      <c r="X39">
        <f>HYPERLINK("https://klasma.github.io/Logging_2513/kartor/A 50691-2024 karta.png", "A 50691-2024")</f>
        <v/>
      </c>
      <c r="Y39">
        <f>HYPERLINK("https://klasma.github.io/Logging_2513/kartor_geotiff/A 50691-2024 georefererad karta.tif", "A 50691-2024")</f>
        <v/>
      </c>
      <c r="AA39">
        <f>HYPERLINK("https://klasma.github.io/Logging_2513/klagomål/A 50691-2024 FSC-klagomål.docx", "A 50691-2024")</f>
        <v/>
      </c>
      <c r="AB39">
        <f>HYPERLINK("https://klasma.github.io/Logging_2513/klagomålsmail/A 50691-2024 FSC-klagomål mail.docx", "A 50691-2024")</f>
        <v/>
      </c>
      <c r="AC39">
        <f>HYPERLINK("https://klasma.github.io/Logging_2513/tillsyn/A 50691-2024 tillsynsbegäran.docx", "A 50691-2024")</f>
        <v/>
      </c>
      <c r="AD39">
        <f>HYPERLINK("https://klasma.github.io/Logging_2513/tillsynsmail/A 50691-2024 tillsynsbegäran mail.docx", "A 50691-2024")</f>
        <v/>
      </c>
    </row>
    <row r="40" ht="15" customHeight="1">
      <c r="A40" t="inlineStr">
        <is>
          <t>A 34921-2025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46307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16.4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Lunglav</t>
        </is>
      </c>
      <c r="W40">
        <f>HYPERLINK("https://klasma.github.io/Logging_2513/artfynd/A 34921-2025 artfynd.xlsx", "A 34921-2025")</f>
        <v/>
      </c>
      <c r="X40">
        <f>HYPERLINK("https://klasma.github.io/Logging_2513/kartor/A 34921-2025 karta.png", "A 34921-2025")</f>
        <v/>
      </c>
      <c r="Y40">
        <f>HYPERLINK("https://klasma.github.io/Logging_2513/kartor_geotiff/A 34921-2025 georefererad karta.tif", "A 34921-2025")</f>
        <v/>
      </c>
      <c r="AA40">
        <f>HYPERLINK("https://klasma.github.io/Logging_2513/klagomål/A 34921-2025 FSC-klagomål.docx", "A 34921-2025")</f>
        <v/>
      </c>
      <c r="AB40">
        <f>HYPERLINK("https://klasma.github.io/Logging_2513/klagomålsmail/A 34921-2025 FSC-klagomål mail.docx", "A 34921-2025")</f>
        <v/>
      </c>
      <c r="AC40">
        <f>HYPERLINK("https://klasma.github.io/Logging_2513/tillsyn/A 34921-2025 tillsynsbegäran.docx", "A 34921-2025")</f>
        <v/>
      </c>
      <c r="AD40">
        <f>HYPERLINK("https://klasma.github.io/Logging_2513/tillsynsmail/A 34921-2025 tillsynsbegäran mail.docx", "A 34921-2025")</f>
        <v/>
      </c>
    </row>
    <row r="41" ht="15" customHeight="1">
      <c r="A41" t="inlineStr">
        <is>
          <t>A 40706-2023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46307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7.1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HYPERLINK("https://klasma.github.io/Logging_2513/artfynd/A 40706-2023 artfynd.xlsx", "A 40706-2023")</f>
        <v/>
      </c>
      <c r="X41">
        <f>HYPERLINK("https://klasma.github.io/Logging_2513/kartor/A 40706-2023 karta.png", "A 40706-2023")</f>
        <v/>
      </c>
      <c r="Y41">
        <f>HYPERLINK("https://klasma.github.io/Logging_2513/kartor_geotiff/A 40706-2023 georefererad karta.tif", "A 40706-2023")</f>
        <v/>
      </c>
      <c r="Z41">
        <f>HYPERLINK("https://klasma.github.io/Logging_2513/knärot/A 40706-2023 karta knärot.png", "A 40706-2023")</f>
        <v/>
      </c>
      <c r="AA41">
        <f>HYPERLINK("https://klasma.github.io/Logging_2513/klagomål/A 40706-2023 FSC-klagomål.docx", "A 40706-2023")</f>
        <v/>
      </c>
      <c r="AB41">
        <f>HYPERLINK("https://klasma.github.io/Logging_2513/klagomålsmail/A 40706-2023 FSC-klagomål mail.docx", "A 40706-2023")</f>
        <v/>
      </c>
      <c r="AC41">
        <f>HYPERLINK("https://klasma.github.io/Logging_2513/tillsyn/A 40706-2023 tillsynsbegäran.docx", "A 40706-2023")</f>
        <v/>
      </c>
      <c r="AD41">
        <f>HYPERLINK("https://klasma.github.io/Logging_2513/tillsynsmail/A 40706-2023 tillsynsbegäran mail.docx", "A 40706-2023")</f>
        <v/>
      </c>
    </row>
    <row r="42" ht="15" customHeight="1">
      <c r="A42" t="inlineStr">
        <is>
          <t>A 14152-2026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46307</v>
      </c>
      <c r="F42" t="inlineStr">
        <is>
          <t>NORRBOTTENS LÄN</t>
        </is>
      </c>
      <c r="G42" t="inlineStr">
        <is>
          <t>ÖVERKALIX</t>
        </is>
      </c>
      <c r="I42" t="n">
        <v>4.6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Källpraktmossa
Spädstarr</t>
        </is>
      </c>
      <c r="W42">
        <f>HYPERLINK("https://klasma.github.io/Logging_2513/artfynd/A 14152-2026 artfynd.xlsx", "A 14152-2026")</f>
        <v/>
      </c>
      <c r="X42">
        <f>HYPERLINK("https://klasma.github.io/Logging_2513/kartor/A 14152-2026 karta.png", "A 14152-2026")</f>
        <v/>
      </c>
      <c r="Y42">
        <f>HYPERLINK("https://klasma.github.io/Logging_2513/kartor_geotiff/A 14152-2026 georefererad karta.tif", "A 14152-2026")</f>
        <v/>
      </c>
      <c r="AA42">
        <f>HYPERLINK("https://klasma.github.io/Logging_2513/klagomål/A 14152-2026 FSC-klagomål.docx", "A 14152-2026")</f>
        <v/>
      </c>
      <c r="AB42">
        <f>HYPERLINK("https://klasma.github.io/Logging_2513/klagomålsmail/A 14152-2026 FSC-klagomål mail.docx", "A 14152-2026")</f>
        <v/>
      </c>
      <c r="AC42">
        <f>HYPERLINK("https://klasma.github.io/Logging_2513/tillsyn/A 14152-2026 tillsynsbegäran.docx", "A 14152-2026")</f>
        <v/>
      </c>
      <c r="AD42">
        <f>HYPERLINK("https://klasma.github.io/Logging_2513/tillsynsmail/A 14152-2026 tillsynsbegäran mail.docx", "A 14152-2026")</f>
        <v/>
      </c>
    </row>
    <row r="43" ht="15" customHeight="1">
      <c r="A43" t="inlineStr">
        <is>
          <t>A 62951-2025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46307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4.2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Ullticka</t>
        </is>
      </c>
      <c r="W43">
        <f>HYPERLINK("https://klasma.github.io/Logging_2513/artfynd/A 62951-2025 artfynd.xlsx", "A 62951-2025")</f>
        <v/>
      </c>
      <c r="X43">
        <f>HYPERLINK("https://klasma.github.io/Logging_2513/kartor/A 62951-2025 karta.png", "A 62951-2025")</f>
        <v/>
      </c>
      <c r="Y43">
        <f>HYPERLINK("https://klasma.github.io/Logging_2513/kartor_geotiff/A 62951-2025 georefererad karta.tif", "A 62951-2025")</f>
        <v/>
      </c>
      <c r="AA43">
        <f>HYPERLINK("https://klasma.github.io/Logging_2513/klagomål/A 62951-2025 FSC-klagomål.docx", "A 62951-2025")</f>
        <v/>
      </c>
      <c r="AB43">
        <f>HYPERLINK("https://klasma.github.io/Logging_2513/klagomålsmail/A 62951-2025 FSC-klagomål mail.docx", "A 62951-2025")</f>
        <v/>
      </c>
      <c r="AC43">
        <f>HYPERLINK("https://klasma.github.io/Logging_2513/tillsyn/A 62951-2025 tillsynsbegäran.docx", "A 62951-2025")</f>
        <v/>
      </c>
      <c r="AD43">
        <f>HYPERLINK("https://klasma.github.io/Logging_2513/tillsynsmail/A 62951-2025 tillsynsbegäran mail.docx", "A 62951-2025")</f>
        <v/>
      </c>
    </row>
    <row r="44" ht="15" customHeight="1">
      <c r="A44" t="inlineStr">
        <is>
          <t>A 47680-2024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46307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Blå taggsvamp
Skarp dropptaggsvamp</t>
        </is>
      </c>
      <c r="W44">
        <f>HYPERLINK("https://klasma.github.io/Logging_2513/artfynd/A 47680-2024 artfynd.xlsx", "A 47680-2024")</f>
        <v/>
      </c>
      <c r="X44">
        <f>HYPERLINK("https://klasma.github.io/Logging_2513/kartor/A 47680-2024 karta.png", "A 47680-2024")</f>
        <v/>
      </c>
      <c r="Y44">
        <f>HYPERLINK("https://klasma.github.io/Logging_2513/kartor_geotiff/A 47680-2024 georefererad karta.tif", "A 47680-2024")</f>
        <v/>
      </c>
      <c r="AA44">
        <f>HYPERLINK("https://klasma.github.io/Logging_2513/klagomål/A 47680-2024 FSC-klagomål.docx", "A 47680-2024")</f>
        <v/>
      </c>
      <c r="AB44">
        <f>HYPERLINK("https://klasma.github.io/Logging_2513/klagomålsmail/A 47680-2024 FSC-klagomål mail.docx", "A 47680-2024")</f>
        <v/>
      </c>
      <c r="AC44">
        <f>HYPERLINK("https://klasma.github.io/Logging_2513/tillsyn/A 47680-2024 tillsynsbegäran.docx", "A 47680-2024")</f>
        <v/>
      </c>
      <c r="AD44">
        <f>HYPERLINK("https://klasma.github.io/Logging_2513/tillsynsmail/A 47680-2024 tillsynsbegäran mail.docx", "A 47680-2024")</f>
        <v/>
      </c>
    </row>
    <row r="45" ht="15" customHeight="1">
      <c r="A45" t="inlineStr">
        <is>
          <t>A 28029-2026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46307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 taggsvamp
Bollvitmossa</t>
        </is>
      </c>
      <c r="W45">
        <f>HYPERLINK("https://klasma.github.io/Logging_2513/artfynd/A 28029-2026 artfynd.xlsx", "A 28029-2026")</f>
        <v/>
      </c>
      <c r="X45">
        <f>HYPERLINK("https://klasma.github.io/Logging_2513/kartor/A 28029-2026 karta.png", "A 28029-2026")</f>
        <v/>
      </c>
      <c r="Y45">
        <f>HYPERLINK("https://klasma.github.io/Logging_2513/kartor_geotiff/A 28029-2026 georefererad karta.tif", "A 28029-2026")</f>
        <v/>
      </c>
      <c r="AA45">
        <f>HYPERLINK("https://klasma.github.io/Logging_2513/klagomål/A 28029-2026 FSC-klagomål.docx", "A 28029-2026")</f>
        <v/>
      </c>
      <c r="AB45">
        <f>HYPERLINK("https://klasma.github.io/Logging_2513/klagomålsmail/A 28029-2026 FSC-klagomål mail.docx", "A 28029-2026")</f>
        <v/>
      </c>
      <c r="AC45">
        <f>HYPERLINK("https://klasma.github.io/Logging_2513/tillsyn/A 28029-2026 tillsynsbegäran.docx", "A 28029-2026")</f>
        <v/>
      </c>
      <c r="AD45">
        <f>HYPERLINK("https://klasma.github.io/Logging_2513/tillsynsmail/A 28029-2026 tillsynsbegäran mail.docx", "A 28029-2026")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46307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46307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46307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46307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46307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46307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46307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46307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26305-2025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46307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5.2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Luddlav</t>
        </is>
      </c>
      <c r="W54">
        <f>HYPERLINK("https://klasma.github.io/Logging_2513/artfynd/A 26305-2025 artfynd.xlsx", "A 26305-2025")</f>
        <v/>
      </c>
      <c r="X54">
        <f>HYPERLINK("https://klasma.github.io/Logging_2513/kartor/A 26305-2025 karta.png", "A 26305-2025")</f>
        <v/>
      </c>
      <c r="Y54">
        <f>HYPERLINK("https://klasma.github.io/Logging_2513/kartor_geotiff/A 26305-2025 georefererad karta.tif", "A 26305-2025")</f>
        <v/>
      </c>
      <c r="AA54">
        <f>HYPERLINK("https://klasma.github.io/Logging_2513/klagomål/A 26305-2025 FSC-klagomål.docx", "A 26305-2025")</f>
        <v/>
      </c>
      <c r="AB54">
        <f>HYPERLINK("https://klasma.github.io/Logging_2513/klagomålsmail/A 26305-2025 FSC-klagomål mail.docx", "A 26305-2025")</f>
        <v/>
      </c>
      <c r="AC54">
        <f>HYPERLINK("https://klasma.github.io/Logging_2513/tillsyn/A 26305-2025 tillsynsbegäran.docx", "A 26305-2025")</f>
        <v/>
      </c>
      <c r="AD54">
        <f>HYPERLINK("https://klasma.github.io/Logging_2513/tillsynsmail/A 26305-2025 tillsynsbegäran mail.docx", "A 26305-2025")</f>
        <v/>
      </c>
    </row>
    <row r="55" ht="15" customHeight="1">
      <c r="A55" t="inlineStr">
        <is>
          <t>A 27452-2025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46307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27452-2025 artfynd.xlsx", "A 27452-2025")</f>
        <v/>
      </c>
      <c r="X55">
        <f>HYPERLINK("https://klasma.github.io/Logging_2513/kartor/A 27452-2025 karta.png", "A 27452-2025")</f>
        <v/>
      </c>
      <c r="Y55">
        <f>HYPERLINK("https://klasma.github.io/Logging_2513/kartor_geotiff/A 27452-2025 georefererad karta.tif", "A 27452-2025")</f>
        <v/>
      </c>
      <c r="AA55">
        <f>HYPERLINK("https://klasma.github.io/Logging_2513/klagomål/A 27452-2025 FSC-klagomål.docx", "A 27452-2025")</f>
        <v/>
      </c>
      <c r="AB55">
        <f>HYPERLINK("https://klasma.github.io/Logging_2513/klagomålsmail/A 27452-2025 FSC-klagomål mail.docx", "A 27452-2025")</f>
        <v/>
      </c>
      <c r="AC55">
        <f>HYPERLINK("https://klasma.github.io/Logging_2513/tillsyn/A 27452-2025 tillsynsbegäran.docx", "A 27452-2025")</f>
        <v/>
      </c>
      <c r="AD55">
        <f>HYPERLINK("https://klasma.github.io/Logging_2513/tillsynsmail/A 27452-2025 tillsynsbegäran mail.docx", "A 27452-2025")</f>
        <v/>
      </c>
      <c r="AE55">
        <f>HYPERLINK("https://klasma.github.io/Logging_2513/fåglar/A 27452-2025 prioriterade fågelarter.docx", "A 27452-2025")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46307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37532-2022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46307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 taggsvamp</t>
        </is>
      </c>
      <c r="W57">
        <f>HYPERLINK("https://klasma.github.io/Logging_2513/artfynd/A 37532-2022 artfynd.xlsx", "A 37532-2022")</f>
        <v/>
      </c>
      <c r="X57">
        <f>HYPERLINK("https://klasma.github.io/Logging_2513/kartor/A 37532-2022 karta.png", "A 37532-2022")</f>
        <v/>
      </c>
      <c r="Y57">
        <f>HYPERLINK("https://klasma.github.io/Logging_2513/kartor_geotiff/A 37532-2022 georefererad karta.tif", "A 37532-2022")</f>
        <v/>
      </c>
      <c r="AA57">
        <f>HYPERLINK("https://klasma.github.io/Logging_2513/klagomål/A 37532-2022 FSC-klagomål.docx", "A 37532-2022")</f>
        <v/>
      </c>
      <c r="AB57">
        <f>HYPERLINK("https://klasma.github.io/Logging_2513/klagomålsmail/A 37532-2022 FSC-klagomål mail.docx", "A 37532-2022")</f>
        <v/>
      </c>
      <c r="AC57">
        <f>HYPERLINK("https://klasma.github.io/Logging_2513/tillsyn/A 37532-2022 tillsynsbegäran.docx", "A 37532-2022")</f>
        <v/>
      </c>
      <c r="AD57">
        <f>HYPERLINK("https://klasma.github.io/Logging_2513/tillsynsmail/A 37532-2022 tillsynsbegäran mail.docx", "A 37532-2022")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46307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46307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71902-2021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46307</v>
      </c>
      <c r="F60" t="inlineStr">
        <is>
          <t>NORRBOTTENS LÄN</t>
        </is>
      </c>
      <c r="G60" t="inlineStr">
        <is>
          <t>ÖVERKALIX</t>
        </is>
      </c>
      <c r="I60" t="n">
        <v>24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71902-2021 artfynd.xlsx", "A 71902-2021")</f>
        <v/>
      </c>
      <c r="X60">
        <f>HYPERLINK("https://klasma.github.io/Logging_2513/kartor/A 71902-2021 karta.png", "A 71902-2021")</f>
        <v/>
      </c>
      <c r="Y60">
        <f>HYPERLINK("https://klasma.github.io/Logging_2513/kartor_geotiff/A 71902-2021 georefererad karta.tif", "A 71902-2021")</f>
        <v/>
      </c>
      <c r="AA60">
        <f>HYPERLINK("https://klasma.github.io/Logging_2513/klagomål/A 71902-2021 FSC-klagomål.docx", "A 71902-2021")</f>
        <v/>
      </c>
      <c r="AB60">
        <f>HYPERLINK("https://klasma.github.io/Logging_2513/klagomålsmail/A 71902-2021 FSC-klagomål mail.docx", "A 71902-2021")</f>
        <v/>
      </c>
      <c r="AC60">
        <f>HYPERLINK("https://klasma.github.io/Logging_2513/tillsyn/A 71902-2021 tillsynsbegäran.docx", "A 71902-2021")</f>
        <v/>
      </c>
      <c r="AD60">
        <f>HYPERLINK("https://klasma.github.io/Logging_2513/tillsynsmail/A 71902-2021 tillsynsbegäran mail.docx", "A 71902-2021")</f>
        <v/>
      </c>
      <c r="AE60">
        <f>HYPERLINK("https://klasma.github.io/Logging_2513/fåglar/A 71902-2021 prioriterade fågelarter.docx", "A 71902-2021")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46307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46307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27087-2026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46187</v>
      </c>
      <c r="E63" s="1" t="n">
        <v>46307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5.1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Talltita</t>
        </is>
      </c>
      <c r="W63">
        <f>HYPERLINK("https://klasma.github.io/Logging_2513/artfynd/A 27087-2026 artfynd.xlsx", "A 27087-2026")</f>
        <v/>
      </c>
      <c r="X63">
        <f>HYPERLINK("https://klasma.github.io/Logging_2513/kartor/A 27087-2026 karta.png", "A 27087-2026")</f>
        <v/>
      </c>
      <c r="Y63">
        <f>HYPERLINK("https://klasma.github.io/Logging_2513/kartor_geotiff/A 27087-2026 georefererad karta.tif", "A 27087-2026")</f>
        <v/>
      </c>
      <c r="AA63">
        <f>HYPERLINK("https://klasma.github.io/Logging_2513/klagomål/A 27087-2026 FSC-klagomål.docx", "A 27087-2026")</f>
        <v/>
      </c>
      <c r="AB63">
        <f>HYPERLINK("https://klasma.github.io/Logging_2513/klagomålsmail/A 27087-2026 FSC-klagomål mail.docx", "A 27087-2026")</f>
        <v/>
      </c>
      <c r="AC63">
        <f>HYPERLINK("https://klasma.github.io/Logging_2513/tillsyn/A 27087-2026 tillsynsbegäran.docx", "A 27087-2026")</f>
        <v/>
      </c>
      <c r="AD63">
        <f>HYPERLINK("https://klasma.github.io/Logging_2513/tillsynsmail/A 27087-2026 tillsynsbegäran mail.docx", "A 27087-2026")</f>
        <v/>
      </c>
      <c r="AE63">
        <f>HYPERLINK("https://klasma.github.io/Logging_2513/fåglar/A 27087-2026 prioriterade fågelarter.docx", "A 27087-2026")</f>
        <v/>
      </c>
    </row>
    <row r="64" ht="15" customHeight="1">
      <c r="A64" t="inlineStr">
        <is>
          <t>A 20949-2026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46142</v>
      </c>
      <c r="E64" s="1" t="n">
        <v>46307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9.1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20949-2026 artfynd.xlsx", "A 20949-2026")</f>
        <v/>
      </c>
      <c r="X64">
        <f>HYPERLINK("https://klasma.github.io/Logging_2513/kartor/A 20949-2026 karta.png", "A 20949-2026")</f>
        <v/>
      </c>
      <c r="Y64">
        <f>HYPERLINK("https://klasma.github.io/Logging_2513/kartor_geotiff/A 20949-2026 georefererad karta.tif", "A 20949-2026")</f>
        <v/>
      </c>
      <c r="AA64">
        <f>HYPERLINK("https://klasma.github.io/Logging_2513/klagomål/A 20949-2026 FSC-klagomål.docx", "A 20949-2026")</f>
        <v/>
      </c>
      <c r="AB64">
        <f>HYPERLINK("https://klasma.github.io/Logging_2513/klagomålsmail/A 20949-2026 FSC-klagomål mail.docx", "A 20949-2026")</f>
        <v/>
      </c>
      <c r="AC64">
        <f>HYPERLINK("https://klasma.github.io/Logging_2513/tillsyn/A 20949-2026 tillsynsbegäran.docx", "A 20949-2026")</f>
        <v/>
      </c>
      <c r="AD64">
        <f>HYPERLINK("https://klasma.github.io/Logging_2513/tillsynsmail/A 20949-2026 tillsynsbegäran mail.docx", "A 20949-2026")</f>
        <v/>
      </c>
    </row>
    <row r="65" ht="15" customHeight="1">
      <c r="A65" t="inlineStr">
        <is>
          <t>A 25335-2026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46307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46.9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HYPERLINK("https://klasma.github.io/Logging_2513/artfynd/A 25335-2026 artfynd.xlsx", "A 25335-2026")</f>
        <v/>
      </c>
      <c r="X65">
        <f>HYPERLINK("https://klasma.github.io/Logging_2513/kartor/A 25335-2026 karta.png", "A 25335-2026")</f>
        <v/>
      </c>
      <c r="Y65">
        <f>HYPERLINK("https://klasma.github.io/Logging_2513/kartor_geotiff/A 25335-2026 georefererad karta.tif", "A 25335-2026")</f>
        <v/>
      </c>
      <c r="AA65">
        <f>HYPERLINK("https://klasma.github.io/Logging_2513/klagomål/A 25335-2026 FSC-klagomål.docx", "A 25335-2026")</f>
        <v/>
      </c>
      <c r="AB65">
        <f>HYPERLINK("https://klasma.github.io/Logging_2513/klagomålsmail/A 25335-2026 FSC-klagomål mail.docx", "A 25335-2026")</f>
        <v/>
      </c>
      <c r="AC65">
        <f>HYPERLINK("https://klasma.github.io/Logging_2513/tillsyn/A 25335-2026 tillsynsbegäran.docx", "A 25335-2026")</f>
        <v/>
      </c>
      <c r="AD65">
        <f>HYPERLINK("https://klasma.github.io/Logging_2513/tillsynsmail/A 25335-2026 tillsynsbegäran mail.docx", "A 25335-2026")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46307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46307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46307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46307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46307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46307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46307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46307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46307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46307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46307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46307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46307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46307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46307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46307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46307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6916-2022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44602</v>
      </c>
      <c r="E83" s="1" t="n">
        <v>46307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46307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46307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46307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46307</v>
      </c>
      <c r="F87" t="inlineStr">
        <is>
          <t>NORRBOTTENS LÄN</t>
        </is>
      </c>
      <c r="G87" t="inlineStr">
        <is>
          <t>ÖVERKALIX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46307</v>
      </c>
      <c r="F88" t="inlineStr">
        <is>
          <t>NORRBOTTENS LÄN</t>
        </is>
      </c>
      <c r="G88" t="inlineStr">
        <is>
          <t>ÖVERKALIX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46307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46307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46307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45154</v>
      </c>
      <c r="E92" s="1" t="n">
        <v>46307</v>
      </c>
      <c r="F92" t="inlineStr">
        <is>
          <t>NORRBOTTENS LÄN</t>
        </is>
      </c>
      <c r="G92" t="inlineStr">
        <is>
          <t>ÖVERKALIX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45692</v>
      </c>
      <c r="E93" s="1" t="n">
        <v>46307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46307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46307</v>
      </c>
      <c r="F95" t="inlineStr">
        <is>
          <t>NORRBOTTENS LÄN</t>
        </is>
      </c>
      <c r="G95" t="inlineStr">
        <is>
          <t>ÖVERKALIX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45513</v>
      </c>
      <c r="E96" s="1" t="n">
        <v>46307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46307</v>
      </c>
      <c r="F97" t="inlineStr">
        <is>
          <t>NORRBOTTENS LÄN</t>
        </is>
      </c>
      <c r="G97" t="inlineStr">
        <is>
          <t>ÖVERKALIX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45709</v>
      </c>
      <c r="E98" s="1" t="n">
        <v>46307</v>
      </c>
      <c r="F98" t="inlineStr">
        <is>
          <t>NORRBOTTENS LÄN</t>
        </is>
      </c>
      <c r="G98" t="inlineStr">
        <is>
          <t>ÖVERKALIX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60400-2022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46307</v>
      </c>
      <c r="F99" t="inlineStr">
        <is>
          <t>NORRBOTTENS LÄN</t>
        </is>
      </c>
      <c r="G99" t="inlineStr">
        <is>
          <t>ÖVERKALIX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46307</v>
      </c>
      <c r="F100" t="inlineStr">
        <is>
          <t>NORRBOTTENS LÄN</t>
        </is>
      </c>
      <c r="G100" t="inlineStr">
        <is>
          <t>ÖVERKALIX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42119-2024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46307</v>
      </c>
      <c r="F101" t="inlineStr">
        <is>
          <t>NORRBOTTENS LÄN</t>
        </is>
      </c>
      <c r="G101" t="inlineStr">
        <is>
          <t>ÖVERKALIX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45160</v>
      </c>
      <c r="E102" s="1" t="n">
        <v>46307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45771</v>
      </c>
      <c r="E103" s="1" t="n">
        <v>46307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46307</v>
      </c>
      <c r="F104" t="inlineStr">
        <is>
          <t>NORRBOTTENS LÄN</t>
        </is>
      </c>
      <c r="G104" t="inlineStr">
        <is>
          <t>ÖVERKALIX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46307</v>
      </c>
      <c r="F105" t="inlineStr">
        <is>
          <t>NORRBOTTENS LÄN</t>
        </is>
      </c>
      <c r="G105" t="inlineStr">
        <is>
          <t>ÖVERKALIX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46307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45593</v>
      </c>
      <c r="E107" s="1" t="n">
        <v>46307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45218</v>
      </c>
      <c r="E108" s="1" t="n">
        <v>46307</v>
      </c>
      <c r="F108" t="inlineStr">
        <is>
          <t>NORRBOTTENS LÄN</t>
        </is>
      </c>
      <c r="G108" t="inlineStr">
        <is>
          <t>ÖVERKALIX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46307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44797</v>
      </c>
      <c r="E110" s="1" t="n">
        <v>46307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46307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46307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46307</v>
      </c>
      <c r="F113" t="inlineStr">
        <is>
          <t>NORRBOTTENS LÄN</t>
        </is>
      </c>
      <c r="G113" t="inlineStr">
        <is>
          <t>ÖVERKALIX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23302-2023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45075</v>
      </c>
      <c r="E114" s="1" t="n">
        <v>46307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72809-2021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46307</v>
      </c>
      <c r="F115" t="inlineStr">
        <is>
          <t>NORRBOTTENS LÄN</t>
        </is>
      </c>
      <c r="G115" t="inlineStr">
        <is>
          <t>ÖVERKALIX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46307</v>
      </c>
      <c r="F116" t="inlineStr">
        <is>
          <t>NORRBOTTENS LÄN</t>
        </is>
      </c>
      <c r="G116" t="inlineStr">
        <is>
          <t>ÖVERKALIX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46307</v>
      </c>
      <c r="F117" t="inlineStr">
        <is>
          <t>NORRBOTTENS LÄN</t>
        </is>
      </c>
      <c r="G117" t="inlineStr">
        <is>
          <t>ÖVERKALIX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46307</v>
      </c>
      <c r="F118" t="inlineStr">
        <is>
          <t>NORRBOTTENS LÄN</t>
        </is>
      </c>
      <c r="G118" t="inlineStr">
        <is>
          <t>ÖVERKALIX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46307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73216-2021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46307</v>
      </c>
      <c r="F120" t="inlineStr">
        <is>
          <t>NORRBOTTENS LÄN</t>
        </is>
      </c>
      <c r="G120" t="inlineStr">
        <is>
          <t>ÖVERKALIX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72623-2021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44546</v>
      </c>
      <c r="E121" s="1" t="n">
        <v>46307</v>
      </c>
      <c r="F121" t="inlineStr">
        <is>
          <t>NORRBOTTENS LÄN</t>
        </is>
      </c>
      <c r="G121" t="inlineStr">
        <is>
          <t>ÖVERKALIX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46307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46307</v>
      </c>
      <c r="F123" t="inlineStr">
        <is>
          <t>NORRBOTTENS LÄN</t>
        </is>
      </c>
      <c r="G123" t="inlineStr">
        <is>
          <t>ÖVERKALIX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46307</v>
      </c>
      <c r="F124" t="inlineStr">
        <is>
          <t>NORRBOTTENS LÄN</t>
        </is>
      </c>
      <c r="G124" t="inlineStr">
        <is>
          <t>ÖVERKALIX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46307</v>
      </c>
      <c r="F125" t="inlineStr">
        <is>
          <t>NORRBOTTENS LÄN</t>
        </is>
      </c>
      <c r="G125" t="inlineStr">
        <is>
          <t>ÖVERKALIX</t>
        </is>
      </c>
      <c r="I125" t="n">
        <v>21.7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46307</v>
      </c>
      <c r="F126" t="inlineStr">
        <is>
          <t>NORRBOTTENS LÄN</t>
        </is>
      </c>
      <c r="G126" t="inlineStr">
        <is>
          <t>ÖVERKALIX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45610</v>
      </c>
      <c r="E127" s="1" t="n">
        <v>46307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46307</v>
      </c>
      <c r="F128" t="inlineStr">
        <is>
          <t>NORRBOTTENS LÄN</t>
        </is>
      </c>
      <c r="G128" t="inlineStr">
        <is>
          <t>ÖVERKALIX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12591-2024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46307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46307</v>
      </c>
      <c r="F130" t="inlineStr">
        <is>
          <t>NORRBOTTENS LÄN</t>
        </is>
      </c>
      <c r="G130" t="inlineStr">
        <is>
          <t>ÖVERKALIX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46307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46307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46307</v>
      </c>
      <c r="F133" t="inlineStr">
        <is>
          <t>NORRBOTTENS LÄN</t>
        </is>
      </c>
      <c r="G133" t="inlineStr">
        <is>
          <t>ÖVERKALIX</t>
        </is>
      </c>
      <c r="I133" t="n">
        <v>9.4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46307</v>
      </c>
      <c r="F134" t="inlineStr">
        <is>
          <t>NORRBOTTENS LÄN</t>
        </is>
      </c>
      <c r="G134" t="inlineStr">
        <is>
          <t>ÖVERKALIX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46307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26449-2025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46307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46307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37.4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46307</v>
      </c>
      <c r="F138" t="inlineStr">
        <is>
          <t>NORRBOTTENS LÄN</t>
        </is>
      </c>
      <c r="G138" t="inlineStr">
        <is>
          <t>ÖVERKALIX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46307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46307</v>
      </c>
      <c r="F140" t="inlineStr">
        <is>
          <t>NORRBOTTENS LÄN</t>
        </is>
      </c>
      <c r="G140" t="inlineStr">
        <is>
          <t>ÖVERKALIX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46307</v>
      </c>
      <c r="F141" t="inlineStr">
        <is>
          <t>NORRBOTTENS LÄN</t>
        </is>
      </c>
      <c r="G141" t="inlineStr">
        <is>
          <t>ÖVERKALIX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44899</v>
      </c>
      <c r="E142" s="1" t="n">
        <v>46307</v>
      </c>
      <c r="F142" t="inlineStr">
        <is>
          <t>NORRBOTTENS LÄN</t>
        </is>
      </c>
      <c r="G142" t="inlineStr">
        <is>
          <t>ÖVERKALIX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46307</v>
      </c>
      <c r="F143" t="inlineStr">
        <is>
          <t>NORRBOTTENS LÄN</t>
        </is>
      </c>
      <c r="G143" t="inlineStr">
        <is>
          <t>ÖVERKALIX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45404</v>
      </c>
      <c r="E144" s="1" t="n">
        <v>46307</v>
      </c>
      <c r="F144" t="inlineStr">
        <is>
          <t>NORRBOTTENS LÄN</t>
        </is>
      </c>
      <c r="G144" t="inlineStr">
        <is>
          <t>ÖVERKALIX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45436</v>
      </c>
      <c r="E145" s="1" t="n">
        <v>46307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46307</v>
      </c>
      <c r="F146" t="inlineStr">
        <is>
          <t>NORRBOTTENS LÄN</t>
        </is>
      </c>
      <c r="G146" t="inlineStr">
        <is>
          <t>ÖVERKALIX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46307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46307</v>
      </c>
      <c r="F148" t="inlineStr">
        <is>
          <t>NORRBOTTENS LÄN</t>
        </is>
      </c>
      <c r="G148" t="inlineStr">
        <is>
          <t>ÖVERKALIX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46307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46307</v>
      </c>
      <c r="F150" t="inlineStr">
        <is>
          <t>NORRBOTTENS LÄN</t>
        </is>
      </c>
      <c r="G150" t="inlineStr">
        <is>
          <t>ÖVERKALIX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46307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46307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45429</v>
      </c>
      <c r="E153" s="1" t="n">
        <v>46307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14255-2023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46307</v>
      </c>
      <c r="F154" t="inlineStr">
        <is>
          <t>NORRBOTTENS LÄN</t>
        </is>
      </c>
      <c r="G154" t="inlineStr">
        <is>
          <t>ÖVERKALIX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45133</v>
      </c>
      <c r="E155" s="1" t="n">
        <v>46307</v>
      </c>
      <c r="F155" t="inlineStr">
        <is>
          <t>NORRBOTTENS LÄN</t>
        </is>
      </c>
      <c r="G155" t="inlineStr">
        <is>
          <t>ÖVERKALIX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45785</v>
      </c>
      <c r="E156" s="1" t="n">
        <v>46307</v>
      </c>
      <c r="F156" t="inlineStr">
        <is>
          <t>NORRBOTTENS LÄN</t>
        </is>
      </c>
      <c r="G156" t="inlineStr">
        <is>
          <t>ÖVERKALIX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46307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10.5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44754-2025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45917</v>
      </c>
      <c r="E158" s="1" t="n">
        <v>46307</v>
      </c>
      <c r="F158" t="inlineStr">
        <is>
          <t>NORRBOTTENS LÄN</t>
        </is>
      </c>
      <c r="G158" t="inlineStr">
        <is>
          <t>ÖVERKALIX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46307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46307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45922</v>
      </c>
      <c r="E161" s="1" t="n">
        <v>46307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46307</v>
      </c>
      <c r="F162" t="inlineStr">
        <is>
          <t>NORRBOTTENS LÄN</t>
        </is>
      </c>
      <c r="G162" t="inlineStr">
        <is>
          <t>ÖVERKALIX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46307</v>
      </c>
      <c r="F163" t="inlineStr">
        <is>
          <t>NORRBOTTENS LÄN</t>
        </is>
      </c>
      <c r="G163" t="inlineStr">
        <is>
          <t>ÖVERKALIX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45070</v>
      </c>
      <c r="E164" s="1" t="n">
        <v>46307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46307</v>
      </c>
      <c r="F165" t="inlineStr">
        <is>
          <t>NORRBOTTENS LÄN</t>
        </is>
      </c>
      <c r="G165" t="inlineStr">
        <is>
          <t>ÖVERKALIX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46307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9.800000000000001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72364-2021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44543</v>
      </c>
      <c r="E167" s="1" t="n">
        <v>46307</v>
      </c>
      <c r="F167" t="inlineStr">
        <is>
          <t>NORRBOTTENS LÄN</t>
        </is>
      </c>
      <c r="G167" t="inlineStr">
        <is>
          <t>ÖVERKALIX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44595</v>
      </c>
      <c r="E168" s="1" t="n">
        <v>46307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45793</v>
      </c>
      <c r="E169" s="1" t="n">
        <v>46307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46307</v>
      </c>
      <c r="F170" t="inlineStr">
        <is>
          <t>NORRBOTTENS LÄN</t>
        </is>
      </c>
      <c r="G170" t="inlineStr">
        <is>
          <t>ÖVERKALIX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45513</v>
      </c>
      <c r="E171" s="1" t="n">
        <v>46307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46307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46307</v>
      </c>
      <c r="F173" t="inlineStr">
        <is>
          <t>NORRBOTTENS LÄN</t>
        </is>
      </c>
      <c r="G173" t="inlineStr">
        <is>
          <t>ÖVERKALIX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46307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46307</v>
      </c>
      <c r="F175" t="inlineStr">
        <is>
          <t>NORRBOTTENS LÄN</t>
        </is>
      </c>
      <c r="G175" t="inlineStr">
        <is>
          <t>ÖVERKALIX</t>
        </is>
      </c>
      <c r="H175" t="inlineStr">
        <is>
          <t>Övriga statliga verk och myndigheter</t>
        </is>
      </c>
      <c r="I175" t="n">
        <v>10.3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46307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45793</v>
      </c>
      <c r="E177" s="1" t="n">
        <v>46307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44950</v>
      </c>
      <c r="E178" s="1" t="n">
        <v>46307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46307</v>
      </c>
      <c r="F179" t="inlineStr">
        <is>
          <t>NORRBOTTENS LÄN</t>
        </is>
      </c>
      <c r="G179" t="inlineStr">
        <is>
          <t>ÖVERKALIX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46307</v>
      </c>
      <c r="F180" t="inlineStr">
        <is>
          <t>NORRBOTTENS LÄN</t>
        </is>
      </c>
      <c r="G180" t="inlineStr">
        <is>
          <t>ÖVERKALIX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46307</v>
      </c>
      <c r="F181" t="inlineStr">
        <is>
          <t>NORRBOTTENS LÄN</t>
        </is>
      </c>
      <c r="G181" t="inlineStr">
        <is>
          <t>ÖVERKALIX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46307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46307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45323</v>
      </c>
      <c r="E184" s="1" t="n">
        <v>46307</v>
      </c>
      <c r="F184" t="inlineStr">
        <is>
          <t>NORRBOTTENS LÄN</t>
        </is>
      </c>
      <c r="G184" t="inlineStr">
        <is>
          <t>ÖVERKALIX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46307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46307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46307</v>
      </c>
      <c r="F187" t="inlineStr">
        <is>
          <t>NORRBOTTENS LÄN</t>
        </is>
      </c>
      <c r="G187" t="inlineStr">
        <is>
          <t>ÖVERKALIX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46307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45189</v>
      </c>
      <c r="E189" s="1" t="n">
        <v>46307</v>
      </c>
      <c r="F189" t="inlineStr">
        <is>
          <t>NORRBOTTENS LÄN</t>
        </is>
      </c>
      <c r="G189" t="inlineStr">
        <is>
          <t>ÖVERKALIX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45810</v>
      </c>
      <c r="E190" s="1" t="n">
        <v>46307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46307</v>
      </c>
      <c r="F191" t="inlineStr">
        <is>
          <t>NORRBOTTENS LÄN</t>
        </is>
      </c>
      <c r="G191" t="inlineStr">
        <is>
          <t>ÖVERKALIX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46307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46307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46307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46307</v>
      </c>
      <c r="F195" t="inlineStr">
        <is>
          <t>NORRBOTTENS LÄN</t>
        </is>
      </c>
      <c r="G195" t="inlineStr">
        <is>
          <t>ÖVERKALIX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46307</v>
      </c>
      <c r="F196" t="inlineStr">
        <is>
          <t>NORRBOTTENS LÄN</t>
        </is>
      </c>
      <c r="G196" t="inlineStr">
        <is>
          <t>ÖVERKALIX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46307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8.699999999999999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46307</v>
      </c>
      <c r="F198" t="inlineStr">
        <is>
          <t>NORRBOTTENS LÄN</t>
        </is>
      </c>
      <c r="G198" t="inlineStr">
        <is>
          <t>ÖVERKALIX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46307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46307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46307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46307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46307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45189</v>
      </c>
      <c r="E204" s="1" t="n">
        <v>46307</v>
      </c>
      <c r="F204" t="inlineStr">
        <is>
          <t>NORRBOTTENS LÄN</t>
        </is>
      </c>
      <c r="G204" t="inlineStr">
        <is>
          <t>ÖVERKALIX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46307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46307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46307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23324-2023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46307</v>
      </c>
      <c r="F208" t="inlineStr">
        <is>
          <t>NORRBOTTENS LÄN</t>
        </is>
      </c>
      <c r="G208" t="inlineStr">
        <is>
          <t>ÖVERKALIX</t>
        </is>
      </c>
      <c r="H208" t="inlineStr">
        <is>
          <t>Övriga statliga verk och myndigheter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46307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46307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46307</v>
      </c>
      <c r="F211" t="inlineStr">
        <is>
          <t>NORRBOTTENS LÄN</t>
        </is>
      </c>
      <c r="G211" t="inlineStr">
        <is>
          <t>ÖVERKALIX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45622</v>
      </c>
      <c r="E212" s="1" t="n">
        <v>46307</v>
      </c>
      <c r="F212" t="inlineStr">
        <is>
          <t>NORRBOTTENS LÄN</t>
        </is>
      </c>
      <c r="G212" t="inlineStr">
        <is>
          <t>ÖVERKALIX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46307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46307</v>
      </c>
      <c r="F214" t="inlineStr">
        <is>
          <t>NORRBOTTENS LÄN</t>
        </is>
      </c>
      <c r="G214" t="inlineStr">
        <is>
          <t>ÖVERKALIX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46307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46307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46307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46307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17.2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29464-2025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46307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51257-2025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46307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46307</v>
      </c>
      <c r="F221" t="inlineStr">
        <is>
          <t>NORRBOTTENS LÄN</t>
        </is>
      </c>
      <c r="G221" t="inlineStr">
        <is>
          <t>ÖVERKALIX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46307</v>
      </c>
      <c r="F222" t="inlineStr">
        <is>
          <t>NORRBOTTENS LÄN</t>
        </is>
      </c>
      <c r="G222" t="inlineStr">
        <is>
          <t>ÖVERKALIX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46307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46307</v>
      </c>
      <c r="F224" t="inlineStr">
        <is>
          <t>NORRBOTTENS LÄN</t>
        </is>
      </c>
      <c r="G224" t="inlineStr">
        <is>
          <t>ÖVERKALIX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46307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24.4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46307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46307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46307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46307</v>
      </c>
      <c r="F229" t="inlineStr">
        <is>
          <t>NORRBOTTENS LÄN</t>
        </is>
      </c>
      <c r="G229" t="inlineStr">
        <is>
          <t>ÖVERKALIX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46307</v>
      </c>
      <c r="F230" t="inlineStr">
        <is>
          <t>NORRBOTTENS LÄN</t>
        </is>
      </c>
      <c r="G230" t="inlineStr">
        <is>
          <t>ÖVERKALIX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45825</v>
      </c>
      <c r="E231" s="1" t="n">
        <v>46307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46307</v>
      </c>
      <c r="F232" t="inlineStr">
        <is>
          <t>NORRBOTTENS LÄN</t>
        </is>
      </c>
      <c r="G232" t="inlineStr">
        <is>
          <t>ÖVERKALIX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51634-2025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45951</v>
      </c>
      <c r="E233" s="1" t="n">
        <v>46307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45693</v>
      </c>
      <c r="E234" s="1" t="n">
        <v>46307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46307</v>
      </c>
      <c r="F235" t="inlineStr">
        <is>
          <t>NORRBOTTENS LÄN</t>
        </is>
      </c>
      <c r="G235" t="inlineStr">
        <is>
          <t>ÖVERKALIX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46307</v>
      </c>
      <c r="F236" t="inlineStr">
        <is>
          <t>NORRBOTTENS LÄN</t>
        </is>
      </c>
      <c r="G236" t="inlineStr">
        <is>
          <t>ÖVERKALIX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52591-2025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45954</v>
      </c>
      <c r="E237" s="1" t="n">
        <v>46307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46307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46307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46307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46307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46307</v>
      </c>
      <c r="F242" t="inlineStr">
        <is>
          <t>NORRBOTTENS LÄN</t>
        </is>
      </c>
      <c r="G242" t="inlineStr">
        <is>
          <t>ÖVERKALIX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46307</v>
      </c>
      <c r="F243" t="inlineStr">
        <is>
          <t>NORRBOTTENS LÄN</t>
        </is>
      </c>
      <c r="G243" t="inlineStr">
        <is>
          <t>ÖVERKALIX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45702</v>
      </c>
      <c r="E244" s="1" t="n">
        <v>46307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31744-2025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45834</v>
      </c>
      <c r="E245" s="1" t="n">
        <v>46307</v>
      </c>
      <c r="F245" t="inlineStr">
        <is>
          <t>NORRBOTTENS LÄN</t>
        </is>
      </c>
      <c r="G245" t="inlineStr">
        <is>
          <t>ÖVERKALIX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46307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46307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58764-2023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45251</v>
      </c>
      <c r="E248" s="1" t="n">
        <v>46307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45837</v>
      </c>
      <c r="E249" s="1" t="n">
        <v>46307</v>
      </c>
      <c r="F249" t="inlineStr">
        <is>
          <t>NORRBOTTENS LÄN</t>
        </is>
      </c>
      <c r="G249" t="inlineStr">
        <is>
          <t>ÖVERKALIX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46307</v>
      </c>
      <c r="F250" t="inlineStr">
        <is>
          <t>NORRBOTTENS LÄN</t>
        </is>
      </c>
      <c r="G250" t="inlineStr">
        <is>
          <t>ÖVERKALIX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46307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46307</v>
      </c>
      <c r="F252" t="inlineStr">
        <is>
          <t>NORRBOTTENS LÄN</t>
        </is>
      </c>
      <c r="G252" t="inlineStr">
        <is>
          <t>ÖVERKALIX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44993</v>
      </c>
      <c r="E253" s="1" t="n">
        <v>46307</v>
      </c>
      <c r="F253" t="inlineStr">
        <is>
          <t>NORRBOTTENS LÄN</t>
        </is>
      </c>
      <c r="G253" t="inlineStr">
        <is>
          <t>ÖVERKALIX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46307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45837</v>
      </c>
      <c r="E255" s="1" t="n">
        <v>46307</v>
      </c>
      <c r="F255" t="inlineStr">
        <is>
          <t>NORRBOTTENS LÄN</t>
        </is>
      </c>
      <c r="G255" t="inlineStr">
        <is>
          <t>ÖVERKALIX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45839</v>
      </c>
      <c r="E256" s="1" t="n">
        <v>46307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46307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45575</v>
      </c>
      <c r="E258" s="1" t="n">
        <v>46307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46307</v>
      </c>
      <c r="F259" t="inlineStr">
        <is>
          <t>NORRBOTTENS LÄN</t>
        </is>
      </c>
      <c r="G259" t="inlineStr">
        <is>
          <t>ÖVERKALIX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46307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46307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46307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46307</v>
      </c>
      <c r="F263" t="inlineStr">
        <is>
          <t>NORRBOTTENS LÄN</t>
        </is>
      </c>
      <c r="G263" t="inlineStr">
        <is>
          <t>ÖVERKALIX</t>
        </is>
      </c>
      <c r="I263" t="n">
        <v>13.1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45967</v>
      </c>
      <c r="E264" s="1" t="n">
        <v>46307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46307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34128-2025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45845</v>
      </c>
      <c r="E266" s="1" t="n">
        <v>46307</v>
      </c>
      <c r="F266" t="inlineStr">
        <is>
          <t>NORRBOTTENS LÄN</t>
        </is>
      </c>
      <c r="G266" t="inlineStr">
        <is>
          <t>ÖVERKALIX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64524-2023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45281</v>
      </c>
      <c r="E267" s="1" t="n">
        <v>46307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46307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28.8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45869</v>
      </c>
      <c r="E269" s="1" t="n">
        <v>46307</v>
      </c>
      <c r="F269" t="inlineStr">
        <is>
          <t>NORRBOTTENS LÄN</t>
        </is>
      </c>
      <c r="G269" t="inlineStr">
        <is>
          <t>ÖVERKALIX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36620-2025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45870</v>
      </c>
      <c r="E270" s="1" t="n">
        <v>46307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45870</v>
      </c>
      <c r="E271" s="1" t="n">
        <v>46307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45869</v>
      </c>
      <c r="E272" s="1" t="n">
        <v>46307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46307</v>
      </c>
      <c r="F273" t="inlineStr">
        <is>
          <t>NORRBOTTENS LÄN</t>
        </is>
      </c>
      <c r="G273" t="inlineStr">
        <is>
          <t>ÖVERKALIX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48577-2023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45208</v>
      </c>
      <c r="E274" s="1" t="n">
        <v>46307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46307</v>
      </c>
      <c r="F275" t="inlineStr">
        <is>
          <t>NORRBOTTENS LÄN</t>
        </is>
      </c>
      <c r="G275" t="inlineStr">
        <is>
          <t>ÖVERKALIX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45092</v>
      </c>
      <c r="E276" s="1" t="n">
        <v>46307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46307</v>
      </c>
      <c r="F277" t="inlineStr">
        <is>
          <t>NORRBOTTENS LÄN</t>
        </is>
      </c>
      <c r="G277" t="inlineStr">
        <is>
          <t>ÖVERKALIX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57744-2025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45981</v>
      </c>
      <c r="E278" s="1" t="n">
        <v>46307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46307</v>
      </c>
      <c r="F279" t="inlineStr">
        <is>
          <t>NORRBOTTENS LÄN</t>
        </is>
      </c>
      <c r="G279" t="inlineStr">
        <is>
          <t>ÖVERKALIX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44575</v>
      </c>
      <c r="E280" s="1" t="n">
        <v>46307</v>
      </c>
      <c r="F280" t="inlineStr">
        <is>
          <t>NORRBOTTENS LÄN</t>
        </is>
      </c>
      <c r="G280" t="inlineStr">
        <is>
          <t>ÖVERKALIX</t>
        </is>
      </c>
      <c r="I280" t="n">
        <v>10.4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46307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45693</v>
      </c>
      <c r="E282" s="1" t="n">
        <v>46307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45882</v>
      </c>
      <c r="E283" s="1" t="n">
        <v>46307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46307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45631</v>
      </c>
      <c r="E285" s="1" t="n">
        <v>46307</v>
      </c>
      <c r="F285" t="inlineStr">
        <is>
          <t>NORRBOTTENS LÄN</t>
        </is>
      </c>
      <c r="G285" t="inlineStr">
        <is>
          <t>ÖVERKALIX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46307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46307</v>
      </c>
      <c r="F287" t="inlineStr">
        <is>
          <t>NORRBOTTENS LÄN</t>
        </is>
      </c>
      <c r="G287" t="inlineStr">
        <is>
          <t>ÖVERKALIX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46307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45231</v>
      </c>
      <c r="E289" s="1" t="n">
        <v>46307</v>
      </c>
      <c r="F289" t="inlineStr">
        <is>
          <t>NORRBOTTENS LÄN</t>
        </is>
      </c>
      <c r="G289" t="inlineStr">
        <is>
          <t>ÖVERKALIX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46307</v>
      </c>
      <c r="F290" t="inlineStr">
        <is>
          <t>NORRBOTTENS LÄN</t>
        </is>
      </c>
      <c r="G290" t="inlineStr">
        <is>
          <t>ÖVERKALIX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46307</v>
      </c>
      <c r="F291" t="inlineStr">
        <is>
          <t>NORRBOTTENS LÄN</t>
        </is>
      </c>
      <c r="G291" t="inlineStr">
        <is>
          <t>ÖVERKALIX</t>
        </is>
      </c>
      <c r="I291" t="n">
        <v>16.1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72212-2021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46307</v>
      </c>
      <c r="F292" t="inlineStr">
        <is>
          <t>NORRBOTTENS LÄN</t>
        </is>
      </c>
      <c r="G292" t="inlineStr">
        <is>
          <t>ÖVERKALIX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46307</v>
      </c>
      <c r="F293" t="inlineStr">
        <is>
          <t>NORRBOTTENS LÄN</t>
        </is>
      </c>
      <c r="G293" t="inlineStr">
        <is>
          <t>ÖVERKALIX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46307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22.8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45471</v>
      </c>
      <c r="E295" s="1" t="n">
        <v>46307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46307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32.6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46307</v>
      </c>
      <c r="F297" t="inlineStr">
        <is>
          <t>NORRBOTTENS LÄN</t>
        </is>
      </c>
      <c r="G297" t="inlineStr">
        <is>
          <t>ÖVERKALIX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16794-2026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46307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46307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46307</v>
      </c>
      <c r="F300" t="inlineStr">
        <is>
          <t>NORRBOTTENS LÄN</t>
        </is>
      </c>
      <c r="G300" t="inlineStr">
        <is>
          <t>ÖVERKALIX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40281-2022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46307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40619-2022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44823</v>
      </c>
      <c r="E302" s="1" t="n">
        <v>46307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8.300000000000001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46307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46307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46307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46307</v>
      </c>
      <c r="F306" t="inlineStr">
        <is>
          <t>NORRBOTTENS LÄN</t>
        </is>
      </c>
      <c r="G306" t="inlineStr">
        <is>
          <t>ÖVERKALIX</t>
        </is>
      </c>
      <c r="I306" t="n">
        <v>9.5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46307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44880</v>
      </c>
      <c r="E308" s="1" t="n">
        <v>46307</v>
      </c>
      <c r="F308" t="inlineStr">
        <is>
          <t>NORRBOTTENS LÄN</t>
        </is>
      </c>
      <c r="G308" t="inlineStr">
        <is>
          <t>ÖVERKALIX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45996</v>
      </c>
      <c r="E309" s="1" t="n">
        <v>46307</v>
      </c>
      <c r="F309" t="inlineStr">
        <is>
          <t>NORRBOTTENS LÄN</t>
        </is>
      </c>
      <c r="G309" t="inlineStr">
        <is>
          <t>ÖVERKALIX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46307</v>
      </c>
      <c r="F310" t="inlineStr">
        <is>
          <t>NORRBOTTENS LÄN</t>
        </is>
      </c>
      <c r="G310" t="inlineStr">
        <is>
          <t>ÖVERKALIX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46307</v>
      </c>
      <c r="F311" t="inlineStr">
        <is>
          <t>NORRBOTTENS LÄN</t>
        </is>
      </c>
      <c r="G311" t="inlineStr">
        <is>
          <t>ÖVERKALIX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46307</v>
      </c>
      <c r="F312" t="inlineStr">
        <is>
          <t>NORRBOTTENS LÄN</t>
        </is>
      </c>
      <c r="G312" t="inlineStr">
        <is>
          <t>ÖVERKALIX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46307</v>
      </c>
      <c r="F313" t="inlineStr">
        <is>
          <t>NORRBOTTENS LÄN</t>
        </is>
      </c>
      <c r="G313" t="inlineStr">
        <is>
          <t>ÖVERKALIX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60809-2025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46307</v>
      </c>
      <c r="F314" t="inlineStr">
        <is>
          <t>NORRBOTTENS LÄN</t>
        </is>
      </c>
      <c r="G314" t="inlineStr">
        <is>
          <t>ÖVERKALIX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46307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46307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46307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46307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44830</v>
      </c>
      <c r="E319" s="1" t="n">
        <v>46307</v>
      </c>
      <c r="F319" t="inlineStr">
        <is>
          <t>NORRBOTTENS LÄN</t>
        </is>
      </c>
      <c r="G319" t="inlineStr">
        <is>
          <t>ÖVERKALIX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46307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46307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46307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46307</v>
      </c>
      <c r="F323" t="inlineStr">
        <is>
          <t>NORRBOTTENS LÄN</t>
        </is>
      </c>
      <c r="G323" t="inlineStr">
        <is>
          <t>ÖVERKALIX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46134</v>
      </c>
      <c r="E324" s="1" t="n">
        <v>46307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45807</v>
      </c>
      <c r="E325" s="1" t="n">
        <v>46307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46307</v>
      </c>
      <c r="F326" t="inlineStr">
        <is>
          <t>NORRBOTTENS LÄN</t>
        </is>
      </c>
      <c r="G326" t="inlineStr">
        <is>
          <t>ÖVERKALIX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46307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45308</v>
      </c>
      <c r="E328" s="1" t="n">
        <v>46307</v>
      </c>
      <c r="F328" t="inlineStr">
        <is>
          <t>NORRBOTTENS LÄN</t>
        </is>
      </c>
      <c r="G328" t="inlineStr">
        <is>
          <t>ÖVERKALIX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46307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46307</v>
      </c>
      <c r="F330" t="inlineStr">
        <is>
          <t>NORRBOTTENS LÄN</t>
        </is>
      </c>
      <c r="G330" t="inlineStr">
        <is>
          <t>ÖVERKALIX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46307</v>
      </c>
      <c r="F331" t="inlineStr">
        <is>
          <t>NORRBOTTENS LÄN</t>
        </is>
      </c>
      <c r="G331" t="inlineStr">
        <is>
          <t>ÖVERKALIX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46307</v>
      </c>
      <c r="F332" t="inlineStr">
        <is>
          <t>NORRBOTTENS LÄN</t>
        </is>
      </c>
      <c r="G332" t="inlineStr">
        <is>
          <t>ÖVERKALIX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63545-2025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46013</v>
      </c>
      <c r="E333" s="1" t="n">
        <v>46307</v>
      </c>
      <c r="F333" t="inlineStr">
        <is>
          <t>NORRBOTTENS LÄN</t>
        </is>
      </c>
      <c r="G333" t="inlineStr">
        <is>
          <t>ÖVERKALIX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9849-2024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46307</v>
      </c>
      <c r="F334" t="inlineStr">
        <is>
          <t>NORRBOTTENS LÄN</t>
        </is>
      </c>
      <c r="G334" t="inlineStr">
        <is>
          <t>ÖVERKALIX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45603</v>
      </c>
      <c r="E335" s="1" t="n">
        <v>46307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43314-2022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44834</v>
      </c>
      <c r="E336" s="1" t="n">
        <v>46307</v>
      </c>
      <c r="F336" t="inlineStr">
        <is>
          <t>NORRBOTTENS LÄN</t>
        </is>
      </c>
      <c r="G336" t="inlineStr">
        <is>
          <t>ÖVERKALIX</t>
        </is>
      </c>
      <c r="I336" t="n">
        <v>13.1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30881-2024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45498</v>
      </c>
      <c r="E337" s="1" t="n">
        <v>46307</v>
      </c>
      <c r="F337" t="inlineStr">
        <is>
          <t>NORRBOTTENS LÄN</t>
        </is>
      </c>
      <c r="G337" t="inlineStr">
        <is>
          <t>ÖVERKALIX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45909</v>
      </c>
      <c r="E338" s="1" t="n">
        <v>46307</v>
      </c>
      <c r="F338" t="inlineStr">
        <is>
          <t>NORRBOTTENS LÄN</t>
        </is>
      </c>
      <c r="G338" t="inlineStr">
        <is>
          <t>ÖVERKALIX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46307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46307</v>
      </c>
      <c r="F340" t="inlineStr">
        <is>
          <t>NORRBOTTENS LÄN</t>
        </is>
      </c>
      <c r="G340" t="inlineStr">
        <is>
          <t>ÖVERKALIX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46307</v>
      </c>
      <c r="F341" t="inlineStr">
        <is>
          <t>NORRBOTTENS LÄN</t>
        </is>
      </c>
      <c r="G341" t="inlineStr">
        <is>
          <t>ÖVERKALIX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46307</v>
      </c>
      <c r="F342" t="inlineStr">
        <is>
          <t>NORRBOTTENS LÄN</t>
        </is>
      </c>
      <c r="G342" t="inlineStr">
        <is>
          <t>ÖVERKALIX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46307</v>
      </c>
      <c r="F343" t="inlineStr">
        <is>
          <t>NORRBOTTENS LÄN</t>
        </is>
      </c>
      <c r="G343" t="inlineStr">
        <is>
          <t>ÖVERKALIX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44502</v>
      </c>
      <c r="E344" s="1" t="n">
        <v>46307</v>
      </c>
      <c r="F344" t="inlineStr">
        <is>
          <t>NORRBOTTENS LÄN</t>
        </is>
      </c>
      <c r="G344" t="inlineStr">
        <is>
          <t>ÖVERKALIX</t>
        </is>
      </c>
      <c r="I344" t="n">
        <v>9.199999999999999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46307</v>
      </c>
      <c r="F345" t="inlineStr">
        <is>
          <t>NORRBOTTENS LÄN</t>
        </is>
      </c>
      <c r="G345" t="inlineStr">
        <is>
          <t>ÖVERKALIX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46307</v>
      </c>
      <c r="F346" t="inlineStr">
        <is>
          <t>NORRBOTTENS LÄN</t>
        </is>
      </c>
      <c r="G346" t="inlineStr">
        <is>
          <t>ÖVERKALIX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45005</v>
      </c>
      <c r="E347" s="1" t="n">
        <v>46307</v>
      </c>
      <c r="F347" t="inlineStr">
        <is>
          <t>NORRBOTTENS LÄN</t>
        </is>
      </c>
      <c r="G347" t="inlineStr">
        <is>
          <t>ÖVERKALIX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46307</v>
      </c>
      <c r="F348" t="inlineStr">
        <is>
          <t>NORRBOTTENS LÄN</t>
        </is>
      </c>
      <c r="G348" t="inlineStr">
        <is>
          <t>ÖVERKALIX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45153</v>
      </c>
      <c r="E349" s="1" t="n">
        <v>46307</v>
      </c>
      <c r="F349" t="inlineStr">
        <is>
          <t>NORRBOTTENS LÄN</t>
        </is>
      </c>
      <c r="G349" t="inlineStr">
        <is>
          <t>ÖVERKALIX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45712</v>
      </c>
      <c r="E350" s="1" t="n">
        <v>46307</v>
      </c>
      <c r="F350" t="inlineStr">
        <is>
          <t>NORRBOTTENS LÄN</t>
        </is>
      </c>
      <c r="G350" t="inlineStr">
        <is>
          <t>ÖVERKALIX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46307</v>
      </c>
      <c r="F351" t="inlineStr">
        <is>
          <t>NORRBOTTENS LÄN</t>
        </is>
      </c>
      <c r="G351" t="inlineStr">
        <is>
          <t>ÖVERKALIX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44659</v>
      </c>
      <c r="E352" s="1" t="n">
        <v>46307</v>
      </c>
      <c r="F352" t="inlineStr">
        <is>
          <t>NORRBOTTENS LÄN</t>
        </is>
      </c>
      <c r="G352" t="inlineStr">
        <is>
          <t>ÖVERKALIX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46307</v>
      </c>
      <c r="F353" t="inlineStr">
        <is>
          <t>NORRBOTTENS LÄN</t>
        </is>
      </c>
      <c r="G353" t="inlineStr">
        <is>
          <t>ÖVERKALIX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46307</v>
      </c>
      <c r="F354" t="inlineStr">
        <is>
          <t>NORRBOTTENS LÄN</t>
        </is>
      </c>
      <c r="G354" t="inlineStr">
        <is>
          <t>ÖVERKALIX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20171-2026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46307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46307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46307</v>
      </c>
      <c r="F357" t="inlineStr">
        <is>
          <t>NORRBOTTENS LÄN</t>
        </is>
      </c>
      <c r="G357" t="inlineStr">
        <is>
          <t>ÖVERKALIX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44601</v>
      </c>
      <c r="E358" s="1" t="n">
        <v>46307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46307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46307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46307</v>
      </c>
      <c r="F361" t="inlineStr">
        <is>
          <t>NORRBOTTENS LÄN</t>
        </is>
      </c>
      <c r="G361" t="inlineStr">
        <is>
          <t>ÖVERKALIX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46307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46307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46307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46307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21425-2026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46307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46307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21417-2026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46307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21427-2026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46148</v>
      </c>
      <c r="E369" s="1" t="n">
        <v>46307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46307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11.5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21429-2026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46307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18.8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46307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23.2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46307</v>
      </c>
      <c r="F373" t="inlineStr">
        <is>
          <t>NORRBOTTENS LÄN</t>
        </is>
      </c>
      <c r="G373" t="inlineStr">
        <is>
          <t>ÖVERKALIX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48221-2025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46307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28343-2025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45818</v>
      </c>
      <c r="E375" s="1" t="n">
        <v>46307</v>
      </c>
      <c r="F375" t="inlineStr">
        <is>
          <t>NORRBOTTENS LÄN</t>
        </is>
      </c>
      <c r="G375" t="inlineStr">
        <is>
          <t>ÖVERKALIX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46307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46307</v>
      </c>
      <c r="F377" t="inlineStr">
        <is>
          <t>NORRBOTTENS LÄN</t>
        </is>
      </c>
      <c r="G377" t="inlineStr">
        <is>
          <t>ÖVERKALIX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46307</v>
      </c>
      <c r="F378" t="inlineStr">
        <is>
          <t>NORRBOTTENS LÄN</t>
        </is>
      </c>
      <c r="G378" t="inlineStr">
        <is>
          <t>ÖVERKALIX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46307</v>
      </c>
      <c r="F379" t="inlineStr">
        <is>
          <t>NORRBOTTENS LÄN</t>
        </is>
      </c>
      <c r="G379" t="inlineStr">
        <is>
          <t>ÖVERKALIX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46307</v>
      </c>
      <c r="F380" t="inlineStr">
        <is>
          <t>NORRBOTTENS LÄN</t>
        </is>
      </c>
      <c r="G380" t="inlineStr">
        <is>
          <t>ÖVERKALIX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46307</v>
      </c>
      <c r="F381" t="inlineStr">
        <is>
          <t>NORRBOTTENS LÄN</t>
        </is>
      </c>
      <c r="G381" t="inlineStr">
        <is>
          <t>ÖVERKALIX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46307</v>
      </c>
      <c r="F382" t="inlineStr">
        <is>
          <t>NORRBOTTENS LÄN</t>
        </is>
      </c>
      <c r="G382" t="inlineStr">
        <is>
          <t>ÖVERKALIX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46307</v>
      </c>
      <c r="F383" t="inlineStr">
        <is>
          <t>NORRBOTTENS LÄN</t>
        </is>
      </c>
      <c r="G383" t="inlineStr">
        <is>
          <t>ÖVERKALIX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46307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46087</v>
      </c>
      <c r="E385" s="1" t="n">
        <v>46307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46307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46307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46307</v>
      </c>
      <c r="F388" t="inlineStr">
        <is>
          <t>NORRBOTTENS LÄN</t>
        </is>
      </c>
      <c r="G388" t="inlineStr">
        <is>
          <t>ÖVERKALIX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46307</v>
      </c>
      <c r="F389" t="inlineStr">
        <is>
          <t>NORRBOTTENS LÄN</t>
        </is>
      </c>
      <c r="G389" t="inlineStr">
        <is>
          <t>ÖVERKALIX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46307</v>
      </c>
      <c r="F390" t="inlineStr">
        <is>
          <t>NORRBOTTENS LÄN</t>
        </is>
      </c>
      <c r="G390" t="inlineStr">
        <is>
          <t>ÖVERKALIX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46307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23771-2026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46307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51354-2025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45950</v>
      </c>
      <c r="E393" s="1" t="n">
        <v>46307</v>
      </c>
      <c r="F393" t="inlineStr">
        <is>
          <t>NORRBOTTENS LÄN</t>
        </is>
      </c>
      <c r="G393" t="inlineStr">
        <is>
          <t>ÖVERKALIX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46307</v>
      </c>
      <c r="F394" t="inlineStr">
        <is>
          <t>NORRBOTTENS LÄN</t>
        </is>
      </c>
      <c r="G394" t="inlineStr">
        <is>
          <t>ÖVERKALIX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28372-2025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45818</v>
      </c>
      <c r="E395" s="1" t="n">
        <v>46307</v>
      </c>
      <c r="F395" t="inlineStr">
        <is>
          <t>NORRBOTTENS LÄN</t>
        </is>
      </c>
      <c r="G395" t="inlineStr">
        <is>
          <t>ÖVERKALIX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46307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46307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46307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46307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46307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23935-2026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46307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46307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46307</v>
      </c>
      <c r="F403" t="inlineStr">
        <is>
          <t>NORRBOTTENS LÄN</t>
        </is>
      </c>
      <c r="G403" t="inlineStr">
        <is>
          <t>ÖVERKALIX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46307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46177</v>
      </c>
      <c r="E405" s="1" t="n">
        <v>46307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46307</v>
      </c>
      <c r="F406" t="inlineStr">
        <is>
          <t>NORRBOTTENS LÄN</t>
        </is>
      </c>
      <c r="G406" t="inlineStr">
        <is>
          <t>ÖVERKALIX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46307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46307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46307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46307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26427-2026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46183</v>
      </c>
      <c r="E411" s="1" t="n">
        <v>46307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46307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28210-2026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46196</v>
      </c>
      <c r="E413" s="1" t="n">
        <v>46307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46307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46307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46307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46307</v>
      </c>
      <c r="F417" t="inlineStr">
        <is>
          <t>NORRBOTTENS LÄN</t>
        </is>
      </c>
      <c r="G417" t="inlineStr">
        <is>
          <t>ÖVERKALIX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29927-2026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46205</v>
      </c>
      <c r="E418" s="1" t="n">
        <v>46307</v>
      </c>
      <c r="F418" t="inlineStr">
        <is>
          <t>NORRBOTTENS LÄN</t>
        </is>
      </c>
      <c r="G418" t="inlineStr">
        <is>
          <t>ÖVERKALIX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29937-2026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46205</v>
      </c>
      <c r="E419" s="1" t="n">
        <v>46307</v>
      </c>
      <c r="F419" t="inlineStr">
        <is>
          <t>NORRBOTTENS LÄN</t>
        </is>
      </c>
      <c r="G419" t="inlineStr">
        <is>
          <t>ÖVERKALIX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30326-2026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46207</v>
      </c>
      <c r="E420" s="1" t="n">
        <v>46307</v>
      </c>
      <c r="F420" t="inlineStr">
        <is>
          <t>NORRBOTTENS LÄN</t>
        </is>
      </c>
      <c r="G420" t="inlineStr">
        <is>
          <t>ÖVERKALIX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30327-2026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46207</v>
      </c>
      <c r="E421" s="1" t="n">
        <v>46307</v>
      </c>
      <c r="F421" t="inlineStr">
        <is>
          <t>NORRBOTTENS LÄN</t>
        </is>
      </c>
      <c r="G421" t="inlineStr">
        <is>
          <t>ÖVERKALIX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46206</v>
      </c>
      <c r="E422" s="1" t="n">
        <v>46307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46307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46307</v>
      </c>
      <c r="F424" t="inlineStr">
        <is>
          <t>NORRBOTTENS LÄN</t>
        </is>
      </c>
      <c r="G424" t="inlineStr">
        <is>
          <t>ÖVERKALIX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30241-2026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46206</v>
      </c>
      <c r="E425" s="1" t="n">
        <v>46307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Sveaskog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46307</v>
      </c>
      <c r="F426" t="inlineStr">
        <is>
          <t>NORRBOTTENS LÄN</t>
        </is>
      </c>
      <c r="G426" t="inlineStr">
        <is>
          <t>ÖVERKALIX</t>
        </is>
      </c>
      <c r="I426" t="n">
        <v>22.3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30328-2026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46307</v>
      </c>
      <c r="F427" t="inlineStr">
        <is>
          <t>NORRBOTTENS LÄN</t>
        </is>
      </c>
      <c r="G427" t="inlineStr">
        <is>
          <t>ÖVERKALIX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46307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46307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45641</v>
      </c>
      <c r="E430" s="1" t="n">
        <v>46307</v>
      </c>
      <c r="F430" t="inlineStr">
        <is>
          <t>NORRBOTTENS LÄN</t>
        </is>
      </c>
      <c r="G430" t="inlineStr">
        <is>
          <t>ÖVERKALIX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46307</v>
      </c>
      <c r="F431" t="inlineStr">
        <is>
          <t>NORRBOTTENS LÄN</t>
        </is>
      </c>
      <c r="G431" t="inlineStr">
        <is>
          <t>ÖVERKALIX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46266</v>
      </c>
      <c r="E432" s="1" t="n">
        <v>46307</v>
      </c>
      <c r="F432" t="inlineStr">
        <is>
          <t>NORRBOTTENS LÄN</t>
        </is>
      </c>
      <c r="G432" t="inlineStr">
        <is>
          <t>ÖVERKALIX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46307</v>
      </c>
      <c r="F433" t="inlineStr">
        <is>
          <t>NORRBOTTENS LÄN</t>
        </is>
      </c>
      <c r="G433" t="inlineStr">
        <is>
          <t>ÖVERKALIX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46307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46272</v>
      </c>
      <c r="E435" s="1" t="n">
        <v>46307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46307</v>
      </c>
      <c r="F436" t="inlineStr">
        <is>
          <t>NORRBOTTENS LÄN</t>
        </is>
      </c>
      <c r="G436" t="inlineStr">
        <is>
          <t>ÖVERKALIX</t>
        </is>
      </c>
      <c r="I436" t="n">
        <v>8.300000000000001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46230</v>
      </c>
      <c r="E437" s="1" t="n">
        <v>46307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46307</v>
      </c>
      <c r="F438" t="inlineStr">
        <is>
          <t>NORRBOTTENS LÄN</t>
        </is>
      </c>
      <c r="G438" t="inlineStr">
        <is>
          <t>ÖVERKALIX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46280</v>
      </c>
      <c r="E439" s="1" t="n">
        <v>46307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37683-2026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46278</v>
      </c>
      <c r="E440" s="1" t="n">
        <v>46307</v>
      </c>
      <c r="F440" t="inlineStr">
        <is>
          <t>NORRBOTTENS LÄN</t>
        </is>
      </c>
      <c r="G440" t="inlineStr">
        <is>
          <t>ÖVERKALIX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46307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46307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46307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46238</v>
      </c>
      <c r="E444" s="1" t="n">
        <v>46307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46307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13058-2026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46307</v>
      </c>
      <c r="F446" t="inlineStr">
        <is>
          <t>NORRBOTTENS LÄN</t>
        </is>
      </c>
      <c r="G446" t="inlineStr">
        <is>
          <t>ÖVERKALIX</t>
        </is>
      </c>
      <c r="I446" t="n">
        <v>12.5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46288</v>
      </c>
      <c r="E447" s="1" t="n">
        <v>46307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39119-2026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46287</v>
      </c>
      <c r="E448" s="1" t="n">
        <v>46307</v>
      </c>
      <c r="F448" t="inlineStr">
        <is>
          <t>NORRBOTTENS LÄN</t>
        </is>
      </c>
      <c r="G448" t="inlineStr">
        <is>
          <t>ÖVERKALIX</t>
        </is>
      </c>
      <c r="I448" t="n">
        <v>12.9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39203-2026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46307</v>
      </c>
      <c r="F449" t="inlineStr">
        <is>
          <t>NORRBOTTENS LÄN</t>
        </is>
      </c>
      <c r="G449" t="inlineStr">
        <is>
          <t>ÖVERKALIX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46307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46247</v>
      </c>
      <c r="E451" s="1" t="n">
        <v>46307</v>
      </c>
      <c r="F451" t="inlineStr">
        <is>
          <t>NORRBOTTENS LÄN</t>
        </is>
      </c>
      <c r="G451" t="inlineStr">
        <is>
          <t>ÖVERKALIX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39710-2026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46290</v>
      </c>
      <c r="E452" s="1" t="n">
        <v>46307</v>
      </c>
      <c r="F452" t="inlineStr">
        <is>
          <t>NORRBOTTENS LÄN</t>
        </is>
      </c>
      <c r="G452" t="inlineStr">
        <is>
          <t>ÖVERKALIX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46307</v>
      </c>
      <c r="F453" t="inlineStr">
        <is>
          <t>NORRBOTTENS LÄN</t>
        </is>
      </c>
      <c r="G453" t="inlineStr">
        <is>
          <t>ÖVERKALIX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33284-2026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46246</v>
      </c>
      <c r="E454" s="1" t="n">
        <v>46307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46288</v>
      </c>
      <c r="E455" s="1" t="n">
        <v>46307</v>
      </c>
      <c r="F455" t="inlineStr">
        <is>
          <t>NORRBOTTENS LÄN</t>
        </is>
      </c>
      <c r="G455" t="inlineStr">
        <is>
          <t>ÖVERKALIX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46293</v>
      </c>
      <c r="E456" s="1" t="n">
        <v>46307</v>
      </c>
      <c r="F456" t="inlineStr">
        <is>
          <t>NORRBOTTENS LÄN</t>
        </is>
      </c>
      <c r="G456" t="inlineStr">
        <is>
          <t>ÖVERKALIX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39658-2025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45890</v>
      </c>
      <c r="E457" s="1" t="n">
        <v>46307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13.4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46295</v>
      </c>
      <c r="E458" s="1" t="n">
        <v>46307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46307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46296</v>
      </c>
      <c r="E460" s="1" t="n">
        <v>46307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46296</v>
      </c>
      <c r="E461" s="1" t="n">
        <v>46307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27.1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46307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46297</v>
      </c>
      <c r="E463" s="1" t="n">
        <v>46307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34423-2026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46307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34239-2026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46307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34358-2026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46307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33.7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46307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46307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41497-2026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46301</v>
      </c>
      <c r="E469" s="1" t="n">
        <v>46307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41508-2026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46301</v>
      </c>
      <c r="E470" s="1" t="n">
        <v>46307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41530-2026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46301</v>
      </c>
      <c r="E471" s="1" t="n">
        <v>46307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42152-2026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46304</v>
      </c>
      <c r="E472" s="1" t="n">
        <v>46307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46303</v>
      </c>
      <c r="E473" s="1" t="n">
        <v>46307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42151-2026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46304</v>
      </c>
      <c r="E474" s="1" t="n">
        <v>46307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35191-2026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46260</v>
      </c>
      <c r="E475" s="1" t="n">
        <v>46307</v>
      </c>
      <c r="F475" t="inlineStr">
        <is>
          <t>NORRBOTTENS LÄN</t>
        </is>
      </c>
      <c r="G475" t="inlineStr">
        <is>
          <t>ÖVERKALIX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46307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46307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46307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35235-2026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46260</v>
      </c>
      <c r="E479" s="1" t="n">
        <v>46307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46304</v>
      </c>
      <c r="E480" s="1" t="n">
        <v>46307</v>
      </c>
      <c r="F480" t="inlineStr">
        <is>
          <t>NORRBOTTENS LÄN</t>
        </is>
      </c>
      <c r="G480" t="inlineStr">
        <is>
          <t>ÖVERKALIX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3721-2022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44741</v>
      </c>
      <c r="E481" s="1" t="n">
        <v>46307</v>
      </c>
      <c r="F481" t="inlineStr">
        <is>
          <t>NORRBOTTENS LÄN</t>
        </is>
      </c>
      <c r="G481" t="inlineStr">
        <is>
          <t>ÖVERKALIX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2792-2024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45485</v>
      </c>
      <c r="E482" s="1" t="n">
        <v>46307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2700-2024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45482</v>
      </c>
      <c r="E483" s="1" t="n">
        <v>46307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4734-2024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45607</v>
      </c>
      <c r="E484" s="1" t="n">
        <v>46307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1178-2025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45756</v>
      </c>
      <c r="E485" s="1" t="n">
        <v>46307</v>
      </c>
      <c r="F485" t="inlineStr">
        <is>
          <t>NORRBOTTENS LÄN</t>
        </is>
      </c>
      <c r="G485" t="inlineStr">
        <is>
          <t>ÖVERKALIX</t>
        </is>
      </c>
      <c r="I485" t="n">
        <v>39.9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1667-2025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45800</v>
      </c>
      <c r="E486" s="1" t="n">
        <v>46307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SCA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50-2026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46030</v>
      </c>
      <c r="E487" s="1" t="n">
        <v>46307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9.800000000000001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2026-10-12T01:59:29Z</dcterms:created>
  <dcterms:modified xmlns:dcterms="http://purl.org/dc/terms/" xmlns:xsi="http://www.w3.org/2001/XMLSchema-instance" xsi:type="dcterms:W3CDTF">2026-10-12T01:59:30Z</dcterms:modified>
</cp:coreProperties>
</file>