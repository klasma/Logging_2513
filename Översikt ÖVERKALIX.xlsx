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45646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45646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45646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45646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45646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45646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45646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45646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45646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45646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45646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45646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45646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45646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63693-2019</t>
        </is>
      </c>
      <c r="B16" s="1" t="n">
        <v>43789</v>
      </c>
      <c r="C16" s="1" t="n">
        <v>45646</v>
      </c>
      <c r="D16" t="inlineStr">
        <is>
          <t>NORRBOTTENS LÄN</t>
        </is>
      </c>
      <c r="E16" t="inlineStr">
        <is>
          <t>ÖVERKALIX</t>
        </is>
      </c>
      <c r="F16" t="inlineStr">
        <is>
          <t>SCA</t>
        </is>
      </c>
      <c r="G16" t="n">
        <v>10</v>
      </c>
      <c r="H16" t="n">
        <v>2</v>
      </c>
      <c r="I16" t="n">
        <v>0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Doftticka
Knärot</t>
        </is>
      </c>
      <c r="S16">
        <f>HYPERLINK("https://klasma.github.io/Logging_2513/artfynd/A 63693-2019 artfynd.xlsx", "A 63693-2019")</f>
        <v/>
      </c>
      <c r="T16">
        <f>HYPERLINK("https://klasma.github.io/Logging_2513/kartor/A 63693-2019 karta.png", "A 63693-2019")</f>
        <v/>
      </c>
      <c r="U16">
        <f>HYPERLINK("https://klasma.github.io/Logging_2513/knärot/A 63693-2019 karta knärot.png", "A 63693-2019")</f>
        <v/>
      </c>
      <c r="V16">
        <f>HYPERLINK("https://klasma.github.io/Logging_2513/klagomål/A 63693-2019 FSC-klagomål.docx", "A 63693-2019")</f>
        <v/>
      </c>
      <c r="W16">
        <f>HYPERLINK("https://klasma.github.io/Logging_2513/klagomålsmail/A 63693-2019 FSC-klagomål mail.docx", "A 63693-2019")</f>
        <v/>
      </c>
      <c r="X16">
        <f>HYPERLINK("https://klasma.github.io/Logging_2513/tillsyn/A 63693-2019 tillsynsbegäran.docx", "A 63693-2019")</f>
        <v/>
      </c>
      <c r="Y16">
        <f>HYPERLINK("https://klasma.github.io/Logging_2513/tillsynsmail/A 63693-2019 tillsynsbegäran mail.docx", "A 63693-2019")</f>
        <v/>
      </c>
    </row>
    <row r="17" ht="15" customHeight="1">
      <c r="A17" t="inlineStr">
        <is>
          <t>A 13143-2020</t>
        </is>
      </c>
      <c r="B17" s="1" t="n">
        <v>43901</v>
      </c>
      <c r="C17" s="1" t="n">
        <v>45646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40.5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Tallticka</t>
        </is>
      </c>
      <c r="S17">
        <f>HYPERLINK("https://klasma.github.io/Logging_2513/artfynd/A 13143-2020 artfynd.xlsx", "A 13143-2020")</f>
        <v/>
      </c>
      <c r="T17">
        <f>HYPERLINK("https://klasma.github.io/Logging_2513/kartor/A 13143-2020 karta.png", "A 13143-2020")</f>
        <v/>
      </c>
      <c r="V17">
        <f>HYPERLINK("https://klasma.github.io/Logging_2513/klagomål/A 13143-2020 FSC-klagomål.docx", "A 13143-2020")</f>
        <v/>
      </c>
      <c r="W17">
        <f>HYPERLINK("https://klasma.github.io/Logging_2513/klagomålsmail/A 13143-2020 FSC-klagomål mail.docx", "A 13143-2020")</f>
        <v/>
      </c>
      <c r="X17">
        <f>HYPERLINK("https://klasma.github.io/Logging_2513/tillsyn/A 13143-2020 tillsynsbegäran.docx", "A 13143-2020")</f>
        <v/>
      </c>
      <c r="Y17">
        <f>HYPERLINK("https://klasma.github.io/Logging_2513/tillsynsmail/A 13143-2020 tillsynsbegäran mail.docx", "A 13143-2020")</f>
        <v/>
      </c>
    </row>
    <row r="18" ht="15" customHeight="1">
      <c r="A18" t="inlineStr">
        <is>
          <t>A 13142-2020</t>
        </is>
      </c>
      <c r="B18" s="1" t="n">
        <v>43901</v>
      </c>
      <c r="C18" s="1" t="n">
        <v>45646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73.7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Violmussling
Ögonpyrola</t>
        </is>
      </c>
      <c r="S18">
        <f>HYPERLINK("https://klasma.github.io/Logging_2513/artfynd/A 13142-2020 artfynd.xlsx", "A 13142-2020")</f>
        <v/>
      </c>
      <c r="T18">
        <f>HYPERLINK("https://klasma.github.io/Logging_2513/kartor/A 13142-2020 karta.png", "A 13142-2020")</f>
        <v/>
      </c>
      <c r="V18">
        <f>HYPERLINK("https://klasma.github.io/Logging_2513/klagomål/A 13142-2020 FSC-klagomål.docx", "A 13142-2020")</f>
        <v/>
      </c>
      <c r="W18">
        <f>HYPERLINK("https://klasma.github.io/Logging_2513/klagomålsmail/A 13142-2020 FSC-klagomål mail.docx", "A 13142-2020")</f>
        <v/>
      </c>
      <c r="X18">
        <f>HYPERLINK("https://klasma.github.io/Logging_2513/tillsyn/A 13142-2020 tillsynsbegäran.docx", "A 13142-2020")</f>
        <v/>
      </c>
      <c r="Y18">
        <f>HYPERLINK("https://klasma.github.io/Logging_2513/tillsynsmail/A 13142-2020 tillsynsbegäran mail.docx", "A 13142-2020")</f>
        <v/>
      </c>
    </row>
    <row r="19" ht="15" customHeight="1">
      <c r="A19" t="inlineStr">
        <is>
          <t>A 21544-2020</t>
        </is>
      </c>
      <c r="B19" s="1" t="n">
        <v>43945</v>
      </c>
      <c r="C19" s="1" t="n">
        <v>45646</v>
      </c>
      <c r="D19" t="inlineStr">
        <is>
          <t>NORRBOTTENS LÄN</t>
        </is>
      </c>
      <c r="E19" t="inlineStr">
        <is>
          <t>ÖVERKALIX</t>
        </is>
      </c>
      <c r="G19" t="n">
        <v>23.7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Stuplav</t>
        </is>
      </c>
      <c r="S19">
        <f>HYPERLINK("https://klasma.github.io/Logging_2513/artfynd/A 21544-2020 artfynd.xlsx", "A 21544-2020")</f>
        <v/>
      </c>
      <c r="T19">
        <f>HYPERLINK("https://klasma.github.io/Logging_2513/kartor/A 21544-2020 karta.png", "A 21544-2020")</f>
        <v/>
      </c>
      <c r="V19">
        <f>HYPERLINK("https://klasma.github.io/Logging_2513/klagomål/A 21544-2020 FSC-klagomål.docx", "A 21544-2020")</f>
        <v/>
      </c>
      <c r="W19">
        <f>HYPERLINK("https://klasma.github.io/Logging_2513/klagomålsmail/A 21544-2020 FSC-klagomål mail.docx", "A 21544-2020")</f>
        <v/>
      </c>
      <c r="X19">
        <f>HYPERLINK("https://klasma.github.io/Logging_2513/tillsyn/A 21544-2020 tillsynsbegäran.docx", "A 21544-2020")</f>
        <v/>
      </c>
      <c r="Y19">
        <f>HYPERLINK("https://klasma.github.io/Logging_2513/tillsynsmail/A 21544-2020 tillsynsbegäran mail.docx", "A 21544-2020")</f>
        <v/>
      </c>
    </row>
    <row r="20" ht="15" customHeight="1">
      <c r="A20" t="inlineStr">
        <is>
          <t>A 51552-2020</t>
        </is>
      </c>
      <c r="B20" s="1" t="n">
        <v>44113</v>
      </c>
      <c r="C20" s="1" t="n">
        <v>45646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11.3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Tallticka</t>
        </is>
      </c>
      <c r="S20">
        <f>HYPERLINK("https://klasma.github.io/Logging_2513/artfynd/A 51552-2020 artfynd.xlsx", "A 51552-2020")</f>
        <v/>
      </c>
      <c r="T20">
        <f>HYPERLINK("https://klasma.github.io/Logging_2513/kartor/A 51552-2020 karta.png", "A 51552-2020")</f>
        <v/>
      </c>
      <c r="V20">
        <f>HYPERLINK("https://klasma.github.io/Logging_2513/klagomål/A 51552-2020 FSC-klagomål.docx", "A 51552-2020")</f>
        <v/>
      </c>
      <c r="W20">
        <f>HYPERLINK("https://klasma.github.io/Logging_2513/klagomålsmail/A 51552-2020 FSC-klagomål mail.docx", "A 51552-2020")</f>
        <v/>
      </c>
      <c r="X20">
        <f>HYPERLINK("https://klasma.github.io/Logging_2513/tillsyn/A 51552-2020 tillsynsbegäran.docx", "A 51552-2020")</f>
        <v/>
      </c>
      <c r="Y20">
        <f>HYPERLINK("https://klasma.github.io/Logging_2513/tillsynsmail/A 51552-2020 tillsynsbegäran mail.docx", "A 51552-2020")</f>
        <v/>
      </c>
    </row>
    <row r="21" ht="15" customHeight="1">
      <c r="A21" t="inlineStr">
        <is>
          <t>A 52326-2021</t>
        </is>
      </c>
      <c r="B21" s="1" t="n">
        <v>44463</v>
      </c>
      <c r="C21" s="1" t="n">
        <v>45646</v>
      </c>
      <c r="D21" t="inlineStr">
        <is>
          <t>NORRBOTTENS LÄN</t>
        </is>
      </c>
      <c r="E21" t="inlineStr">
        <is>
          <t>ÖVERKALIX</t>
        </is>
      </c>
      <c r="F21" t="inlineStr">
        <is>
          <t>SCA</t>
        </is>
      </c>
      <c r="G21" t="n">
        <v>1.2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Tallriska
Talltaggsvamp</t>
        </is>
      </c>
      <c r="S21">
        <f>HYPERLINK("https://klasma.github.io/Logging_2513/artfynd/A 52326-2021 artfynd.xlsx", "A 52326-2021")</f>
        <v/>
      </c>
      <c r="T21">
        <f>HYPERLINK("https://klasma.github.io/Logging_2513/kartor/A 52326-2021 karta.png", "A 52326-2021")</f>
        <v/>
      </c>
      <c r="V21">
        <f>HYPERLINK("https://klasma.github.io/Logging_2513/klagomål/A 52326-2021 FSC-klagomål.docx", "A 52326-2021")</f>
        <v/>
      </c>
      <c r="W21">
        <f>HYPERLINK("https://klasma.github.io/Logging_2513/klagomålsmail/A 52326-2021 FSC-klagomål mail.docx", "A 52326-2021")</f>
        <v/>
      </c>
      <c r="X21">
        <f>HYPERLINK("https://klasma.github.io/Logging_2513/tillsyn/A 52326-2021 tillsynsbegäran.docx", "A 52326-2021")</f>
        <v/>
      </c>
      <c r="Y21">
        <f>HYPERLINK("https://klasma.github.io/Logging_2513/tillsynsmail/A 52326-2021 tillsynsbegäran mail.docx", "A 52326-2021")</f>
        <v/>
      </c>
    </row>
    <row r="22" ht="15" customHeight="1">
      <c r="A22" t="inlineStr">
        <is>
          <t>A 5797-2022</t>
        </is>
      </c>
      <c r="B22" s="1" t="n">
        <v>44596</v>
      </c>
      <c r="C22" s="1" t="n">
        <v>45646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Granticka
Skarp dropptaggsvamp</t>
        </is>
      </c>
      <c r="S22">
        <f>HYPERLINK("https://klasma.github.io/Logging_2513/artfynd/A 5797-2022 artfynd.xlsx", "A 5797-2022")</f>
        <v/>
      </c>
      <c r="T22">
        <f>HYPERLINK("https://klasma.github.io/Logging_2513/kartor/A 5797-2022 karta.png", "A 5797-2022")</f>
        <v/>
      </c>
      <c r="V22">
        <f>HYPERLINK("https://klasma.github.io/Logging_2513/klagomål/A 5797-2022 FSC-klagomål.docx", "A 5797-2022")</f>
        <v/>
      </c>
      <c r="W22">
        <f>HYPERLINK("https://klasma.github.io/Logging_2513/klagomålsmail/A 5797-2022 FSC-klagomål mail.docx", "A 5797-2022")</f>
        <v/>
      </c>
      <c r="X22">
        <f>HYPERLINK("https://klasma.github.io/Logging_2513/tillsyn/A 5797-2022 tillsynsbegäran.docx", "A 5797-2022")</f>
        <v/>
      </c>
      <c r="Y22">
        <f>HYPERLINK("https://klasma.github.io/Logging_2513/tillsynsmail/A 5797-2022 tillsynsbegäran mail.docx", "A 5797-2022")</f>
        <v/>
      </c>
    </row>
    <row r="23" ht="15" customHeight="1">
      <c r="A23" t="inlineStr">
        <is>
          <t>A 15139-2022</t>
        </is>
      </c>
      <c r="B23" s="1" t="n">
        <v>44658</v>
      </c>
      <c r="C23" s="1" t="n">
        <v>45646</v>
      </c>
      <c r="D23" t="inlineStr">
        <is>
          <t>NORRBOTTENS LÄN</t>
        </is>
      </c>
      <c r="E23" t="inlineStr">
        <is>
          <t>ÖVERKALIX</t>
        </is>
      </c>
      <c r="G23" t="n">
        <v>8.5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Blågrå svartspik
Vedflamlav</t>
        </is>
      </c>
      <c r="S23">
        <f>HYPERLINK("https://klasma.github.io/Logging_2513/artfynd/A 15139-2022 artfynd.xlsx", "A 15139-2022")</f>
        <v/>
      </c>
      <c r="T23">
        <f>HYPERLINK("https://klasma.github.io/Logging_2513/kartor/A 15139-2022 karta.png", "A 15139-2022")</f>
        <v/>
      </c>
      <c r="V23">
        <f>HYPERLINK("https://klasma.github.io/Logging_2513/klagomål/A 15139-2022 FSC-klagomål.docx", "A 15139-2022")</f>
        <v/>
      </c>
      <c r="W23">
        <f>HYPERLINK("https://klasma.github.io/Logging_2513/klagomålsmail/A 15139-2022 FSC-klagomål mail.docx", "A 15139-2022")</f>
        <v/>
      </c>
      <c r="X23">
        <f>HYPERLINK("https://klasma.github.io/Logging_2513/tillsyn/A 15139-2022 tillsynsbegäran.docx", "A 15139-2022")</f>
        <v/>
      </c>
      <c r="Y23">
        <f>HYPERLINK("https://klasma.github.io/Logging_2513/tillsynsmail/A 15139-2022 tillsynsbegäran mail.docx", "A 15139-2022")</f>
        <v/>
      </c>
    </row>
    <row r="24" ht="15" customHeight="1">
      <c r="A24" t="inlineStr">
        <is>
          <t>A 24767-2022</t>
        </is>
      </c>
      <c r="B24" s="1" t="n">
        <v>44728</v>
      </c>
      <c r="C24" s="1" t="n">
        <v>45646</v>
      </c>
      <c r="D24" t="inlineStr">
        <is>
          <t>NORRBOTTENS LÄN</t>
        </is>
      </c>
      <c r="E24" t="inlineStr">
        <is>
          <t>ÖVERKALIX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Lapphumla
Grön flodtrollslända</t>
        </is>
      </c>
      <c r="S24">
        <f>HYPERLINK("https://klasma.github.io/Logging_2513/artfynd/A 24767-2022 artfynd.xlsx", "A 24767-2022")</f>
        <v/>
      </c>
      <c r="T24">
        <f>HYPERLINK("https://klasma.github.io/Logging_2513/kartor/A 24767-2022 karta.png", "A 24767-2022")</f>
        <v/>
      </c>
      <c r="V24">
        <f>HYPERLINK("https://klasma.github.io/Logging_2513/klagomål/A 24767-2022 FSC-klagomål.docx", "A 24767-2022")</f>
        <v/>
      </c>
      <c r="W24">
        <f>HYPERLINK("https://klasma.github.io/Logging_2513/klagomålsmail/A 24767-2022 FSC-klagomål mail.docx", "A 24767-2022")</f>
        <v/>
      </c>
      <c r="X24">
        <f>HYPERLINK("https://klasma.github.io/Logging_2513/tillsyn/A 24767-2022 tillsynsbegäran.docx", "A 24767-2022")</f>
        <v/>
      </c>
      <c r="Y24">
        <f>HYPERLINK("https://klasma.github.io/Logging_2513/tillsynsmail/A 24767-2022 tillsynsbegäran mail.docx", "A 24767-2022")</f>
        <v/>
      </c>
    </row>
    <row r="25" ht="15" customHeight="1">
      <c r="A25" t="inlineStr">
        <is>
          <t>A 60480-2022</t>
        </is>
      </c>
      <c r="B25" s="1" t="n">
        <v>44911</v>
      </c>
      <c r="C25" s="1" t="n">
        <v>45646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1.6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Kolflarnlav
Nordtagging</t>
        </is>
      </c>
      <c r="S25">
        <f>HYPERLINK("https://klasma.github.io/Logging_2513/artfynd/A 60480-2022 artfynd.xlsx", "A 60480-2022")</f>
        <v/>
      </c>
      <c r="T25">
        <f>HYPERLINK("https://klasma.github.io/Logging_2513/kartor/A 60480-2022 karta.png", "A 60480-2022")</f>
        <v/>
      </c>
      <c r="V25">
        <f>HYPERLINK("https://klasma.github.io/Logging_2513/klagomål/A 60480-2022 FSC-klagomål.docx", "A 60480-2022")</f>
        <v/>
      </c>
      <c r="W25">
        <f>HYPERLINK("https://klasma.github.io/Logging_2513/klagomålsmail/A 60480-2022 FSC-klagomål mail.docx", "A 60480-2022")</f>
        <v/>
      </c>
      <c r="X25">
        <f>HYPERLINK("https://klasma.github.io/Logging_2513/tillsyn/A 60480-2022 tillsynsbegäran.docx", "A 60480-2022")</f>
        <v/>
      </c>
      <c r="Y25">
        <f>HYPERLINK("https://klasma.github.io/Logging_2513/tillsynsmail/A 60480-2022 tillsynsbegäran mail.docx", "A 60480-2022")</f>
        <v/>
      </c>
    </row>
    <row r="26" ht="15" customHeight="1">
      <c r="A26" t="inlineStr">
        <is>
          <t>A 40706-2023</t>
        </is>
      </c>
      <c r="B26" s="1" t="n">
        <v>45170</v>
      </c>
      <c r="C26" s="1" t="n">
        <v>45646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7.1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Dropptaggsvamp</t>
        </is>
      </c>
      <c r="S26">
        <f>HYPERLINK("https://klasma.github.io/Logging_2513/artfynd/A 40706-2023 artfynd.xlsx", "A 40706-2023")</f>
        <v/>
      </c>
      <c r="T26">
        <f>HYPERLINK("https://klasma.github.io/Logging_2513/kartor/A 40706-2023 karta.png", "A 40706-2023")</f>
        <v/>
      </c>
      <c r="U26">
        <f>HYPERLINK("https://klasma.github.io/Logging_2513/knärot/A 40706-2023 karta knärot.png", "A 40706-2023")</f>
        <v/>
      </c>
      <c r="V26">
        <f>HYPERLINK("https://klasma.github.io/Logging_2513/klagomål/A 40706-2023 FSC-klagomål.docx", "A 40706-2023")</f>
        <v/>
      </c>
      <c r="W26">
        <f>HYPERLINK("https://klasma.github.io/Logging_2513/klagomålsmail/A 40706-2023 FSC-klagomål mail.docx", "A 40706-2023")</f>
        <v/>
      </c>
      <c r="X26">
        <f>HYPERLINK("https://klasma.github.io/Logging_2513/tillsyn/A 40706-2023 tillsynsbegäran.docx", "A 40706-2023")</f>
        <v/>
      </c>
      <c r="Y26">
        <f>HYPERLINK("https://klasma.github.io/Logging_2513/tillsynsmail/A 40706-2023 tillsynsbegäran mail.docx", "A 40706-2023")</f>
        <v/>
      </c>
    </row>
    <row r="27" ht="15" customHeight="1">
      <c r="A27" t="inlineStr">
        <is>
          <t>A 47696-2023</t>
        </is>
      </c>
      <c r="B27" s="1" t="n">
        <v>45198</v>
      </c>
      <c r="C27" s="1" t="n">
        <v>45646</v>
      </c>
      <c r="D27" t="inlineStr">
        <is>
          <t>NORRBOTTENS LÄN</t>
        </is>
      </c>
      <c r="E27" t="inlineStr">
        <is>
          <t>ÖVERKALIX</t>
        </is>
      </c>
      <c r="G27" t="n">
        <v>10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Tallgråticka
Skrovlig taggsvamp</t>
        </is>
      </c>
      <c r="S27">
        <f>HYPERLINK("https://klasma.github.io/Logging_2513/artfynd/A 47696-2023 artfynd.xlsx", "A 47696-2023")</f>
        <v/>
      </c>
      <c r="T27">
        <f>HYPERLINK("https://klasma.github.io/Logging_2513/kartor/A 47696-2023 karta.png", "A 47696-2023")</f>
        <v/>
      </c>
      <c r="V27">
        <f>HYPERLINK("https://klasma.github.io/Logging_2513/klagomål/A 47696-2023 FSC-klagomål.docx", "A 47696-2023")</f>
        <v/>
      </c>
      <c r="W27">
        <f>HYPERLINK("https://klasma.github.io/Logging_2513/klagomålsmail/A 47696-2023 FSC-klagomål mail.docx", "A 47696-2023")</f>
        <v/>
      </c>
      <c r="X27">
        <f>HYPERLINK("https://klasma.github.io/Logging_2513/tillsyn/A 47696-2023 tillsynsbegäran.docx", "A 47696-2023")</f>
        <v/>
      </c>
      <c r="Y27">
        <f>HYPERLINK("https://klasma.github.io/Logging_2513/tillsynsmail/A 47696-2023 tillsynsbegäran mail.docx", "A 47696-2023")</f>
        <v/>
      </c>
    </row>
    <row r="28" ht="15" customHeight="1">
      <c r="A28" t="inlineStr">
        <is>
          <t>A 28577-2024</t>
        </is>
      </c>
      <c r="B28" s="1" t="n">
        <v>45478</v>
      </c>
      <c r="C28" s="1" t="n">
        <v>45646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0.8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Månlåsbräken
Plattlummer</t>
        </is>
      </c>
      <c r="S28">
        <f>HYPERLINK("https://klasma.github.io/Logging_2513/artfynd/A 28577-2024 artfynd.xlsx", "A 28577-2024")</f>
        <v/>
      </c>
      <c r="T28">
        <f>HYPERLINK("https://klasma.github.io/Logging_2513/kartor/A 28577-2024 karta.png", "A 28577-2024")</f>
        <v/>
      </c>
      <c r="V28">
        <f>HYPERLINK("https://klasma.github.io/Logging_2513/klagomål/A 28577-2024 FSC-klagomål.docx", "A 28577-2024")</f>
        <v/>
      </c>
      <c r="W28">
        <f>HYPERLINK("https://klasma.github.io/Logging_2513/klagomålsmail/A 28577-2024 FSC-klagomål mail.docx", "A 28577-2024")</f>
        <v/>
      </c>
      <c r="X28">
        <f>HYPERLINK("https://klasma.github.io/Logging_2513/tillsyn/A 28577-2024 tillsynsbegäran.docx", "A 28577-2024")</f>
        <v/>
      </c>
      <c r="Y28">
        <f>HYPERLINK("https://klasma.github.io/Logging_2513/tillsynsmail/A 28577-2024 tillsynsbegäran mail.docx", "A 28577-2024")</f>
        <v/>
      </c>
    </row>
    <row r="29" ht="15" customHeight="1">
      <c r="A29" t="inlineStr">
        <is>
          <t>A 36378-2024</t>
        </is>
      </c>
      <c r="B29" s="1" t="n">
        <v>45534</v>
      </c>
      <c r="C29" s="1" t="n">
        <v>45646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21.5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Fläcknycklar</t>
        </is>
      </c>
      <c r="S29">
        <f>HYPERLINK("https://klasma.github.io/Logging_2513/artfynd/A 36378-2024 artfynd.xlsx", "A 36378-2024")</f>
        <v/>
      </c>
      <c r="T29">
        <f>HYPERLINK("https://klasma.github.io/Logging_2513/kartor/A 36378-2024 karta.png", "A 36378-2024")</f>
        <v/>
      </c>
      <c r="V29">
        <f>HYPERLINK("https://klasma.github.io/Logging_2513/klagomål/A 36378-2024 FSC-klagomål.docx", "A 36378-2024")</f>
        <v/>
      </c>
      <c r="W29">
        <f>HYPERLINK("https://klasma.github.io/Logging_2513/klagomålsmail/A 36378-2024 FSC-klagomål mail.docx", "A 36378-2024")</f>
        <v/>
      </c>
      <c r="X29">
        <f>HYPERLINK("https://klasma.github.io/Logging_2513/tillsyn/A 36378-2024 tillsynsbegäran.docx", "A 36378-2024")</f>
        <v/>
      </c>
      <c r="Y29">
        <f>HYPERLINK("https://klasma.github.io/Logging_2513/tillsynsmail/A 36378-2024 tillsynsbegäran mail.docx", "A 36378-2024")</f>
        <v/>
      </c>
    </row>
    <row r="30" ht="15" customHeight="1">
      <c r="A30" t="inlineStr">
        <is>
          <t>A 36333-2019</t>
        </is>
      </c>
      <c r="B30" s="1" t="n">
        <v>43661</v>
      </c>
      <c r="C30" s="1" t="n">
        <v>45646</v>
      </c>
      <c r="D30" t="inlineStr">
        <is>
          <t>NORRBOTTENS LÄN</t>
        </is>
      </c>
      <c r="E30" t="inlineStr">
        <is>
          <t>ÖVERKALIX</t>
        </is>
      </c>
      <c r="G30" t="n">
        <v>87.90000000000001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HYPERLINK("https://klasma.github.io/Logging_2513/artfynd/A 36333-2019 artfynd.xlsx", "A 36333-2019")</f>
        <v/>
      </c>
      <c r="T30">
        <f>HYPERLINK("https://klasma.github.io/Logging_2513/kartor/A 36333-2019 karta.png", "A 36333-2019")</f>
        <v/>
      </c>
      <c r="V30">
        <f>HYPERLINK("https://klasma.github.io/Logging_2513/klagomål/A 36333-2019 FSC-klagomål.docx", "A 36333-2019")</f>
        <v/>
      </c>
      <c r="W30">
        <f>HYPERLINK("https://klasma.github.io/Logging_2513/klagomålsmail/A 36333-2019 FSC-klagomål mail.docx", "A 36333-2019")</f>
        <v/>
      </c>
      <c r="X30">
        <f>HYPERLINK("https://klasma.github.io/Logging_2513/tillsyn/A 36333-2019 tillsynsbegäran.docx", "A 36333-2019")</f>
        <v/>
      </c>
      <c r="Y30">
        <f>HYPERLINK("https://klasma.github.io/Logging_2513/tillsynsmail/A 36333-2019 tillsynsbegäran mail.docx", "A 36333-2019")</f>
        <v/>
      </c>
    </row>
    <row r="31" ht="15" customHeight="1">
      <c r="A31" t="inlineStr">
        <is>
          <t>A 40260-2019</t>
        </is>
      </c>
      <c r="B31" s="1" t="n">
        <v>43695</v>
      </c>
      <c r="C31" s="1" t="n">
        <v>45646</v>
      </c>
      <c r="D31" t="inlineStr">
        <is>
          <t>NORRBOTTENS LÄN</t>
        </is>
      </c>
      <c r="E31" t="inlineStr">
        <is>
          <t>ÖVERKALIX</t>
        </is>
      </c>
      <c r="G31" t="n">
        <v>27.4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HYPERLINK("https://klasma.github.io/Logging_2513/artfynd/A 40260-2019 artfynd.xlsx", "A 40260-2019")</f>
        <v/>
      </c>
      <c r="T31">
        <f>HYPERLINK("https://klasma.github.io/Logging_2513/kartor/A 40260-2019 karta.png", "A 40260-2019")</f>
        <v/>
      </c>
      <c r="V31">
        <f>HYPERLINK("https://klasma.github.io/Logging_2513/klagomål/A 40260-2019 FSC-klagomål.docx", "A 40260-2019")</f>
        <v/>
      </c>
      <c r="W31">
        <f>HYPERLINK("https://klasma.github.io/Logging_2513/klagomålsmail/A 40260-2019 FSC-klagomål mail.docx", "A 40260-2019")</f>
        <v/>
      </c>
      <c r="X31">
        <f>HYPERLINK("https://klasma.github.io/Logging_2513/tillsyn/A 40260-2019 tillsynsbegäran.docx", "A 40260-2019")</f>
        <v/>
      </c>
      <c r="Y31">
        <f>HYPERLINK("https://klasma.github.io/Logging_2513/tillsynsmail/A 40260-2019 tillsynsbegäran mail.docx", "A 40260-2019")</f>
        <v/>
      </c>
    </row>
    <row r="32" ht="15" customHeight="1">
      <c r="A32" t="inlineStr">
        <is>
          <t>A 58502-2019</t>
        </is>
      </c>
      <c r="B32" s="1" t="n">
        <v>43766</v>
      </c>
      <c r="C32" s="1" t="n">
        <v>45646</v>
      </c>
      <c r="D32" t="inlineStr">
        <is>
          <t>NORRBOTTENS LÄN</t>
        </is>
      </c>
      <c r="E32" t="inlineStr">
        <is>
          <t>ÖVERKALIX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HYPERLINK("https://klasma.github.io/Logging_2513/artfynd/A 58502-2019 artfynd.xlsx", "A 58502-2019")</f>
        <v/>
      </c>
      <c r="T32">
        <f>HYPERLINK("https://klasma.github.io/Logging_2513/kartor/A 58502-2019 karta.png", "A 58502-2019")</f>
        <v/>
      </c>
      <c r="V32">
        <f>HYPERLINK("https://klasma.github.io/Logging_2513/klagomål/A 58502-2019 FSC-klagomål.docx", "A 58502-2019")</f>
        <v/>
      </c>
      <c r="W32">
        <f>HYPERLINK("https://klasma.github.io/Logging_2513/klagomålsmail/A 58502-2019 FSC-klagomål mail.docx", "A 58502-2019")</f>
        <v/>
      </c>
      <c r="X32">
        <f>HYPERLINK("https://klasma.github.io/Logging_2513/tillsyn/A 58502-2019 tillsynsbegäran.docx", "A 58502-2019")</f>
        <v/>
      </c>
      <c r="Y32">
        <f>HYPERLINK("https://klasma.github.io/Logging_2513/tillsynsmail/A 58502-2019 tillsynsbegäran mail.docx", "A 58502-2019")</f>
        <v/>
      </c>
    </row>
    <row r="33" ht="15" customHeight="1">
      <c r="A33" t="inlineStr">
        <is>
          <t>A 43680-2021</t>
        </is>
      </c>
      <c r="B33" s="1" t="n">
        <v>44433</v>
      </c>
      <c r="C33" s="1" t="n">
        <v>45646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HYPERLINK("https://klasma.github.io/Logging_2513/artfynd/A 43680-2021 artfynd.xlsx", "A 43680-2021")</f>
        <v/>
      </c>
      <c r="T33">
        <f>HYPERLINK("https://klasma.github.io/Logging_2513/kartor/A 43680-2021 karta.png", "A 43680-2021")</f>
        <v/>
      </c>
      <c r="V33">
        <f>HYPERLINK("https://klasma.github.io/Logging_2513/klagomål/A 43680-2021 FSC-klagomål.docx", "A 43680-2021")</f>
        <v/>
      </c>
      <c r="W33">
        <f>HYPERLINK("https://klasma.github.io/Logging_2513/klagomålsmail/A 43680-2021 FSC-klagomål mail.docx", "A 43680-2021")</f>
        <v/>
      </c>
      <c r="X33">
        <f>HYPERLINK("https://klasma.github.io/Logging_2513/tillsyn/A 43680-2021 tillsynsbegäran.docx", "A 43680-2021")</f>
        <v/>
      </c>
      <c r="Y33">
        <f>HYPERLINK("https://klasma.github.io/Logging_2513/tillsynsmail/A 43680-2021 tillsynsbegäran mail.docx", "A 43680-2021")</f>
        <v/>
      </c>
    </row>
    <row r="34" ht="15" customHeight="1">
      <c r="A34" t="inlineStr">
        <is>
          <t>A 60546-2021</t>
        </is>
      </c>
      <c r="B34" s="1" t="n">
        <v>44496</v>
      </c>
      <c r="C34" s="1" t="n">
        <v>45646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Koralltaggsvamp</t>
        </is>
      </c>
      <c r="S34">
        <f>HYPERLINK("https://klasma.github.io/Logging_2513/artfynd/A 60546-2021 artfynd.xlsx", "A 60546-2021")</f>
        <v/>
      </c>
      <c r="T34">
        <f>HYPERLINK("https://klasma.github.io/Logging_2513/kartor/A 60546-2021 karta.png", "A 60546-2021")</f>
        <v/>
      </c>
      <c r="V34">
        <f>HYPERLINK("https://klasma.github.io/Logging_2513/klagomål/A 60546-2021 FSC-klagomål.docx", "A 60546-2021")</f>
        <v/>
      </c>
      <c r="W34">
        <f>HYPERLINK("https://klasma.github.io/Logging_2513/klagomålsmail/A 60546-2021 FSC-klagomål mail.docx", "A 60546-2021")</f>
        <v/>
      </c>
      <c r="X34">
        <f>HYPERLINK("https://klasma.github.io/Logging_2513/tillsyn/A 60546-2021 tillsynsbegäran.docx", "A 60546-2021")</f>
        <v/>
      </c>
      <c r="Y34">
        <f>HYPERLINK("https://klasma.github.io/Logging_2513/tillsynsmail/A 60546-2021 tillsynsbegäran mail.docx", "A 60546-2021")</f>
        <v/>
      </c>
    </row>
    <row r="35" ht="15" customHeight="1">
      <c r="A35" t="inlineStr">
        <is>
          <t>A 60509-2021</t>
        </is>
      </c>
      <c r="B35" s="1" t="n">
        <v>44496</v>
      </c>
      <c r="C35" s="1" t="n">
        <v>45646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Stor aspticka</t>
        </is>
      </c>
      <c r="S35">
        <f>HYPERLINK("https://klasma.github.io/Logging_2513/artfynd/A 60509-2021 artfynd.xlsx", "A 60509-2021")</f>
        <v/>
      </c>
      <c r="T35">
        <f>HYPERLINK("https://klasma.github.io/Logging_2513/kartor/A 60509-2021 karta.png", "A 60509-2021")</f>
        <v/>
      </c>
      <c r="V35">
        <f>HYPERLINK("https://klasma.github.io/Logging_2513/klagomål/A 60509-2021 FSC-klagomål.docx", "A 60509-2021")</f>
        <v/>
      </c>
      <c r="W35">
        <f>HYPERLINK("https://klasma.github.io/Logging_2513/klagomålsmail/A 60509-2021 FSC-klagomål mail.docx", "A 60509-2021")</f>
        <v/>
      </c>
      <c r="X35">
        <f>HYPERLINK("https://klasma.github.io/Logging_2513/tillsyn/A 60509-2021 tillsynsbegäran.docx", "A 60509-2021")</f>
        <v/>
      </c>
      <c r="Y35">
        <f>HYPERLINK("https://klasma.github.io/Logging_2513/tillsynsmail/A 60509-2021 tillsynsbegäran mail.docx", "A 60509-2021")</f>
        <v/>
      </c>
    </row>
    <row r="36" ht="15" customHeight="1">
      <c r="A36" t="inlineStr">
        <is>
          <t>A 13467-2022</t>
        </is>
      </c>
      <c r="B36" s="1" t="n">
        <v>44645</v>
      </c>
      <c r="C36" s="1" t="n">
        <v>45646</v>
      </c>
      <c r="D36" t="inlineStr">
        <is>
          <t>NORRBOTTENS LÄN</t>
        </is>
      </c>
      <c r="E36" t="inlineStr">
        <is>
          <t>ÖVERKALIX</t>
        </is>
      </c>
      <c r="G36" t="n">
        <v>6.8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HYPERLINK("https://klasma.github.io/Logging_2513/artfynd/A 13467-2022 artfynd.xlsx", "A 13467-2022")</f>
        <v/>
      </c>
      <c r="T36">
        <f>HYPERLINK("https://klasma.github.io/Logging_2513/kartor/A 13467-2022 karta.png", "A 13467-2022")</f>
        <v/>
      </c>
      <c r="V36">
        <f>HYPERLINK("https://klasma.github.io/Logging_2513/klagomål/A 13467-2022 FSC-klagomål.docx", "A 13467-2022")</f>
        <v/>
      </c>
      <c r="W36">
        <f>HYPERLINK("https://klasma.github.io/Logging_2513/klagomålsmail/A 13467-2022 FSC-klagomål mail.docx", "A 13467-2022")</f>
        <v/>
      </c>
      <c r="X36">
        <f>HYPERLINK("https://klasma.github.io/Logging_2513/tillsyn/A 13467-2022 tillsynsbegäran.docx", "A 13467-2022")</f>
        <v/>
      </c>
      <c r="Y36">
        <f>HYPERLINK("https://klasma.github.io/Logging_2513/tillsynsmail/A 13467-2022 tillsynsbegäran mail.docx", "A 13467-2022")</f>
        <v/>
      </c>
      <c r="Z36">
        <f>HYPERLINK("https://klasma.github.io/Logging_2513/fåglar/A 13467-2022 prioriterade fågelarter.docx", "A 13467-2022")</f>
        <v/>
      </c>
    </row>
    <row r="37" ht="15" customHeight="1">
      <c r="A37" t="inlineStr">
        <is>
          <t>A 14904-2022</t>
        </is>
      </c>
      <c r="B37" s="1" t="n">
        <v>44656</v>
      </c>
      <c r="C37" s="1" t="n">
        <v>45646</v>
      </c>
      <c r="D37" t="inlineStr">
        <is>
          <t>NORRBOTTENS LÄN</t>
        </is>
      </c>
      <c r="E37" t="inlineStr">
        <is>
          <t>ÖVERKALIX</t>
        </is>
      </c>
      <c r="F37" t="inlineStr">
        <is>
          <t>SCA</t>
        </is>
      </c>
      <c r="G37" t="n">
        <v>72.2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HYPERLINK("https://klasma.github.io/Logging_2513/artfynd/A 14904-2022 artfynd.xlsx", "A 14904-2022")</f>
        <v/>
      </c>
      <c r="T37">
        <f>HYPERLINK("https://klasma.github.io/Logging_2513/kartor/A 14904-2022 karta.png", "A 14904-2022")</f>
        <v/>
      </c>
      <c r="V37">
        <f>HYPERLINK("https://klasma.github.io/Logging_2513/klagomål/A 14904-2022 FSC-klagomål.docx", "A 14904-2022")</f>
        <v/>
      </c>
      <c r="W37">
        <f>HYPERLINK("https://klasma.github.io/Logging_2513/klagomålsmail/A 14904-2022 FSC-klagomål mail.docx", "A 14904-2022")</f>
        <v/>
      </c>
      <c r="X37">
        <f>HYPERLINK("https://klasma.github.io/Logging_2513/tillsyn/A 14904-2022 tillsynsbegäran.docx", "A 14904-2022")</f>
        <v/>
      </c>
      <c r="Y37">
        <f>HYPERLINK("https://klasma.github.io/Logging_2513/tillsynsmail/A 14904-2022 tillsynsbegäran mail.docx", "A 14904-2022")</f>
        <v/>
      </c>
    </row>
    <row r="38" ht="15" customHeight="1">
      <c r="A38" t="inlineStr">
        <is>
          <t>A 15137-2022</t>
        </is>
      </c>
      <c r="B38" s="1" t="n">
        <v>44658</v>
      </c>
      <c r="C38" s="1" t="n">
        <v>45646</v>
      </c>
      <c r="D38" t="inlineStr">
        <is>
          <t>NORRBOTTENS LÄN</t>
        </is>
      </c>
      <c r="E38" t="inlineStr">
        <is>
          <t>ÖVERKALIX</t>
        </is>
      </c>
      <c r="G38" t="n">
        <v>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Kortskaftad ärgspik</t>
        </is>
      </c>
      <c r="S38">
        <f>HYPERLINK("https://klasma.github.io/Logging_2513/artfynd/A 15137-2022 artfynd.xlsx", "A 15137-2022")</f>
        <v/>
      </c>
      <c r="T38">
        <f>HYPERLINK("https://klasma.github.io/Logging_2513/kartor/A 15137-2022 karta.png", "A 15137-2022")</f>
        <v/>
      </c>
      <c r="V38">
        <f>HYPERLINK("https://klasma.github.io/Logging_2513/klagomål/A 15137-2022 FSC-klagomål.docx", "A 15137-2022")</f>
        <v/>
      </c>
      <c r="W38">
        <f>HYPERLINK("https://klasma.github.io/Logging_2513/klagomålsmail/A 15137-2022 FSC-klagomål mail.docx", "A 15137-2022")</f>
        <v/>
      </c>
      <c r="X38">
        <f>HYPERLINK("https://klasma.github.io/Logging_2513/tillsyn/A 15137-2022 tillsynsbegäran.docx", "A 15137-2022")</f>
        <v/>
      </c>
      <c r="Y38">
        <f>HYPERLINK("https://klasma.github.io/Logging_2513/tillsynsmail/A 15137-2022 tillsynsbegäran mail.docx", "A 15137-2022")</f>
        <v/>
      </c>
    </row>
    <row r="39" ht="15" customHeight="1">
      <c r="A39" t="inlineStr">
        <is>
          <t>A 25651-2022</t>
        </is>
      </c>
      <c r="B39" s="1" t="n">
        <v>44732</v>
      </c>
      <c r="C39" s="1" t="n">
        <v>45646</v>
      </c>
      <c r="D39" t="inlineStr">
        <is>
          <t>NORRBOTTENS LÄN</t>
        </is>
      </c>
      <c r="E39" t="inlineStr">
        <is>
          <t>ÖVERKALIX</t>
        </is>
      </c>
      <c r="F39" t="inlineStr">
        <is>
          <t>SCA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HYPERLINK("https://klasma.github.io/Logging_2513/artfynd/A 25651-2022 artfynd.xlsx", "A 25651-2022")</f>
        <v/>
      </c>
      <c r="T39">
        <f>HYPERLINK("https://klasma.github.io/Logging_2513/kartor/A 25651-2022 karta.png", "A 25651-2022")</f>
        <v/>
      </c>
      <c r="V39">
        <f>HYPERLINK("https://klasma.github.io/Logging_2513/klagomål/A 25651-2022 FSC-klagomål.docx", "A 25651-2022")</f>
        <v/>
      </c>
      <c r="W39">
        <f>HYPERLINK("https://klasma.github.io/Logging_2513/klagomålsmail/A 25651-2022 FSC-klagomål mail.docx", "A 25651-2022")</f>
        <v/>
      </c>
      <c r="X39">
        <f>HYPERLINK("https://klasma.github.io/Logging_2513/tillsyn/A 25651-2022 tillsynsbegäran.docx", "A 25651-2022")</f>
        <v/>
      </c>
      <c r="Y39">
        <f>HYPERLINK("https://klasma.github.io/Logging_2513/tillsynsmail/A 25651-2022 tillsynsbegäran mail.docx", "A 25651-2022")</f>
        <v/>
      </c>
    </row>
    <row r="40" ht="15" customHeight="1">
      <c r="A40" t="inlineStr">
        <is>
          <t>A 37532-2022</t>
        </is>
      </c>
      <c r="B40" s="1" t="n">
        <v>44809</v>
      </c>
      <c r="C40" s="1" t="n">
        <v>45646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HYPERLINK("https://klasma.github.io/Logging_2513/artfynd/A 37532-2022 artfynd.xlsx", "A 37532-2022")</f>
        <v/>
      </c>
      <c r="T40">
        <f>HYPERLINK("https://klasma.github.io/Logging_2513/kartor/A 37532-2022 karta.png", "A 37532-2022")</f>
        <v/>
      </c>
      <c r="V40">
        <f>HYPERLINK("https://klasma.github.io/Logging_2513/klagomål/A 37532-2022 FSC-klagomål.docx", "A 37532-2022")</f>
        <v/>
      </c>
      <c r="W40">
        <f>HYPERLINK("https://klasma.github.io/Logging_2513/klagomålsmail/A 37532-2022 FSC-klagomål mail.docx", "A 37532-2022")</f>
        <v/>
      </c>
      <c r="X40">
        <f>HYPERLINK("https://klasma.github.io/Logging_2513/tillsyn/A 37532-2022 tillsynsbegäran.docx", "A 37532-2022")</f>
        <v/>
      </c>
      <c r="Y40">
        <f>HYPERLINK("https://klasma.github.io/Logging_2513/tillsynsmail/A 37532-2022 tillsynsbegäran mail.docx", "A 37532-2022")</f>
        <v/>
      </c>
    </row>
    <row r="41" ht="15" customHeight="1">
      <c r="A41" t="inlineStr">
        <is>
          <t>A 40265-2023</t>
        </is>
      </c>
      <c r="B41" s="1" t="n">
        <v>45169</v>
      </c>
      <c r="C41" s="1" t="n">
        <v>45646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HYPERLINK("https://klasma.github.io/Logging_2513/artfynd/A 40265-2023 artfynd.xlsx", "A 40265-2023")</f>
        <v/>
      </c>
      <c r="T41">
        <f>HYPERLINK("https://klasma.github.io/Logging_2513/kartor/A 40265-2023 karta.png", "A 40265-2023")</f>
        <v/>
      </c>
      <c r="V41">
        <f>HYPERLINK("https://klasma.github.io/Logging_2513/klagomål/A 40265-2023 FSC-klagomål.docx", "A 40265-2023")</f>
        <v/>
      </c>
      <c r="W41">
        <f>HYPERLINK("https://klasma.github.io/Logging_2513/klagomålsmail/A 40265-2023 FSC-klagomål mail.docx", "A 40265-2023")</f>
        <v/>
      </c>
      <c r="X41">
        <f>HYPERLINK("https://klasma.github.io/Logging_2513/tillsyn/A 40265-2023 tillsynsbegäran.docx", "A 40265-2023")</f>
        <v/>
      </c>
      <c r="Y41">
        <f>HYPERLINK("https://klasma.github.io/Logging_2513/tillsynsmail/A 40265-2023 tillsynsbegäran mail.docx", "A 40265-2023")</f>
        <v/>
      </c>
    </row>
    <row r="42" ht="15" customHeight="1">
      <c r="A42" t="inlineStr">
        <is>
          <t>A 40263-2023</t>
        </is>
      </c>
      <c r="B42" s="1" t="n">
        <v>45169</v>
      </c>
      <c r="C42" s="1" t="n">
        <v>45646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HYPERLINK("https://klasma.github.io/Logging_2513/artfynd/A 40263-2023 artfynd.xlsx", "A 40263-2023")</f>
        <v/>
      </c>
      <c r="T42">
        <f>HYPERLINK("https://klasma.github.io/Logging_2513/kartor/A 40263-2023 karta.png", "A 40263-2023")</f>
        <v/>
      </c>
      <c r="V42">
        <f>HYPERLINK("https://klasma.github.io/Logging_2513/klagomål/A 40263-2023 FSC-klagomål.docx", "A 40263-2023")</f>
        <v/>
      </c>
      <c r="W42">
        <f>HYPERLINK("https://klasma.github.io/Logging_2513/klagomålsmail/A 40263-2023 FSC-klagomål mail.docx", "A 40263-2023")</f>
        <v/>
      </c>
      <c r="X42">
        <f>HYPERLINK("https://klasma.github.io/Logging_2513/tillsyn/A 40263-2023 tillsynsbegäran.docx", "A 40263-2023")</f>
        <v/>
      </c>
      <c r="Y42">
        <f>HYPERLINK("https://klasma.github.io/Logging_2513/tillsynsmail/A 40263-2023 tillsynsbegäran mail.docx", "A 40263-2023")</f>
        <v/>
      </c>
    </row>
    <row r="43" ht="15" customHeight="1">
      <c r="A43" t="inlineStr">
        <is>
          <t>A 41171-2023</t>
        </is>
      </c>
      <c r="B43" s="1" t="n">
        <v>45174</v>
      </c>
      <c r="C43" s="1" t="n">
        <v>45646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41171-2023 artfynd.xlsx", "A 41171-2023")</f>
        <v/>
      </c>
      <c r="T43">
        <f>HYPERLINK("https://klasma.github.io/Logging_2513/kartor/A 41171-2023 karta.png", "A 41171-2023")</f>
        <v/>
      </c>
      <c r="V43">
        <f>HYPERLINK("https://klasma.github.io/Logging_2513/klagomål/A 41171-2023 FSC-klagomål.docx", "A 41171-2023")</f>
        <v/>
      </c>
      <c r="W43">
        <f>HYPERLINK("https://klasma.github.io/Logging_2513/klagomålsmail/A 41171-2023 FSC-klagomål mail.docx", "A 41171-2023")</f>
        <v/>
      </c>
      <c r="X43">
        <f>HYPERLINK("https://klasma.github.io/Logging_2513/tillsyn/A 41171-2023 tillsynsbegäran.docx", "A 41171-2023")</f>
        <v/>
      </c>
      <c r="Y43">
        <f>HYPERLINK("https://klasma.github.io/Logging_2513/tillsynsmail/A 41171-2023 tillsynsbegäran mail.docx", "A 41171-2023")</f>
        <v/>
      </c>
    </row>
    <row r="44" ht="15" customHeight="1">
      <c r="A44" t="inlineStr">
        <is>
          <t>A 22076-2024</t>
        </is>
      </c>
      <c r="B44" s="1" t="n">
        <v>45443</v>
      </c>
      <c r="C44" s="1" t="n">
        <v>45646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7.1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HYPERLINK("https://klasma.github.io/Logging_2513/artfynd/A 22076-2024 artfynd.xlsx", "A 22076-2024")</f>
        <v/>
      </c>
      <c r="T44">
        <f>HYPERLINK("https://klasma.github.io/Logging_2513/kartor/A 22076-2024 karta.png", "A 22076-2024")</f>
        <v/>
      </c>
      <c r="V44">
        <f>HYPERLINK("https://klasma.github.io/Logging_2513/klagomål/A 22076-2024 FSC-klagomål.docx", "A 22076-2024")</f>
        <v/>
      </c>
      <c r="W44">
        <f>HYPERLINK("https://klasma.github.io/Logging_2513/klagomålsmail/A 22076-2024 FSC-klagomål mail.docx", "A 22076-2024")</f>
        <v/>
      </c>
      <c r="X44">
        <f>HYPERLINK("https://klasma.github.io/Logging_2513/tillsyn/A 22076-2024 tillsynsbegäran.docx", "A 22076-2024")</f>
        <v/>
      </c>
      <c r="Y44">
        <f>HYPERLINK("https://klasma.github.io/Logging_2513/tillsynsmail/A 22076-2024 tillsynsbegäran mail.docx", "A 22076-2024")</f>
        <v/>
      </c>
    </row>
    <row r="45" ht="15" customHeight="1">
      <c r="A45" t="inlineStr">
        <is>
          <t>A 23157-2024</t>
        </is>
      </c>
      <c r="B45" s="1" t="n">
        <v>45450</v>
      </c>
      <c r="C45" s="1" t="n">
        <v>45646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5.9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HYPERLINK("https://klasma.github.io/Logging_2513/artfynd/A 23157-2024 artfynd.xlsx", "A 23157-2024")</f>
        <v/>
      </c>
      <c r="T45">
        <f>HYPERLINK("https://klasma.github.io/Logging_2513/kartor/A 23157-2024 karta.png", "A 23157-2024")</f>
        <v/>
      </c>
      <c r="V45">
        <f>HYPERLINK("https://klasma.github.io/Logging_2513/klagomål/A 23157-2024 FSC-klagomål.docx", "A 23157-2024")</f>
        <v/>
      </c>
      <c r="W45">
        <f>HYPERLINK("https://klasma.github.io/Logging_2513/klagomålsmail/A 23157-2024 FSC-klagomål mail.docx", "A 23157-2024")</f>
        <v/>
      </c>
      <c r="X45">
        <f>HYPERLINK("https://klasma.github.io/Logging_2513/tillsyn/A 23157-2024 tillsynsbegäran.docx", "A 23157-2024")</f>
        <v/>
      </c>
      <c r="Y45">
        <f>HYPERLINK("https://klasma.github.io/Logging_2513/tillsynsmail/A 23157-2024 tillsynsbegäran mail.docx", "A 23157-2024")</f>
        <v/>
      </c>
    </row>
    <row r="46" ht="15" customHeight="1">
      <c r="A46" t="inlineStr">
        <is>
          <t>A 33834-2024</t>
        </is>
      </c>
      <c r="B46" s="1" t="n">
        <v>45520</v>
      </c>
      <c r="C46" s="1" t="n">
        <v>45646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8.300000000000001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HYPERLINK("https://klasma.github.io/Logging_2513/artfynd/A 33834-2024 artfynd.xlsx", "A 33834-2024")</f>
        <v/>
      </c>
      <c r="T46">
        <f>HYPERLINK("https://klasma.github.io/Logging_2513/kartor/A 33834-2024 karta.png", "A 33834-2024")</f>
        <v/>
      </c>
      <c r="V46">
        <f>HYPERLINK("https://klasma.github.io/Logging_2513/klagomål/A 33834-2024 FSC-klagomål.docx", "A 33834-2024")</f>
        <v/>
      </c>
      <c r="W46">
        <f>HYPERLINK("https://klasma.github.io/Logging_2513/klagomålsmail/A 33834-2024 FSC-klagomål mail.docx", "A 33834-2024")</f>
        <v/>
      </c>
      <c r="X46">
        <f>HYPERLINK("https://klasma.github.io/Logging_2513/tillsyn/A 33834-2024 tillsynsbegäran.docx", "A 33834-2024")</f>
        <v/>
      </c>
      <c r="Y46">
        <f>HYPERLINK("https://klasma.github.io/Logging_2513/tillsynsmail/A 33834-2024 tillsynsbegäran mail.docx", "A 33834-2024")</f>
        <v/>
      </c>
    </row>
    <row r="47" ht="15" customHeight="1">
      <c r="A47" t="inlineStr">
        <is>
          <t>A 37314-2024</t>
        </is>
      </c>
      <c r="B47" s="1" t="n">
        <v>45540</v>
      </c>
      <c r="C47" s="1" t="n">
        <v>45646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HYPERLINK("https://klasma.github.io/Logging_2513/artfynd/A 37314-2024 artfynd.xlsx", "A 37314-2024")</f>
        <v/>
      </c>
      <c r="T47">
        <f>HYPERLINK("https://klasma.github.io/Logging_2513/kartor/A 37314-2024 karta.png", "A 37314-2024")</f>
        <v/>
      </c>
      <c r="V47">
        <f>HYPERLINK("https://klasma.github.io/Logging_2513/klagomål/A 37314-2024 FSC-klagomål.docx", "A 37314-2024")</f>
        <v/>
      </c>
      <c r="W47">
        <f>HYPERLINK("https://klasma.github.io/Logging_2513/klagomålsmail/A 37314-2024 FSC-klagomål mail.docx", "A 37314-2024")</f>
        <v/>
      </c>
      <c r="X47">
        <f>HYPERLINK("https://klasma.github.io/Logging_2513/tillsyn/A 37314-2024 tillsynsbegäran.docx", "A 37314-2024")</f>
        <v/>
      </c>
      <c r="Y47">
        <f>HYPERLINK("https://klasma.github.io/Logging_2513/tillsynsmail/A 37314-2024 tillsynsbegäran mail.docx", "A 37314-2024")</f>
        <v/>
      </c>
    </row>
    <row r="48" ht="15" customHeight="1">
      <c r="A48" t="inlineStr">
        <is>
          <t>A 37309-2024</t>
        </is>
      </c>
      <c r="B48" s="1" t="n">
        <v>45540</v>
      </c>
      <c r="C48" s="1" t="n">
        <v>45646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10.4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37309-2024 artfynd.xlsx", "A 37309-2024")</f>
        <v/>
      </c>
      <c r="T48">
        <f>HYPERLINK("https://klasma.github.io/Logging_2513/kartor/A 37309-2024 karta.png", "A 37309-2024")</f>
        <v/>
      </c>
      <c r="U48">
        <f>HYPERLINK("https://klasma.github.io/Logging_2513/knärot/A 37309-2024 karta knärot.png", "A 37309-2024")</f>
        <v/>
      </c>
      <c r="V48">
        <f>HYPERLINK("https://klasma.github.io/Logging_2513/klagomål/A 37309-2024 FSC-klagomål.docx", "A 37309-2024")</f>
        <v/>
      </c>
      <c r="W48">
        <f>HYPERLINK("https://klasma.github.io/Logging_2513/klagomålsmail/A 37309-2024 FSC-klagomål mail.docx", "A 37309-2024")</f>
        <v/>
      </c>
      <c r="X48">
        <f>HYPERLINK("https://klasma.github.io/Logging_2513/tillsyn/A 37309-2024 tillsynsbegäran.docx", "A 37309-2024")</f>
        <v/>
      </c>
      <c r="Y48">
        <f>HYPERLINK("https://klasma.github.io/Logging_2513/tillsynsmail/A 37309-2024 tillsynsbegäran mail.docx", "A 37309-2024")</f>
        <v/>
      </c>
    </row>
    <row r="49" ht="15" customHeight="1">
      <c r="A49" t="inlineStr">
        <is>
          <t>A 37905-2024</t>
        </is>
      </c>
      <c r="B49" s="1" t="n">
        <v>45544</v>
      </c>
      <c r="C49" s="1" t="n">
        <v>45646</v>
      </c>
      <c r="D49" t="inlineStr">
        <is>
          <t>NORRBOTTENS LÄN</t>
        </is>
      </c>
      <c r="E49" t="inlineStr">
        <is>
          <t>ÖVERKALIX</t>
        </is>
      </c>
      <c r="G49" t="n">
        <v>25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HYPERLINK("https://klasma.github.io/Logging_2513/artfynd/A 37905-2024 artfynd.xlsx", "A 37905-2024")</f>
        <v/>
      </c>
      <c r="T49">
        <f>HYPERLINK("https://klasma.github.io/Logging_2513/kartor/A 37905-2024 karta.png", "A 37905-2024")</f>
        <v/>
      </c>
      <c r="V49">
        <f>HYPERLINK("https://klasma.github.io/Logging_2513/klagomål/A 37905-2024 FSC-klagomål.docx", "A 37905-2024")</f>
        <v/>
      </c>
      <c r="W49">
        <f>HYPERLINK("https://klasma.github.io/Logging_2513/klagomålsmail/A 37905-2024 FSC-klagomål mail.docx", "A 37905-2024")</f>
        <v/>
      </c>
      <c r="X49">
        <f>HYPERLINK("https://klasma.github.io/Logging_2513/tillsyn/A 37905-2024 tillsynsbegäran.docx", "A 37905-2024")</f>
        <v/>
      </c>
      <c r="Y49">
        <f>HYPERLINK("https://klasma.github.io/Logging_2513/tillsynsmail/A 37905-2024 tillsynsbegäran mail.docx", "A 37905-2024")</f>
        <v/>
      </c>
    </row>
    <row r="50" ht="15" customHeight="1">
      <c r="A50" t="inlineStr">
        <is>
          <t>A 37997-2024</t>
        </is>
      </c>
      <c r="B50" s="1" t="n">
        <v>45544</v>
      </c>
      <c r="C50" s="1" t="n">
        <v>45646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HYPERLINK("https://klasma.github.io/Logging_2513/artfynd/A 37997-2024 artfynd.xlsx", "A 37997-2024")</f>
        <v/>
      </c>
      <c r="T50">
        <f>HYPERLINK("https://klasma.github.io/Logging_2513/kartor/A 37997-2024 karta.png", "A 37997-2024")</f>
        <v/>
      </c>
      <c r="V50">
        <f>HYPERLINK("https://klasma.github.io/Logging_2513/klagomål/A 37997-2024 FSC-klagomål.docx", "A 37997-2024")</f>
        <v/>
      </c>
      <c r="W50">
        <f>HYPERLINK("https://klasma.github.io/Logging_2513/klagomålsmail/A 37997-2024 FSC-klagomål mail.docx", "A 37997-2024")</f>
        <v/>
      </c>
      <c r="X50">
        <f>HYPERLINK("https://klasma.github.io/Logging_2513/tillsyn/A 37997-2024 tillsynsbegäran.docx", "A 37997-2024")</f>
        <v/>
      </c>
      <c r="Y50">
        <f>HYPERLINK("https://klasma.github.io/Logging_2513/tillsynsmail/A 37997-2024 tillsynsbegäran mail.docx", "A 37997-2024")</f>
        <v/>
      </c>
    </row>
    <row r="51" ht="15" customHeight="1">
      <c r="A51" t="inlineStr">
        <is>
          <t>A 46280-2024</t>
        </is>
      </c>
      <c r="B51" s="1" t="n">
        <v>45581</v>
      </c>
      <c r="C51" s="1" t="n">
        <v>45646</v>
      </c>
      <c r="D51" t="inlineStr">
        <is>
          <t>NORRBOTTENS LÄN</t>
        </is>
      </c>
      <c r="E51" t="inlineStr">
        <is>
          <t>ÖVERKALIX</t>
        </is>
      </c>
      <c r="F51" t="inlineStr">
        <is>
          <t>SCA</t>
        </is>
      </c>
      <c r="G51" t="n">
        <v>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HYPERLINK("https://klasma.github.io/Logging_2513/artfynd/A 46280-2024 artfynd.xlsx", "A 46280-2024")</f>
        <v/>
      </c>
      <c r="T51">
        <f>HYPERLINK("https://klasma.github.io/Logging_2513/kartor/A 46280-2024 karta.png", "A 46280-2024")</f>
        <v/>
      </c>
      <c r="V51">
        <f>HYPERLINK("https://klasma.github.io/Logging_2513/klagomål/A 46280-2024 FSC-klagomål.docx", "A 46280-2024")</f>
        <v/>
      </c>
      <c r="W51">
        <f>HYPERLINK("https://klasma.github.io/Logging_2513/klagomålsmail/A 46280-2024 FSC-klagomål mail.docx", "A 46280-2024")</f>
        <v/>
      </c>
      <c r="X51">
        <f>HYPERLINK("https://klasma.github.io/Logging_2513/tillsyn/A 46280-2024 tillsynsbegäran.docx", "A 46280-2024")</f>
        <v/>
      </c>
      <c r="Y51">
        <f>HYPERLINK("https://klasma.github.io/Logging_2513/tillsynsmail/A 46280-2024 tillsynsbegäran mail.docx", "A 46280-2024")</f>
        <v/>
      </c>
      <c r="Z51">
        <f>HYPERLINK("https://klasma.github.io/Logging_2513/fåglar/A 46280-2024 prioriterade fågelarter.docx", "A 46280-2024")</f>
        <v/>
      </c>
    </row>
    <row r="52" ht="15" customHeight="1">
      <c r="A52" t="inlineStr">
        <is>
          <t>A 46281-2024</t>
        </is>
      </c>
      <c r="B52" s="1" t="n">
        <v>45581</v>
      </c>
      <c r="C52" s="1" t="n">
        <v>45646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1.2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HYPERLINK("https://klasma.github.io/Logging_2513/artfynd/A 46281-2024 artfynd.xlsx", "A 46281-2024")</f>
        <v/>
      </c>
      <c r="T52">
        <f>HYPERLINK("https://klasma.github.io/Logging_2513/kartor/A 46281-2024 karta.png", "A 46281-2024")</f>
        <v/>
      </c>
      <c r="V52">
        <f>HYPERLINK("https://klasma.github.io/Logging_2513/klagomål/A 46281-2024 FSC-klagomål.docx", "A 46281-2024")</f>
        <v/>
      </c>
      <c r="W52">
        <f>HYPERLINK("https://klasma.github.io/Logging_2513/klagomålsmail/A 46281-2024 FSC-klagomål mail.docx", "A 46281-2024")</f>
        <v/>
      </c>
      <c r="X52">
        <f>HYPERLINK("https://klasma.github.io/Logging_2513/tillsyn/A 46281-2024 tillsynsbegäran.docx", "A 46281-2024")</f>
        <v/>
      </c>
      <c r="Y52">
        <f>HYPERLINK("https://klasma.github.io/Logging_2513/tillsynsmail/A 46281-2024 tillsynsbegäran mail.docx", "A 46281-2024")</f>
        <v/>
      </c>
    </row>
    <row r="53" ht="15" customHeight="1">
      <c r="A53" t="inlineStr">
        <is>
          <t>A 47680-2024</t>
        </is>
      </c>
      <c r="B53" s="1" t="n">
        <v>45588</v>
      </c>
      <c r="C53" s="1" t="n">
        <v>45646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47680-2024 artfynd.xlsx", "A 47680-2024")</f>
        <v/>
      </c>
      <c r="T53">
        <f>HYPERLINK("https://klasma.github.io/Logging_2513/kartor/A 47680-2024 karta.png", "A 47680-2024")</f>
        <v/>
      </c>
      <c r="V53">
        <f>HYPERLINK("https://klasma.github.io/Logging_2513/klagomål/A 47680-2024 FSC-klagomål.docx", "A 47680-2024")</f>
        <v/>
      </c>
      <c r="W53">
        <f>HYPERLINK("https://klasma.github.io/Logging_2513/klagomålsmail/A 47680-2024 FSC-klagomål mail.docx", "A 47680-2024")</f>
        <v/>
      </c>
      <c r="X53">
        <f>HYPERLINK("https://klasma.github.io/Logging_2513/tillsyn/A 47680-2024 tillsynsbegäran.docx", "A 47680-2024")</f>
        <v/>
      </c>
      <c r="Y53">
        <f>HYPERLINK("https://klasma.github.io/Logging_2513/tillsynsmail/A 47680-2024 tillsynsbegäran mail.docx", "A 47680-2024")</f>
        <v/>
      </c>
    </row>
    <row r="54" ht="15" customHeight="1">
      <c r="A54" t="inlineStr">
        <is>
          <t>A 55419-2024</t>
        </is>
      </c>
      <c r="B54" s="1" t="n">
        <v>45622</v>
      </c>
      <c r="C54" s="1" t="n">
        <v>45646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15.8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HYPERLINK("https://klasma.github.io/Logging_2513/artfynd/A 55419-2024 artfynd.xlsx", "A 55419-2024")</f>
        <v/>
      </c>
      <c r="T54">
        <f>HYPERLINK("https://klasma.github.io/Logging_2513/kartor/A 55419-2024 karta.png", "A 55419-2024")</f>
        <v/>
      </c>
      <c r="V54">
        <f>HYPERLINK("https://klasma.github.io/Logging_2513/klagomål/A 55419-2024 FSC-klagomål.docx", "A 55419-2024")</f>
        <v/>
      </c>
      <c r="W54">
        <f>HYPERLINK("https://klasma.github.io/Logging_2513/klagomålsmail/A 55419-2024 FSC-klagomål mail.docx", "A 55419-2024")</f>
        <v/>
      </c>
      <c r="X54">
        <f>HYPERLINK("https://klasma.github.io/Logging_2513/tillsyn/A 55419-2024 tillsynsbegäran.docx", "A 55419-2024")</f>
        <v/>
      </c>
      <c r="Y54">
        <f>HYPERLINK("https://klasma.github.io/Logging_2513/tillsynsmail/A 55419-2024 tillsynsbegäran mail.docx", "A 55419-2024")</f>
        <v/>
      </c>
    </row>
    <row r="55" ht="15" customHeight="1">
      <c r="A55" t="inlineStr">
        <is>
          <t>A 18173-2019</t>
        </is>
      </c>
      <c r="B55" s="1" t="n">
        <v>43558</v>
      </c>
      <c r="C55" s="1" t="n">
        <v>45646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20310-2019</t>
        </is>
      </c>
      <c r="B56" s="1" t="n">
        <v>43570</v>
      </c>
      <c r="C56" s="1" t="n">
        <v>45646</v>
      </c>
      <c r="D56" t="inlineStr">
        <is>
          <t>NORRBOTTENS LÄN</t>
        </is>
      </c>
      <c r="E56" t="inlineStr">
        <is>
          <t>ÖVERKALIX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28768-2019</t>
        </is>
      </c>
      <c r="B57" s="1" t="n">
        <v>43616</v>
      </c>
      <c r="C57" s="1" t="n">
        <v>45646</v>
      </c>
      <c r="D57" t="inlineStr">
        <is>
          <t>NORRBOTTENS LÄN</t>
        </is>
      </c>
      <c r="E57" t="inlineStr">
        <is>
          <t>ÖVERKALIX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31427-2019</t>
        </is>
      </c>
      <c r="B58" s="1" t="n">
        <v>43636</v>
      </c>
      <c r="C58" s="1" t="n">
        <v>45646</v>
      </c>
      <c r="D58" t="inlineStr">
        <is>
          <t>NORRBOTTENS LÄN</t>
        </is>
      </c>
      <c r="E58" t="inlineStr">
        <is>
          <t>ÖVERKALIX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38325-2019</t>
        </is>
      </c>
      <c r="B59" s="1" t="n">
        <v>43684</v>
      </c>
      <c r="C59" s="1" t="n">
        <v>45646</v>
      </c>
      <c r="D59" t="inlineStr">
        <is>
          <t>NORRBOTTENS LÄN</t>
        </is>
      </c>
      <c r="E59" t="inlineStr">
        <is>
          <t>ÖVERKALIX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38326-2019</t>
        </is>
      </c>
      <c r="B60" s="1" t="n">
        <v>43684</v>
      </c>
      <c r="C60" s="1" t="n">
        <v>45646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38433-2019</t>
        </is>
      </c>
      <c r="B61" s="1" t="n">
        <v>43685</v>
      </c>
      <c r="C61" s="1" t="n">
        <v>45646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39008-2019</t>
        </is>
      </c>
      <c r="B62" s="1" t="n">
        <v>43689</v>
      </c>
      <c r="C62" s="1" t="n">
        <v>45646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39013-2019</t>
        </is>
      </c>
      <c r="B63" s="1" t="n">
        <v>43689</v>
      </c>
      <c r="C63" s="1" t="n">
        <v>45646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39007-2019</t>
        </is>
      </c>
      <c r="B64" s="1" t="n">
        <v>43689</v>
      </c>
      <c r="C64" s="1" t="n">
        <v>45646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40146-2019</t>
        </is>
      </c>
      <c r="B65" s="1" t="n">
        <v>43693</v>
      </c>
      <c r="C65" s="1" t="n">
        <v>45646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40115-2019</t>
        </is>
      </c>
      <c r="B66" s="1" t="n">
        <v>43693</v>
      </c>
      <c r="C66" s="1" t="n">
        <v>45646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42577-2019</t>
        </is>
      </c>
      <c r="B67" s="1" t="n">
        <v>43699</v>
      </c>
      <c r="C67" s="1" t="n">
        <v>45646</v>
      </c>
      <c r="D67" t="inlineStr">
        <is>
          <t>NORRBOTTENS LÄN</t>
        </is>
      </c>
      <c r="E67" t="inlineStr">
        <is>
          <t>ÖVERKALIX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42561-2019</t>
        </is>
      </c>
      <c r="B68" s="1" t="n">
        <v>43699</v>
      </c>
      <c r="C68" s="1" t="n">
        <v>45646</v>
      </c>
      <c r="D68" t="inlineStr">
        <is>
          <t>NORRBOTTENS LÄN</t>
        </is>
      </c>
      <c r="E68" t="inlineStr">
        <is>
          <t>ÖVERKALIX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42591-2019</t>
        </is>
      </c>
      <c r="B69" s="1" t="n">
        <v>43699</v>
      </c>
      <c r="C69" s="1" t="n">
        <v>45646</v>
      </c>
      <c r="D69" t="inlineStr">
        <is>
          <t>NORRBOTTENS LÄN</t>
        </is>
      </c>
      <c r="E69" t="inlineStr">
        <is>
          <t>ÖVERKALIX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42586-2019</t>
        </is>
      </c>
      <c r="B70" s="1" t="n">
        <v>43699</v>
      </c>
      <c r="C70" s="1" t="n">
        <v>45646</v>
      </c>
      <c r="D70" t="inlineStr">
        <is>
          <t>NORRBOTTENS LÄN</t>
        </is>
      </c>
      <c r="E70" t="inlineStr">
        <is>
          <t>ÖVERKALIX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42574-2019</t>
        </is>
      </c>
      <c r="B71" s="1" t="n">
        <v>43699</v>
      </c>
      <c r="C71" s="1" t="n">
        <v>45646</v>
      </c>
      <c r="D71" t="inlineStr">
        <is>
          <t>NORRBOTTENS LÄN</t>
        </is>
      </c>
      <c r="E71" t="inlineStr">
        <is>
          <t>ÖVERKALIX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42916-2019</t>
        </is>
      </c>
      <c r="B72" s="1" t="n">
        <v>43700</v>
      </c>
      <c r="C72" s="1" t="n">
        <v>45646</v>
      </c>
      <c r="D72" t="inlineStr">
        <is>
          <t>NORRBOTTENS LÄN</t>
        </is>
      </c>
      <c r="E72" t="inlineStr">
        <is>
          <t>ÖVERKALIX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43365-2019</t>
        </is>
      </c>
      <c r="B73" s="1" t="n">
        <v>43706</v>
      </c>
      <c r="C73" s="1" t="n">
        <v>45646</v>
      </c>
      <c r="D73" t="inlineStr">
        <is>
          <t>NORRBOTTENS LÄN</t>
        </is>
      </c>
      <c r="E73" t="inlineStr">
        <is>
          <t>ÖVERKALIX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45957-2019</t>
        </is>
      </c>
      <c r="B74" s="1" t="n">
        <v>43712</v>
      </c>
      <c r="C74" s="1" t="n">
        <v>45646</v>
      </c>
      <c r="D74" t="inlineStr">
        <is>
          <t>NORRBOTTENS LÄN</t>
        </is>
      </c>
      <c r="E74" t="inlineStr">
        <is>
          <t>ÖVERKALIX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47274-2019</t>
        </is>
      </c>
      <c r="B75" s="1" t="n">
        <v>43721</v>
      </c>
      <c r="C75" s="1" t="n">
        <v>45646</v>
      </c>
      <c r="D75" t="inlineStr">
        <is>
          <t>NORRBOTTENS LÄN</t>
        </is>
      </c>
      <c r="E75" t="inlineStr">
        <is>
          <t>ÖVERKALIX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49277-2019</t>
        </is>
      </c>
      <c r="B76" s="1" t="n">
        <v>43728</v>
      </c>
      <c r="C76" s="1" t="n">
        <v>45646</v>
      </c>
      <c r="D76" t="inlineStr">
        <is>
          <t>NORRBOTTENS LÄN</t>
        </is>
      </c>
      <c r="E76" t="inlineStr">
        <is>
          <t>ÖVERKALIX</t>
        </is>
      </c>
      <c r="G76" t="n">
        <v>13.7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49923-2019</t>
        </is>
      </c>
      <c r="B77" s="1" t="n">
        <v>43733</v>
      </c>
      <c r="C77" s="1" t="n">
        <v>45646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52645-2019</t>
        </is>
      </c>
      <c r="B78" s="1" t="n">
        <v>43738</v>
      </c>
      <c r="C78" s="1" t="n">
        <v>45646</v>
      </c>
      <c r="D78" t="inlineStr">
        <is>
          <t>NORRBOTTENS LÄN</t>
        </is>
      </c>
      <c r="E78" t="inlineStr">
        <is>
          <t>ÖVERKALIX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52819-2019</t>
        </is>
      </c>
      <c r="B79" s="1" t="n">
        <v>43739</v>
      </c>
      <c r="C79" s="1" t="n">
        <v>45646</v>
      </c>
      <c r="D79" t="inlineStr">
        <is>
          <t>NORRBOTTENS LÄN</t>
        </is>
      </c>
      <c r="E79" t="inlineStr">
        <is>
          <t>ÖVERKALIX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52157-2019</t>
        </is>
      </c>
      <c r="B80" s="1" t="n">
        <v>43742</v>
      </c>
      <c r="C80" s="1" t="n">
        <v>45646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54760-2019</t>
        </is>
      </c>
      <c r="B81" s="1" t="n">
        <v>43748</v>
      </c>
      <c r="C81" s="1" t="n">
        <v>45646</v>
      </c>
      <c r="D81" t="inlineStr">
        <is>
          <t>NORRBOTTENS LÄN</t>
        </is>
      </c>
      <c r="E81" t="inlineStr">
        <is>
          <t>ÖVERKALIX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54124-2019</t>
        </is>
      </c>
      <c r="B82" s="1" t="n">
        <v>43752</v>
      </c>
      <c r="C82" s="1" t="n">
        <v>45646</v>
      </c>
      <c r="D82" t="inlineStr">
        <is>
          <t>NORRBOTTENS LÄN</t>
        </is>
      </c>
      <c r="E82" t="inlineStr">
        <is>
          <t>ÖVERKALIX</t>
        </is>
      </c>
      <c r="F82" t="inlineStr">
        <is>
          <t>SCA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54123-2019</t>
        </is>
      </c>
      <c r="B83" s="1" t="n">
        <v>43752</v>
      </c>
      <c r="C83" s="1" t="n">
        <v>45646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55364-2019</t>
        </is>
      </c>
      <c r="B84" s="1" t="n">
        <v>43756</v>
      </c>
      <c r="C84" s="1" t="n">
        <v>45646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41.2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56687-2019</t>
        </is>
      </c>
      <c r="B85" s="1" t="n">
        <v>43759</v>
      </c>
      <c r="C85" s="1" t="n">
        <v>45646</v>
      </c>
      <c r="D85" t="inlineStr">
        <is>
          <t>NORRBOTTENS LÄN</t>
        </is>
      </c>
      <c r="E85" t="inlineStr">
        <is>
          <t>ÖVERKALIX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56925-2019</t>
        </is>
      </c>
      <c r="B86" s="1" t="n">
        <v>43759</v>
      </c>
      <c r="C86" s="1" t="n">
        <v>45646</v>
      </c>
      <c r="D86" t="inlineStr">
        <is>
          <t>NORRBOTTENS LÄN</t>
        </is>
      </c>
      <c r="E86" t="inlineStr">
        <is>
          <t>ÖVERKALIX</t>
        </is>
      </c>
      <c r="G86" t="n">
        <v>8.6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57779-2019</t>
        </is>
      </c>
      <c r="B87" s="1" t="n">
        <v>43762</v>
      </c>
      <c r="C87" s="1" t="n">
        <v>45646</v>
      </c>
      <c r="D87" t="inlineStr">
        <is>
          <t>NORRBOTTENS LÄN</t>
        </is>
      </c>
      <c r="E87" t="inlineStr">
        <is>
          <t>ÖVERKALIX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56719-2019</t>
        </is>
      </c>
      <c r="B88" s="1" t="n">
        <v>43763</v>
      </c>
      <c r="C88" s="1" t="n">
        <v>45646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58779-2019</t>
        </is>
      </c>
      <c r="B89" s="1" t="n">
        <v>43773</v>
      </c>
      <c r="C89" s="1" t="n">
        <v>45646</v>
      </c>
      <c r="D89" t="inlineStr">
        <is>
          <t>NORRBOTTENS LÄN</t>
        </is>
      </c>
      <c r="E89" t="inlineStr">
        <is>
          <t>ÖVERKALIX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60104-2019</t>
        </is>
      </c>
      <c r="B90" s="1" t="n">
        <v>43777</v>
      </c>
      <c r="C90" s="1" t="n">
        <v>45646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62077-2019</t>
        </is>
      </c>
      <c r="B91" s="1" t="n">
        <v>43782</v>
      </c>
      <c r="C91" s="1" t="n">
        <v>45646</v>
      </c>
      <c r="D91" t="inlineStr">
        <is>
          <t>NORRBOTTENS LÄN</t>
        </is>
      </c>
      <c r="E91" t="inlineStr">
        <is>
          <t>ÖVERKALIX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62031-2019</t>
        </is>
      </c>
      <c r="B92" s="1" t="n">
        <v>43782</v>
      </c>
      <c r="C92" s="1" t="n">
        <v>45646</v>
      </c>
      <c r="D92" t="inlineStr">
        <is>
          <t>NORRBOTTENS LÄN</t>
        </is>
      </c>
      <c r="E92" t="inlineStr">
        <is>
          <t>ÖVERKALIX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61532-2019</t>
        </is>
      </c>
      <c r="B93" s="1" t="n">
        <v>43783</v>
      </c>
      <c r="C93" s="1" t="n">
        <v>45646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61525-2019</t>
        </is>
      </c>
      <c r="B94" s="1" t="n">
        <v>43783</v>
      </c>
      <c r="C94" s="1" t="n">
        <v>45646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61527-2019</t>
        </is>
      </c>
      <c r="B95" s="1" t="n">
        <v>43783</v>
      </c>
      <c r="C95" s="1" t="n">
        <v>45646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61531-2019</t>
        </is>
      </c>
      <c r="B96" s="1" t="n">
        <v>43783</v>
      </c>
      <c r="C96" s="1" t="n">
        <v>45646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63216-2019</t>
        </is>
      </c>
      <c r="B97" s="1" t="n">
        <v>43791</v>
      </c>
      <c r="C97" s="1" t="n">
        <v>45646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64022-2019</t>
        </is>
      </c>
      <c r="B98" s="1" t="n">
        <v>43791</v>
      </c>
      <c r="C98" s="1" t="n">
        <v>45646</v>
      </c>
      <c r="D98" t="inlineStr">
        <is>
          <t>NORRBOTTENS LÄN</t>
        </is>
      </c>
      <c r="E98" t="inlineStr">
        <is>
          <t>ÖVERKALIX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64019-2019</t>
        </is>
      </c>
      <c r="B99" s="1" t="n">
        <v>43791</v>
      </c>
      <c r="C99" s="1" t="n">
        <v>45646</v>
      </c>
      <c r="D99" t="inlineStr">
        <is>
          <t>NORRBOTTENS LÄN</t>
        </is>
      </c>
      <c r="E99" t="inlineStr">
        <is>
          <t>ÖVERKALIX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67100-2019</t>
        </is>
      </c>
      <c r="B100" s="1" t="n">
        <v>43805</v>
      </c>
      <c r="C100" s="1" t="n">
        <v>45646</v>
      </c>
      <c r="D100" t="inlineStr">
        <is>
          <t>NORRBOTTENS LÄN</t>
        </is>
      </c>
      <c r="E100" t="inlineStr">
        <is>
          <t>ÖVERKALIX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67113-2019</t>
        </is>
      </c>
      <c r="B101" s="1" t="n">
        <v>43805</v>
      </c>
      <c r="C101" s="1" t="n">
        <v>45646</v>
      </c>
      <c r="D101" t="inlineStr">
        <is>
          <t>NORRBOTTENS LÄN</t>
        </is>
      </c>
      <c r="E101" t="inlineStr">
        <is>
          <t>ÖVERKALIX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1359-2020</t>
        </is>
      </c>
      <c r="B102" s="1" t="n">
        <v>43843</v>
      </c>
      <c r="C102" s="1" t="n">
        <v>45646</v>
      </c>
      <c r="D102" t="inlineStr">
        <is>
          <t>NORRBOTTENS LÄN</t>
        </is>
      </c>
      <c r="E102" t="inlineStr">
        <is>
          <t>ÖVERKALIX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1839-2020</t>
        </is>
      </c>
      <c r="B103" s="1" t="n">
        <v>43844</v>
      </c>
      <c r="C103" s="1" t="n">
        <v>45646</v>
      </c>
      <c r="D103" t="inlineStr">
        <is>
          <t>NORRBOTTENS LÄN</t>
        </is>
      </c>
      <c r="E103" t="inlineStr">
        <is>
          <t>ÖVERKALIX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1836-2020</t>
        </is>
      </c>
      <c r="B104" s="1" t="n">
        <v>43844</v>
      </c>
      <c r="C104" s="1" t="n">
        <v>45646</v>
      </c>
      <c r="D104" t="inlineStr">
        <is>
          <t>NORRBOTTENS LÄN</t>
        </is>
      </c>
      <c r="E104" t="inlineStr">
        <is>
          <t>ÖVERKALIX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1832-2020</t>
        </is>
      </c>
      <c r="B105" s="1" t="n">
        <v>43844</v>
      </c>
      <c r="C105" s="1" t="n">
        <v>45646</v>
      </c>
      <c r="D105" t="inlineStr">
        <is>
          <t>NORRBOTTENS LÄN</t>
        </is>
      </c>
      <c r="E105" t="inlineStr">
        <is>
          <t>ÖVERKALIX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3694-2020</t>
        </is>
      </c>
      <c r="B106" s="1" t="n">
        <v>43845</v>
      </c>
      <c r="C106" s="1" t="n">
        <v>45646</v>
      </c>
      <c r="D106" t="inlineStr">
        <is>
          <t>NORRBOTTENS LÄN</t>
        </is>
      </c>
      <c r="E106" t="inlineStr">
        <is>
          <t>ÖVERKALIX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4667-2020</t>
        </is>
      </c>
      <c r="B107" s="1" t="n">
        <v>43852</v>
      </c>
      <c r="C107" s="1" t="n">
        <v>45646</v>
      </c>
      <c r="D107" t="inlineStr">
        <is>
          <t>NORRBOTTENS LÄN</t>
        </is>
      </c>
      <c r="E107" t="inlineStr">
        <is>
          <t>ÖVERKALIX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5361-2020</t>
        </is>
      </c>
      <c r="B108" s="1" t="n">
        <v>43860</v>
      </c>
      <c r="C108" s="1" t="n">
        <v>45646</v>
      </c>
      <c r="D108" t="inlineStr">
        <is>
          <t>NORRBOTTENS LÄN</t>
        </is>
      </c>
      <c r="E108" t="inlineStr">
        <is>
          <t>ÖVERKALIX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8582-2020</t>
        </is>
      </c>
      <c r="B109" s="1" t="n">
        <v>43875</v>
      </c>
      <c r="C109" s="1" t="n">
        <v>45646</v>
      </c>
      <c r="D109" t="inlineStr">
        <is>
          <t>NORRBOTTENS LÄN</t>
        </is>
      </c>
      <c r="E109" t="inlineStr">
        <is>
          <t>ÖVERKALIX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10820-2020</t>
        </is>
      </c>
      <c r="B110" s="1" t="n">
        <v>43888</v>
      </c>
      <c r="C110" s="1" t="n">
        <v>45646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10819-2020</t>
        </is>
      </c>
      <c r="B111" s="1" t="n">
        <v>43888</v>
      </c>
      <c r="C111" s="1" t="n">
        <v>45646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12491-2020</t>
        </is>
      </c>
      <c r="B112" s="1" t="n">
        <v>43892</v>
      </c>
      <c r="C112" s="1" t="n">
        <v>45646</v>
      </c>
      <c r="D112" t="inlineStr">
        <is>
          <t>NORRBOTTENS LÄN</t>
        </is>
      </c>
      <c r="E112" t="inlineStr">
        <is>
          <t>ÖVERKALIX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13601-2020</t>
        </is>
      </c>
      <c r="B113" s="1" t="n">
        <v>43896</v>
      </c>
      <c r="C113" s="1" t="n">
        <v>45646</v>
      </c>
      <c r="D113" t="inlineStr">
        <is>
          <t>NORRBOTTENS LÄN</t>
        </is>
      </c>
      <c r="E113" t="inlineStr">
        <is>
          <t>ÖVERKALIX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13596-2020</t>
        </is>
      </c>
      <c r="B114" s="1" t="n">
        <v>43896</v>
      </c>
      <c r="C114" s="1" t="n">
        <v>45646</v>
      </c>
      <c r="D114" t="inlineStr">
        <is>
          <t>NORRBOTTENS LÄN</t>
        </is>
      </c>
      <c r="E114" t="inlineStr">
        <is>
          <t>ÖVERKALIX</t>
        </is>
      </c>
      <c r="G114" t="n">
        <v>8.1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14906-2020</t>
        </is>
      </c>
      <c r="B115" s="1" t="n">
        <v>43903</v>
      </c>
      <c r="C115" s="1" t="n">
        <v>45646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16.8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15646-2020</t>
        </is>
      </c>
      <c r="B116" s="1" t="n">
        <v>43914</v>
      </c>
      <c r="C116" s="1" t="n">
        <v>45646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17085-2020</t>
        </is>
      </c>
      <c r="B117" s="1" t="n">
        <v>43921</v>
      </c>
      <c r="C117" s="1" t="n">
        <v>45646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19399-2020</t>
        </is>
      </c>
      <c r="B118" s="1" t="n">
        <v>43938</v>
      </c>
      <c r="C118" s="1" t="n">
        <v>45646</v>
      </c>
      <c r="D118" t="inlineStr">
        <is>
          <t>NORRBOTTENS LÄN</t>
        </is>
      </c>
      <c r="E118" t="inlineStr">
        <is>
          <t>ÖVERKALIX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20430-2020</t>
        </is>
      </c>
      <c r="B119" s="1" t="n">
        <v>43945</v>
      </c>
      <c r="C119" s="1" t="n">
        <v>45646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21968-2020</t>
        </is>
      </c>
      <c r="B120" s="1" t="n">
        <v>43958</v>
      </c>
      <c r="C120" s="1" t="n">
        <v>45646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23639-2020</t>
        </is>
      </c>
      <c r="B121" s="1" t="n">
        <v>43969</v>
      </c>
      <c r="C121" s="1" t="n">
        <v>45646</v>
      </c>
      <c r="D121" t="inlineStr">
        <is>
          <t>NORRBOTTENS LÄN</t>
        </is>
      </c>
      <c r="E121" t="inlineStr">
        <is>
          <t>ÖVERKALIX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24354-2020</t>
        </is>
      </c>
      <c r="B122" s="1" t="n">
        <v>43976</v>
      </c>
      <c r="C122" s="1" t="n">
        <v>45646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24660-2020</t>
        </is>
      </c>
      <c r="B123" s="1" t="n">
        <v>43977</v>
      </c>
      <c r="C123" s="1" t="n">
        <v>45646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26866-2020</t>
        </is>
      </c>
      <c r="B124" s="1" t="n">
        <v>43987</v>
      </c>
      <c r="C124" s="1" t="n">
        <v>45646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26795-2020</t>
        </is>
      </c>
      <c r="B125" s="1" t="n">
        <v>43990</v>
      </c>
      <c r="C125" s="1" t="n">
        <v>45646</v>
      </c>
      <c r="D125" t="inlineStr">
        <is>
          <t>NORRBOTTENS LÄN</t>
        </is>
      </c>
      <c r="E125" t="inlineStr">
        <is>
          <t>ÖVERKALIX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27092-2020</t>
        </is>
      </c>
      <c r="B126" s="1" t="n">
        <v>43991</v>
      </c>
      <c r="C126" s="1" t="n">
        <v>45646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30971-2020</t>
        </is>
      </c>
      <c r="B127" s="1" t="n">
        <v>44011</v>
      </c>
      <c r="C127" s="1" t="n">
        <v>45646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13.6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31065-2020</t>
        </is>
      </c>
      <c r="B128" s="1" t="n">
        <v>44012</v>
      </c>
      <c r="C128" s="1" t="n">
        <v>45646</v>
      </c>
      <c r="D128" t="inlineStr">
        <is>
          <t>NORRBOTTENS LÄN</t>
        </is>
      </c>
      <c r="E128" t="inlineStr">
        <is>
          <t>ÖVERKALIX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33704-2020</t>
        </is>
      </c>
      <c r="B129" s="1" t="n">
        <v>44026</v>
      </c>
      <c r="C129" s="1" t="n">
        <v>45646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33718-2020</t>
        </is>
      </c>
      <c r="B130" s="1" t="n">
        <v>44026</v>
      </c>
      <c r="C130" s="1" t="n">
        <v>45646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33713-2020</t>
        </is>
      </c>
      <c r="B131" s="1" t="n">
        <v>44026</v>
      </c>
      <c r="C131" s="1" t="n">
        <v>45646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34664-2020</t>
        </is>
      </c>
      <c r="B132" s="1" t="n">
        <v>44034</v>
      </c>
      <c r="C132" s="1" t="n">
        <v>45646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36649-2020</t>
        </is>
      </c>
      <c r="B133" s="1" t="n">
        <v>44051</v>
      </c>
      <c r="C133" s="1" t="n">
        <v>45646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43453-2020</t>
        </is>
      </c>
      <c r="B134" s="1" t="n">
        <v>44082</v>
      </c>
      <c r="C134" s="1" t="n">
        <v>45646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43661-2020</t>
        </is>
      </c>
      <c r="B135" s="1" t="n">
        <v>44082</v>
      </c>
      <c r="C135" s="1" t="n">
        <v>45646</v>
      </c>
      <c r="D135" t="inlineStr">
        <is>
          <t>NORRBOTTENS LÄN</t>
        </is>
      </c>
      <c r="E135" t="inlineStr">
        <is>
          <t>ÖVERKALIX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43836-2020</t>
        </is>
      </c>
      <c r="B136" s="1" t="n">
        <v>44082</v>
      </c>
      <c r="C136" s="1" t="n">
        <v>45646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8.5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45361-2020</t>
        </is>
      </c>
      <c r="B137" s="1" t="n">
        <v>44085</v>
      </c>
      <c r="C137" s="1" t="n">
        <v>45646</v>
      </c>
      <c r="D137" t="inlineStr">
        <is>
          <t>NORRBOTTENS LÄN</t>
        </is>
      </c>
      <c r="E137" t="inlineStr">
        <is>
          <t>ÖVERKALIX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46372-2020</t>
        </is>
      </c>
      <c r="B138" s="1" t="n">
        <v>44092</v>
      </c>
      <c r="C138" s="1" t="n">
        <v>45646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48585-2020</t>
        </is>
      </c>
      <c r="B139" s="1" t="n">
        <v>44098</v>
      </c>
      <c r="C139" s="1" t="n">
        <v>45646</v>
      </c>
      <c r="D139" t="inlineStr">
        <is>
          <t>NORRBOTTENS LÄN</t>
        </is>
      </c>
      <c r="E139" t="inlineStr">
        <is>
          <t>ÖVERKALIX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53747-2020</t>
        </is>
      </c>
      <c r="B140" s="1" t="n">
        <v>44124</v>
      </c>
      <c r="C140" s="1" t="n">
        <v>45646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60602-2020</t>
        </is>
      </c>
      <c r="B141" s="1" t="n">
        <v>44153</v>
      </c>
      <c r="C141" s="1" t="n">
        <v>45646</v>
      </c>
      <c r="D141" t="inlineStr">
        <is>
          <t>NORRBOTTENS LÄN</t>
        </is>
      </c>
      <c r="E141" t="inlineStr">
        <is>
          <t>ÖVERKALIX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62022-2020</t>
        </is>
      </c>
      <c r="B142" s="1" t="n">
        <v>44159</v>
      </c>
      <c r="C142" s="1" t="n">
        <v>45646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62241-2020</t>
        </is>
      </c>
      <c r="B143" s="1" t="n">
        <v>44160</v>
      </c>
      <c r="C143" s="1" t="n">
        <v>45646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9.800000000000001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67584-2020</t>
        </is>
      </c>
      <c r="B144" s="1" t="n">
        <v>44181</v>
      </c>
      <c r="C144" s="1" t="n">
        <v>45646</v>
      </c>
      <c r="D144" t="inlineStr">
        <is>
          <t>NORRBOTTENS LÄN</t>
        </is>
      </c>
      <c r="E144" t="inlineStr">
        <is>
          <t>ÖVERKALIX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68189-2020</t>
        </is>
      </c>
      <c r="B145" s="1" t="n">
        <v>44182</v>
      </c>
      <c r="C145" s="1" t="n">
        <v>45646</v>
      </c>
      <c r="D145" t="inlineStr">
        <is>
          <t>NORRBOTTENS LÄN</t>
        </is>
      </c>
      <c r="E145" t="inlineStr">
        <is>
          <t>ÖVERKALIX</t>
        </is>
      </c>
      <c r="G145" t="n">
        <v>8.9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69529-2020</t>
        </is>
      </c>
      <c r="B146" s="1" t="n">
        <v>44194</v>
      </c>
      <c r="C146" s="1" t="n">
        <v>45646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69534-2020</t>
        </is>
      </c>
      <c r="B147" s="1" t="n">
        <v>44194</v>
      </c>
      <c r="C147" s="1" t="n">
        <v>45646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1481-2021</t>
        </is>
      </c>
      <c r="B148" s="1" t="n">
        <v>44208</v>
      </c>
      <c r="C148" s="1" t="n">
        <v>45646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7744-2021</t>
        </is>
      </c>
      <c r="B149" s="1" t="n">
        <v>44242</v>
      </c>
      <c r="C149" s="1" t="n">
        <v>45646</v>
      </c>
      <c r="D149" t="inlineStr">
        <is>
          <t>NORRBOTTENS LÄN</t>
        </is>
      </c>
      <c r="E149" t="inlineStr">
        <is>
          <t>ÖVERKALIX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8224-2021</t>
        </is>
      </c>
      <c r="B150" s="1" t="n">
        <v>44244</v>
      </c>
      <c r="C150" s="1" t="n">
        <v>45646</v>
      </c>
      <c r="D150" t="inlineStr">
        <is>
          <t>NORRBOTTENS LÄN</t>
        </is>
      </c>
      <c r="E150" t="inlineStr">
        <is>
          <t>ÖVERKALIX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15075-2021</t>
        </is>
      </c>
      <c r="B151" s="1" t="n">
        <v>44281</v>
      </c>
      <c r="C151" s="1" t="n">
        <v>45646</v>
      </c>
      <c r="D151" t="inlineStr">
        <is>
          <t>NORRBOTTENS LÄN</t>
        </is>
      </c>
      <c r="E151" t="inlineStr">
        <is>
          <t>ÖVERKALIX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19802-2021</t>
        </is>
      </c>
      <c r="B152" s="1" t="n">
        <v>44312</v>
      </c>
      <c r="C152" s="1" t="n">
        <v>45646</v>
      </c>
      <c r="D152" t="inlineStr">
        <is>
          <t>NORRBOTTENS LÄN</t>
        </is>
      </c>
      <c r="E152" t="inlineStr">
        <is>
          <t>ÖVERKALIX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23067-2021</t>
        </is>
      </c>
      <c r="B153" s="1" t="n">
        <v>44330</v>
      </c>
      <c r="C153" s="1" t="n">
        <v>45646</v>
      </c>
      <c r="D153" t="inlineStr">
        <is>
          <t>NORRBOTTENS LÄN</t>
        </is>
      </c>
      <c r="E153" t="inlineStr">
        <is>
          <t>ÖVERKALIX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23065-2021</t>
        </is>
      </c>
      <c r="B154" s="1" t="n">
        <v>44330</v>
      </c>
      <c r="C154" s="1" t="n">
        <v>45646</v>
      </c>
      <c r="D154" t="inlineStr">
        <is>
          <t>NORRBOTTENS LÄN</t>
        </is>
      </c>
      <c r="E154" t="inlineStr">
        <is>
          <t>ÖVERKALIX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23073-2021</t>
        </is>
      </c>
      <c r="B155" s="1" t="n">
        <v>44330</v>
      </c>
      <c r="C155" s="1" t="n">
        <v>45646</v>
      </c>
      <c r="D155" t="inlineStr">
        <is>
          <t>NORRBOTTENS LÄN</t>
        </is>
      </c>
      <c r="E155" t="inlineStr">
        <is>
          <t>ÖVERKALIX</t>
        </is>
      </c>
      <c r="G155" t="n">
        <v>16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25070-2021</t>
        </is>
      </c>
      <c r="B156" s="1" t="n">
        <v>44341</v>
      </c>
      <c r="C156" s="1" t="n">
        <v>45646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26362-2021</t>
        </is>
      </c>
      <c r="B157" s="1" t="n">
        <v>44347</v>
      </c>
      <c r="C157" s="1" t="n">
        <v>45646</v>
      </c>
      <c r="D157" t="inlineStr">
        <is>
          <t>NORRBOTTENS LÄN</t>
        </is>
      </c>
      <c r="E157" t="inlineStr">
        <is>
          <t>ÖVERKALIX</t>
        </is>
      </c>
      <c r="G157" t="n">
        <v>11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26644-2021</t>
        </is>
      </c>
      <c r="B158" s="1" t="n">
        <v>44348</v>
      </c>
      <c r="C158" s="1" t="n">
        <v>45646</v>
      </c>
      <c r="D158" t="inlineStr">
        <is>
          <t>NORRBOTTENS LÄN</t>
        </is>
      </c>
      <c r="E158" t="inlineStr">
        <is>
          <t>ÖVERKALIX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26885-2021</t>
        </is>
      </c>
      <c r="B159" s="1" t="n">
        <v>44349</v>
      </c>
      <c r="C159" s="1" t="n">
        <v>45646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28364-2021</t>
        </is>
      </c>
      <c r="B160" s="1" t="n">
        <v>44356</v>
      </c>
      <c r="C160" s="1" t="n">
        <v>45646</v>
      </c>
      <c r="D160" t="inlineStr">
        <is>
          <t>NORRBOTTENS LÄN</t>
        </is>
      </c>
      <c r="E160" t="inlineStr">
        <is>
          <t>ÖVERKALIX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28487-2021</t>
        </is>
      </c>
      <c r="B161" s="1" t="n">
        <v>44356</v>
      </c>
      <c r="C161" s="1" t="n">
        <v>45646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29268-2021</t>
        </is>
      </c>
      <c r="B162" s="1" t="n">
        <v>44361</v>
      </c>
      <c r="C162" s="1" t="n">
        <v>45646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29757-2021</t>
        </is>
      </c>
      <c r="B163" s="1" t="n">
        <v>44362</v>
      </c>
      <c r="C163" s="1" t="n">
        <v>45646</v>
      </c>
      <c r="D163" t="inlineStr">
        <is>
          <t>NORRBOTTENS LÄN</t>
        </is>
      </c>
      <c r="E163" t="inlineStr">
        <is>
          <t>ÖVERKALIX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29775-2021</t>
        </is>
      </c>
      <c r="B164" s="1" t="n">
        <v>44362</v>
      </c>
      <c r="C164" s="1" t="n">
        <v>45646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30673-2021</t>
        </is>
      </c>
      <c r="B165" s="1" t="n">
        <v>44365</v>
      </c>
      <c r="C165" s="1" t="n">
        <v>45646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30672-2021</t>
        </is>
      </c>
      <c r="B166" s="1" t="n">
        <v>44365</v>
      </c>
      <c r="C166" s="1" t="n">
        <v>45646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32521-2021</t>
        </is>
      </c>
      <c r="B167" s="1" t="n">
        <v>44374</v>
      </c>
      <c r="C167" s="1" t="n">
        <v>45646</v>
      </c>
      <c r="D167" t="inlineStr">
        <is>
          <t>NORRBOTTENS LÄN</t>
        </is>
      </c>
      <c r="E167" t="inlineStr">
        <is>
          <t>ÖVERKALIX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36896-2021</t>
        </is>
      </c>
      <c r="B168" s="1" t="n">
        <v>44393</v>
      </c>
      <c r="C168" s="1" t="n">
        <v>45646</v>
      </c>
      <c r="D168" t="inlineStr">
        <is>
          <t>NORRBOTTENS LÄN</t>
        </is>
      </c>
      <c r="E168" t="inlineStr">
        <is>
          <t>ÖVERKALIX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36921-2021</t>
        </is>
      </c>
      <c r="B169" s="1" t="n">
        <v>44393</v>
      </c>
      <c r="C169" s="1" t="n">
        <v>45646</v>
      </c>
      <c r="D169" t="inlineStr">
        <is>
          <t>NORRBOTTENS LÄN</t>
        </is>
      </c>
      <c r="E169" t="inlineStr">
        <is>
          <t>ÖVERKALIX</t>
        </is>
      </c>
      <c r="G169" t="n">
        <v>12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39459-2021</t>
        </is>
      </c>
      <c r="B170" s="1" t="n">
        <v>44414</v>
      </c>
      <c r="C170" s="1" t="n">
        <v>45646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40026-2021</t>
        </is>
      </c>
      <c r="B171" s="1" t="n">
        <v>44417</v>
      </c>
      <c r="C171" s="1" t="n">
        <v>45646</v>
      </c>
      <c r="D171" t="inlineStr">
        <is>
          <t>NORRBOTTENS LÄN</t>
        </is>
      </c>
      <c r="E171" t="inlineStr">
        <is>
          <t>ÖVERKALIX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39974-2021</t>
        </is>
      </c>
      <c r="B172" s="1" t="n">
        <v>44417</v>
      </c>
      <c r="C172" s="1" t="n">
        <v>45646</v>
      </c>
      <c r="D172" t="inlineStr">
        <is>
          <t>NORRBOTTENS LÄN</t>
        </is>
      </c>
      <c r="E172" t="inlineStr">
        <is>
          <t>ÖVERKALIX</t>
        </is>
      </c>
      <c r="G172" t="n">
        <v>21.6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41541-2021</t>
        </is>
      </c>
      <c r="B173" s="1" t="n">
        <v>44424</v>
      </c>
      <c r="C173" s="1" t="n">
        <v>45646</v>
      </c>
      <c r="D173" t="inlineStr">
        <is>
          <t>NORRBOTTENS LÄN</t>
        </is>
      </c>
      <c r="E173" t="inlineStr">
        <is>
          <t>ÖVERKALIX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41691-2021</t>
        </is>
      </c>
      <c r="B174" s="1" t="n">
        <v>44424</v>
      </c>
      <c r="C174" s="1" t="n">
        <v>45646</v>
      </c>
      <c r="D174" t="inlineStr">
        <is>
          <t>NORRBOTTENS LÄN</t>
        </is>
      </c>
      <c r="E174" t="inlineStr">
        <is>
          <t>ÖVERKALIX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41706-2021</t>
        </is>
      </c>
      <c r="B175" s="1" t="n">
        <v>44424</v>
      </c>
      <c r="C175" s="1" t="n">
        <v>45646</v>
      </c>
      <c r="D175" t="inlineStr">
        <is>
          <t>NORRBOTTENS LÄN</t>
        </is>
      </c>
      <c r="E175" t="inlineStr">
        <is>
          <t>ÖVERKALIX</t>
        </is>
      </c>
      <c r="G175" t="n">
        <v>10.2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41839-2021</t>
        </is>
      </c>
      <c r="B176" s="1" t="n">
        <v>44425</v>
      </c>
      <c r="C176" s="1" t="n">
        <v>45646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42123-2021</t>
        </is>
      </c>
      <c r="B177" s="1" t="n">
        <v>44426</v>
      </c>
      <c r="C177" s="1" t="n">
        <v>45646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43433-2021</t>
        </is>
      </c>
      <c r="B178" s="1" t="n">
        <v>44432</v>
      </c>
      <c r="C178" s="1" t="n">
        <v>45646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43673-2021</t>
        </is>
      </c>
      <c r="B179" s="1" t="n">
        <v>44433</v>
      </c>
      <c r="C179" s="1" t="n">
        <v>45646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43687-2021</t>
        </is>
      </c>
      <c r="B180" s="1" t="n">
        <v>44433</v>
      </c>
      <c r="C180" s="1" t="n">
        <v>45646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44370-2021</t>
        </is>
      </c>
      <c r="B181" s="1" t="n">
        <v>44435</v>
      </c>
      <c r="C181" s="1" t="n">
        <v>45646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44309-2021</t>
        </is>
      </c>
      <c r="B182" s="1" t="n">
        <v>44435</v>
      </c>
      <c r="C182" s="1" t="n">
        <v>45646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44306-2021</t>
        </is>
      </c>
      <c r="B183" s="1" t="n">
        <v>44435</v>
      </c>
      <c r="C183" s="1" t="n">
        <v>45646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44530-2021</t>
        </is>
      </c>
      <c r="B184" s="1" t="n">
        <v>44435</v>
      </c>
      <c r="C184" s="1" t="n">
        <v>45646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44798-2021</t>
        </is>
      </c>
      <c r="B185" s="1" t="n">
        <v>44438</v>
      </c>
      <c r="C185" s="1" t="n">
        <v>45646</v>
      </c>
      <c r="D185" t="inlineStr">
        <is>
          <t>NORRBOTTENS LÄN</t>
        </is>
      </c>
      <c r="E185" t="inlineStr">
        <is>
          <t>ÖVERKALIX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44830-2021</t>
        </is>
      </c>
      <c r="B186" s="1" t="n">
        <v>44438</v>
      </c>
      <c r="C186" s="1" t="n">
        <v>45646</v>
      </c>
      <c r="D186" t="inlineStr">
        <is>
          <t>NORRBOTTENS LÄN</t>
        </is>
      </c>
      <c r="E186" t="inlineStr">
        <is>
          <t>ÖVERKALIX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46790-2021</t>
        </is>
      </c>
      <c r="B187" s="1" t="n">
        <v>44445</v>
      </c>
      <c r="C187" s="1" t="n">
        <v>45646</v>
      </c>
      <c r="D187" t="inlineStr">
        <is>
          <t>NORRBOTTENS LÄN</t>
        </is>
      </c>
      <c r="E187" t="inlineStr">
        <is>
          <t>ÖVERKALIX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46945-2021</t>
        </is>
      </c>
      <c r="B188" s="1" t="n">
        <v>44446</v>
      </c>
      <c r="C188" s="1" t="n">
        <v>45646</v>
      </c>
      <c r="D188" t="inlineStr">
        <is>
          <t>NORRBOTTENS LÄN</t>
        </is>
      </c>
      <c r="E188" t="inlineStr">
        <is>
          <t>ÖVERKALIX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47629-2021</t>
        </is>
      </c>
      <c r="B189" s="1" t="n">
        <v>44448</v>
      </c>
      <c r="C189" s="1" t="n">
        <v>45646</v>
      </c>
      <c r="D189" t="inlineStr">
        <is>
          <t>NORRBOTTENS LÄN</t>
        </is>
      </c>
      <c r="E189" t="inlineStr">
        <is>
          <t>ÖVERKALIX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51022-2021</t>
        </is>
      </c>
      <c r="B190" s="1" t="n">
        <v>44460</v>
      </c>
      <c r="C190" s="1" t="n">
        <v>45646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18.4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52869-2021</t>
        </is>
      </c>
      <c r="B191" s="1" t="n">
        <v>44466</v>
      </c>
      <c r="C191" s="1" t="n">
        <v>45646</v>
      </c>
      <c r="D191" t="inlineStr">
        <is>
          <t>NORRBOTTENS LÄN</t>
        </is>
      </c>
      <c r="E191" t="inlineStr">
        <is>
          <t>ÖVERKALIX</t>
        </is>
      </c>
      <c r="G191" t="n">
        <v>12.6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52713-2021</t>
        </is>
      </c>
      <c r="B192" s="1" t="n">
        <v>44467</v>
      </c>
      <c r="C192" s="1" t="n">
        <v>45646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53322-2021</t>
        </is>
      </c>
      <c r="B193" s="1" t="n">
        <v>44466</v>
      </c>
      <c r="C193" s="1" t="n">
        <v>45646</v>
      </c>
      <c r="D193" t="inlineStr">
        <is>
          <t>NORRBOTTENS LÄN</t>
        </is>
      </c>
      <c r="E193" t="inlineStr">
        <is>
          <t>ÖVERKALIX</t>
        </is>
      </c>
      <c r="G193" t="n">
        <v>19.4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53328-2021</t>
        </is>
      </c>
      <c r="B194" s="1" t="n">
        <v>44466</v>
      </c>
      <c r="C194" s="1" t="n">
        <v>45646</v>
      </c>
      <c r="D194" t="inlineStr">
        <is>
          <t>NORRBOTTENS LÄN</t>
        </is>
      </c>
      <c r="E194" t="inlineStr">
        <is>
          <t>ÖVERKALIX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53849-2021</t>
        </is>
      </c>
      <c r="B195" s="1" t="n">
        <v>44469</v>
      </c>
      <c r="C195" s="1" t="n">
        <v>45646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54143-2021</t>
        </is>
      </c>
      <c r="B196" s="1" t="n">
        <v>44469</v>
      </c>
      <c r="C196" s="1" t="n">
        <v>45646</v>
      </c>
      <c r="D196" t="inlineStr">
        <is>
          <t>NORRBOTTENS LÄN</t>
        </is>
      </c>
      <c r="E196" t="inlineStr">
        <is>
          <t>ÖVERKALIX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56076-2021</t>
        </is>
      </c>
      <c r="B197" s="1" t="n">
        <v>44477</v>
      </c>
      <c r="C197" s="1" t="n">
        <v>45646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57754-2021</t>
        </is>
      </c>
      <c r="B198" s="1" t="n">
        <v>44484</v>
      </c>
      <c r="C198" s="1" t="n">
        <v>45646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57759-2021</t>
        </is>
      </c>
      <c r="B199" s="1" t="n">
        <v>44484</v>
      </c>
      <c r="C199" s="1" t="n">
        <v>45646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59927-2021</t>
        </is>
      </c>
      <c r="B200" s="1" t="n">
        <v>44494</v>
      </c>
      <c r="C200" s="1" t="n">
        <v>45646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62259-2021</t>
        </is>
      </c>
      <c r="B201" s="1" t="n">
        <v>44501</v>
      </c>
      <c r="C201" s="1" t="n">
        <v>45646</v>
      </c>
      <c r="D201" t="inlineStr">
        <is>
          <t>NORRBOTTENS LÄN</t>
        </is>
      </c>
      <c r="E201" t="inlineStr">
        <is>
          <t>ÖVERKALIX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62269-2021</t>
        </is>
      </c>
      <c r="B202" s="1" t="n">
        <v>44502</v>
      </c>
      <c r="C202" s="1" t="n">
        <v>45646</v>
      </c>
      <c r="D202" t="inlineStr">
        <is>
          <t>NORRBOTTENS LÄN</t>
        </is>
      </c>
      <c r="E202" t="inlineStr">
        <is>
          <t>ÖVERKALIX</t>
        </is>
      </c>
      <c r="G202" t="n">
        <v>9.199999999999999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62654-2021</t>
        </is>
      </c>
      <c r="B203" s="1" t="n">
        <v>44503</v>
      </c>
      <c r="C203" s="1" t="n">
        <v>45646</v>
      </c>
      <c r="D203" t="inlineStr">
        <is>
          <t>NORRBOTTENS LÄN</t>
        </is>
      </c>
      <c r="E203" t="inlineStr">
        <is>
          <t>ÖVERKALIX</t>
        </is>
      </c>
      <c r="G203" t="n">
        <v>28.3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63594-2021</t>
        </is>
      </c>
      <c r="B204" s="1" t="n">
        <v>44508</v>
      </c>
      <c r="C204" s="1" t="n">
        <v>45646</v>
      </c>
      <c r="D204" t="inlineStr">
        <is>
          <t>NORRBOTTENS LÄN</t>
        </is>
      </c>
      <c r="E204" t="inlineStr">
        <is>
          <t>ÖVERKALIX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64304-2021</t>
        </is>
      </c>
      <c r="B205" s="1" t="n">
        <v>44510</v>
      </c>
      <c r="C205" s="1" t="n">
        <v>45646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69110-2021</t>
        </is>
      </c>
      <c r="B206" s="1" t="n">
        <v>44530</v>
      </c>
      <c r="C206" s="1" t="n">
        <v>45646</v>
      </c>
      <c r="D206" t="inlineStr">
        <is>
          <t>NORRBOTTENS LÄN</t>
        </is>
      </c>
      <c r="E206" t="inlineStr">
        <is>
          <t>ÖVERKALIX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69405-2021</t>
        </is>
      </c>
      <c r="B207" s="1" t="n">
        <v>44531</v>
      </c>
      <c r="C207" s="1" t="n">
        <v>45646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71902-2021</t>
        </is>
      </c>
      <c r="B208" s="1" t="n">
        <v>44539</v>
      </c>
      <c r="C208" s="1" t="n">
        <v>45646</v>
      </c>
      <c r="D208" t="inlineStr">
        <is>
          <t>NORRBOTTENS LÄN</t>
        </is>
      </c>
      <c r="E208" t="inlineStr">
        <is>
          <t>ÖVERKALIX</t>
        </is>
      </c>
      <c r="G208" t="n">
        <v>24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72364-2021</t>
        </is>
      </c>
      <c r="B209" s="1" t="n">
        <v>44543</v>
      </c>
      <c r="C209" s="1" t="n">
        <v>45646</v>
      </c>
      <c r="D209" t="inlineStr">
        <is>
          <t>NORRBOTTENS LÄN</t>
        </is>
      </c>
      <c r="E209" t="inlineStr">
        <is>
          <t>ÖVERKALIX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72550-2021</t>
        </is>
      </c>
      <c r="B210" s="1" t="n">
        <v>44546</v>
      </c>
      <c r="C210" s="1" t="n">
        <v>45646</v>
      </c>
      <c r="D210" t="inlineStr">
        <is>
          <t>NORRBOTTENS LÄN</t>
        </is>
      </c>
      <c r="E210" t="inlineStr">
        <is>
          <t>ÖVERKALIX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72601-2021</t>
        </is>
      </c>
      <c r="B211" s="1" t="n">
        <v>44546</v>
      </c>
      <c r="C211" s="1" t="n">
        <v>45646</v>
      </c>
      <c r="D211" t="inlineStr">
        <is>
          <t>NORRBOTTENS LÄN</t>
        </is>
      </c>
      <c r="E211" t="inlineStr">
        <is>
          <t>ÖVERKALIX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72616-2021</t>
        </is>
      </c>
      <c r="B212" s="1" t="n">
        <v>44546</v>
      </c>
      <c r="C212" s="1" t="n">
        <v>45646</v>
      </c>
      <c r="D212" t="inlineStr">
        <is>
          <t>NORRBOTTENS LÄN</t>
        </is>
      </c>
      <c r="E212" t="inlineStr">
        <is>
          <t>ÖVERKALIX</t>
        </is>
      </c>
      <c r="G212" t="n">
        <v>26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72623-2021</t>
        </is>
      </c>
      <c r="B213" s="1" t="n">
        <v>44546</v>
      </c>
      <c r="C213" s="1" t="n">
        <v>45646</v>
      </c>
      <c r="D213" t="inlineStr">
        <is>
          <t>NORRBOTTENS LÄN</t>
        </is>
      </c>
      <c r="E213" t="inlineStr">
        <is>
          <t>ÖVERKALIX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72809-2021</t>
        </is>
      </c>
      <c r="B214" s="1" t="n">
        <v>44546</v>
      </c>
      <c r="C214" s="1" t="n">
        <v>45646</v>
      </c>
      <c r="D214" t="inlineStr">
        <is>
          <t>NORRBOTTENS LÄN</t>
        </is>
      </c>
      <c r="E214" t="inlineStr">
        <is>
          <t>ÖVERKALIX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72877-2021</t>
        </is>
      </c>
      <c r="B215" s="1" t="n">
        <v>44547</v>
      </c>
      <c r="C215" s="1" t="n">
        <v>45646</v>
      </c>
      <c r="D215" t="inlineStr">
        <is>
          <t>NORRBOTTENS LÄN</t>
        </is>
      </c>
      <c r="E215" t="inlineStr">
        <is>
          <t>ÖVERKALIX</t>
        </is>
      </c>
      <c r="G215" t="n">
        <v>14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73216-2021</t>
        </is>
      </c>
      <c r="B216" s="1" t="n">
        <v>44547</v>
      </c>
      <c r="C216" s="1" t="n">
        <v>45646</v>
      </c>
      <c r="D216" t="inlineStr">
        <is>
          <t>NORRBOTTENS LÄN</t>
        </is>
      </c>
      <c r="E216" t="inlineStr">
        <is>
          <t>ÖVERKALIX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73221-2021</t>
        </is>
      </c>
      <c r="B217" s="1" t="n">
        <v>44547</v>
      </c>
      <c r="C217" s="1" t="n">
        <v>45646</v>
      </c>
      <c r="D217" t="inlineStr">
        <is>
          <t>NORRBOTTENS LÄN</t>
        </is>
      </c>
      <c r="E217" t="inlineStr">
        <is>
          <t>ÖVERKALIX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73348-2021</t>
        </is>
      </c>
      <c r="B218" s="1" t="n">
        <v>44550</v>
      </c>
      <c r="C218" s="1" t="n">
        <v>45646</v>
      </c>
      <c r="D218" t="inlineStr">
        <is>
          <t>NORRBOTTENS LÄN</t>
        </is>
      </c>
      <c r="E218" t="inlineStr">
        <is>
          <t>ÖVERKALIX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73757-2021</t>
        </is>
      </c>
      <c r="B219" s="1" t="n">
        <v>44551</v>
      </c>
      <c r="C219" s="1" t="n">
        <v>45646</v>
      </c>
      <c r="D219" t="inlineStr">
        <is>
          <t>NORRBOTTENS LÄN</t>
        </is>
      </c>
      <c r="E219" t="inlineStr">
        <is>
          <t>ÖVERKALIX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73759-2021</t>
        </is>
      </c>
      <c r="B220" s="1" t="n">
        <v>44551</v>
      </c>
      <c r="C220" s="1" t="n">
        <v>45646</v>
      </c>
      <c r="D220" t="inlineStr">
        <is>
          <t>NORRBOTTENS LÄN</t>
        </is>
      </c>
      <c r="E220" t="inlineStr">
        <is>
          <t>ÖVERKALIX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1525-2022</t>
        </is>
      </c>
      <c r="B221" s="1" t="n">
        <v>44573</v>
      </c>
      <c r="C221" s="1" t="n">
        <v>45646</v>
      </c>
      <c r="D221" t="inlineStr">
        <is>
          <t>NORRBOTTENS LÄN</t>
        </is>
      </c>
      <c r="E221" t="inlineStr">
        <is>
          <t>ÖVERKALIX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1944-2022</t>
        </is>
      </c>
      <c r="B222" s="1" t="n">
        <v>44575</v>
      </c>
      <c r="C222" s="1" t="n">
        <v>45646</v>
      </c>
      <c r="D222" t="inlineStr">
        <is>
          <t>NORRBOTTENS LÄN</t>
        </is>
      </c>
      <c r="E222" t="inlineStr">
        <is>
          <t>ÖVERKALIX</t>
        </is>
      </c>
      <c r="G222" t="n">
        <v>10.4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3174-2022</t>
        </is>
      </c>
      <c r="B223" s="1" t="n">
        <v>44582</v>
      </c>
      <c r="C223" s="1" t="n">
        <v>45646</v>
      </c>
      <c r="D223" t="inlineStr">
        <is>
          <t>NORRBOTTENS LÄN</t>
        </is>
      </c>
      <c r="E223" t="inlineStr">
        <is>
          <t>ÖVERKALIX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3233-2022</t>
        </is>
      </c>
      <c r="B224" s="1" t="n">
        <v>44582</v>
      </c>
      <c r="C224" s="1" t="n">
        <v>45646</v>
      </c>
      <c r="D224" t="inlineStr">
        <is>
          <t>NORRBOTTENS LÄN</t>
        </is>
      </c>
      <c r="E224" t="inlineStr">
        <is>
          <t>ÖVERKALIX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5646-2022</t>
        </is>
      </c>
      <c r="B225" s="1" t="n">
        <v>44595</v>
      </c>
      <c r="C225" s="1" t="n">
        <v>45646</v>
      </c>
      <c r="D225" t="inlineStr">
        <is>
          <t>NORRBOTTENS LÄN</t>
        </is>
      </c>
      <c r="E225" t="inlineStr">
        <is>
          <t>ÖVERKALIX</t>
        </is>
      </c>
      <c r="G225" t="n">
        <v>24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5653-2022</t>
        </is>
      </c>
      <c r="B226" s="1" t="n">
        <v>44595</v>
      </c>
      <c r="C226" s="1" t="n">
        <v>45646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6514-2022</t>
        </is>
      </c>
      <c r="B227" s="1" t="n">
        <v>44601</v>
      </c>
      <c r="C227" s="1" t="n">
        <v>45646</v>
      </c>
      <c r="D227" t="inlineStr">
        <is>
          <t>NORRBOTTENS LÄN</t>
        </is>
      </c>
      <c r="E227" t="inlineStr">
        <is>
          <t>ÖVERKALIX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6641-2022</t>
        </is>
      </c>
      <c r="B228" s="1" t="n">
        <v>44601</v>
      </c>
      <c r="C228" s="1" t="n">
        <v>45646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6907-2022</t>
        </is>
      </c>
      <c r="B229" s="1" t="n">
        <v>44602</v>
      </c>
      <c r="C229" s="1" t="n">
        <v>45646</v>
      </c>
      <c r="D229" t="inlineStr">
        <is>
          <t>NORRBOTTENS LÄN</t>
        </is>
      </c>
      <c r="E229" t="inlineStr">
        <is>
          <t>ÖVERKALIX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6916-2022</t>
        </is>
      </c>
      <c r="B230" s="1" t="n">
        <v>44602</v>
      </c>
      <c r="C230" s="1" t="n">
        <v>45646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15.6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7039-2022</t>
        </is>
      </c>
      <c r="B231" s="1" t="n">
        <v>44603</v>
      </c>
      <c r="C231" s="1" t="n">
        <v>45646</v>
      </c>
      <c r="D231" t="inlineStr">
        <is>
          <t>NORRBOTTENS LÄN</t>
        </is>
      </c>
      <c r="E231" t="inlineStr">
        <is>
          <t>ÖVERKALIX</t>
        </is>
      </c>
      <c r="F231" t="inlineStr">
        <is>
          <t>Övriga statliga verk och myndigheter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7677-2022</t>
        </is>
      </c>
      <c r="B232" s="1" t="n">
        <v>44607</v>
      </c>
      <c r="C232" s="1" t="n">
        <v>45646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7692-2022</t>
        </is>
      </c>
      <c r="B233" s="1" t="n">
        <v>44607</v>
      </c>
      <c r="C233" s="1" t="n">
        <v>45646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7949-2022</t>
        </is>
      </c>
      <c r="B234" s="1" t="n">
        <v>44608</v>
      </c>
      <c r="C234" s="1" t="n">
        <v>45646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8727-2022</t>
        </is>
      </c>
      <c r="B235" s="1" t="n">
        <v>44613</v>
      </c>
      <c r="C235" s="1" t="n">
        <v>45646</v>
      </c>
      <c r="D235" t="inlineStr">
        <is>
          <t>NORRBOTTENS LÄN</t>
        </is>
      </c>
      <c r="E235" t="inlineStr">
        <is>
          <t>ÖVERKALIX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10553-2022</t>
        </is>
      </c>
      <c r="B236" s="1" t="n">
        <v>44623</v>
      </c>
      <c r="C236" s="1" t="n">
        <v>45646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10930-2022</t>
        </is>
      </c>
      <c r="B237" s="1" t="n">
        <v>44627</v>
      </c>
      <c r="C237" s="1" t="n">
        <v>45646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13463-2022</t>
        </is>
      </c>
      <c r="B238" s="1" t="n">
        <v>44645</v>
      </c>
      <c r="C238" s="1" t="n">
        <v>45646</v>
      </c>
      <c r="D238" t="inlineStr">
        <is>
          <t>NORRBOTTENS LÄN</t>
        </is>
      </c>
      <c r="E238" t="inlineStr">
        <is>
          <t>ÖVERKALIX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13465-2022</t>
        </is>
      </c>
      <c r="B239" s="1" t="n">
        <v>44645</v>
      </c>
      <c r="C239" s="1" t="n">
        <v>45646</v>
      </c>
      <c r="D239" t="inlineStr">
        <is>
          <t>NORRBOTTENS LÄN</t>
        </is>
      </c>
      <c r="E239" t="inlineStr">
        <is>
          <t>ÖVERKALIX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13717-2022</t>
        </is>
      </c>
      <c r="B240" s="1" t="n">
        <v>44648</v>
      </c>
      <c r="C240" s="1" t="n">
        <v>45646</v>
      </c>
      <c r="D240" t="inlineStr">
        <is>
          <t>NORRBOTTENS LÄN</t>
        </is>
      </c>
      <c r="E240" t="inlineStr">
        <is>
          <t>ÖVERKALIX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14685-2022</t>
        </is>
      </c>
      <c r="B241" s="1" t="n">
        <v>44656</v>
      </c>
      <c r="C241" s="1" t="n">
        <v>45646</v>
      </c>
      <c r="D241" t="inlineStr">
        <is>
          <t>NORRBOTTENS LÄN</t>
        </is>
      </c>
      <c r="E241" t="inlineStr">
        <is>
          <t>ÖVERKALIX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15133-2022</t>
        </is>
      </c>
      <c r="B242" s="1" t="n">
        <v>44658</v>
      </c>
      <c r="C242" s="1" t="n">
        <v>45646</v>
      </c>
      <c r="D242" t="inlineStr">
        <is>
          <t>NORRBOTTENS LÄN</t>
        </is>
      </c>
      <c r="E242" t="inlineStr">
        <is>
          <t>ÖVERKALIX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15301-2022</t>
        </is>
      </c>
      <c r="B243" s="1" t="n">
        <v>44659</v>
      </c>
      <c r="C243" s="1" t="n">
        <v>45646</v>
      </c>
      <c r="D243" t="inlineStr">
        <is>
          <t>NORRBOTTENS LÄN</t>
        </is>
      </c>
      <c r="E243" t="inlineStr">
        <is>
          <t>ÖVERKALIX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15926-2022</t>
        </is>
      </c>
      <c r="B244" s="1" t="n">
        <v>44664</v>
      </c>
      <c r="C244" s="1" t="n">
        <v>45646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17850-2022</t>
        </is>
      </c>
      <c r="B245" s="1" t="n">
        <v>44683</v>
      </c>
      <c r="C245" s="1" t="n">
        <v>45646</v>
      </c>
      <c r="D245" t="inlineStr">
        <is>
          <t>NORRBOTTENS LÄN</t>
        </is>
      </c>
      <c r="E245" t="inlineStr">
        <is>
          <t>ÖVERKALIX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20242-2022</t>
        </is>
      </c>
      <c r="B246" s="1" t="n">
        <v>44698</v>
      </c>
      <c r="C246" s="1" t="n">
        <v>45646</v>
      </c>
      <c r="D246" t="inlineStr">
        <is>
          <t>NORRBOTTENS LÄN</t>
        </is>
      </c>
      <c r="E246" t="inlineStr">
        <is>
          <t>ÖVERKALIX</t>
        </is>
      </c>
      <c r="G246" t="n">
        <v>8.9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20335-2022</t>
        </is>
      </c>
      <c r="B247" s="1" t="n">
        <v>44698</v>
      </c>
      <c r="C247" s="1" t="n">
        <v>45646</v>
      </c>
      <c r="D247" t="inlineStr">
        <is>
          <t>NORRBOTTENS LÄN</t>
        </is>
      </c>
      <c r="E247" t="inlineStr">
        <is>
          <t>ÖVERKALIX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21847-2022</t>
        </is>
      </c>
      <c r="B248" s="1" t="n">
        <v>44711</v>
      </c>
      <c r="C248" s="1" t="n">
        <v>45646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22977-2022</t>
        </is>
      </c>
      <c r="B249" s="1" t="n">
        <v>44717</v>
      </c>
      <c r="C249" s="1" t="n">
        <v>45646</v>
      </c>
      <c r="D249" t="inlineStr">
        <is>
          <t>NORRBOTTENS LÄN</t>
        </is>
      </c>
      <c r="E249" t="inlineStr">
        <is>
          <t>ÖVERKALIX</t>
        </is>
      </c>
      <c r="G249" t="n">
        <v>19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22976-2022</t>
        </is>
      </c>
      <c r="B250" s="1" t="n">
        <v>44717</v>
      </c>
      <c r="C250" s="1" t="n">
        <v>45646</v>
      </c>
      <c r="D250" t="inlineStr">
        <is>
          <t>NORRBOTTENS LÄN</t>
        </is>
      </c>
      <c r="E250" t="inlineStr">
        <is>
          <t>ÖVERKALIX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22988-2022</t>
        </is>
      </c>
      <c r="B251" s="1" t="n">
        <v>44718</v>
      </c>
      <c r="C251" s="1" t="n">
        <v>45646</v>
      </c>
      <c r="D251" t="inlineStr">
        <is>
          <t>NORRBOTTENS LÄN</t>
        </is>
      </c>
      <c r="E251" t="inlineStr">
        <is>
          <t>ÖVERKALIX</t>
        </is>
      </c>
      <c r="G251" t="n">
        <v>13.2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24866-2022</t>
        </is>
      </c>
      <c r="B252" s="1" t="n">
        <v>44728</v>
      </c>
      <c r="C252" s="1" t="n">
        <v>45646</v>
      </c>
      <c r="D252" t="inlineStr">
        <is>
          <t>NORRBOTTENS LÄN</t>
        </is>
      </c>
      <c r="E252" t="inlineStr">
        <is>
          <t>ÖVERKALIX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27225-2022</t>
        </is>
      </c>
      <c r="B253" s="1" t="n">
        <v>44741</v>
      </c>
      <c r="C253" s="1" t="n">
        <v>45646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27230-2022</t>
        </is>
      </c>
      <c r="B254" s="1" t="n">
        <v>44741</v>
      </c>
      <c r="C254" s="1" t="n">
        <v>45646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28225-2022</t>
        </is>
      </c>
      <c r="B255" s="1" t="n">
        <v>44746</v>
      </c>
      <c r="C255" s="1" t="n">
        <v>45646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29712-2022</t>
        </is>
      </c>
      <c r="B256" s="1" t="n">
        <v>44755</v>
      </c>
      <c r="C256" s="1" t="n">
        <v>45646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29706-2022</t>
        </is>
      </c>
      <c r="B257" s="1" t="n">
        <v>44755</v>
      </c>
      <c r="C257" s="1" t="n">
        <v>45646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  <c r="U257">
        <f>HYPERLINK("https://klasma.github.io/Logging_2513/knärot/A 29706-2022 karta knärot.png", "A 29706-2022")</f>
        <v/>
      </c>
      <c r="V257">
        <f>HYPERLINK("https://klasma.github.io/Logging_2513/klagomål/A 29706-2022 FSC-klagomål.docx", "A 29706-2022")</f>
        <v/>
      </c>
      <c r="W257">
        <f>HYPERLINK("https://klasma.github.io/Logging_2513/klagomålsmail/A 29706-2022 FSC-klagomål mail.docx", "A 29706-2022")</f>
        <v/>
      </c>
      <c r="X257">
        <f>HYPERLINK("https://klasma.github.io/Logging_2513/tillsyn/A 29706-2022 tillsynsbegäran.docx", "A 29706-2022")</f>
        <v/>
      </c>
      <c r="Y257">
        <f>HYPERLINK("https://klasma.github.io/Logging_2513/tillsynsmail/A 29706-2022 tillsynsbegäran mail.docx", "A 29706-2022")</f>
        <v/>
      </c>
    </row>
    <row r="258" ht="15" customHeight="1">
      <c r="A258" t="inlineStr">
        <is>
          <t>A 29709-2022</t>
        </is>
      </c>
      <c r="B258" s="1" t="n">
        <v>44755</v>
      </c>
      <c r="C258" s="1" t="n">
        <v>45646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31456-2022</t>
        </is>
      </c>
      <c r="B259" s="1" t="n">
        <v>44775</v>
      </c>
      <c r="C259" s="1" t="n">
        <v>45646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32091-2022</t>
        </is>
      </c>
      <c r="B260" s="1" t="n">
        <v>44778</v>
      </c>
      <c r="C260" s="1" t="n">
        <v>45646</v>
      </c>
      <c r="D260" t="inlineStr">
        <is>
          <t>NORRBOTTENS LÄN</t>
        </is>
      </c>
      <c r="E260" t="inlineStr">
        <is>
          <t>ÖVERKALIX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32724-2022</t>
        </is>
      </c>
      <c r="B261" s="1" t="n">
        <v>44783</v>
      </c>
      <c r="C261" s="1" t="n">
        <v>45646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33100-2022</t>
        </is>
      </c>
      <c r="B262" s="1" t="n">
        <v>44785</v>
      </c>
      <c r="C262" s="1" t="n">
        <v>45646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33497-2022</t>
        </is>
      </c>
      <c r="B263" s="1" t="n">
        <v>44789</v>
      </c>
      <c r="C263" s="1" t="n">
        <v>45646</v>
      </c>
      <c r="D263" t="inlineStr">
        <is>
          <t>NORRBOTTENS LÄN</t>
        </is>
      </c>
      <c r="E263" t="inlineStr">
        <is>
          <t>ÖVERKALIX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34261-2022</t>
        </is>
      </c>
      <c r="B264" s="1" t="n">
        <v>44791</v>
      </c>
      <c r="C264" s="1" t="n">
        <v>45646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34713-2022</t>
        </is>
      </c>
      <c r="B265" s="1" t="n">
        <v>44795</v>
      </c>
      <c r="C265" s="1" t="n">
        <v>45646</v>
      </c>
      <c r="D265" t="inlineStr">
        <is>
          <t>NORRBOTTENS LÄN</t>
        </is>
      </c>
      <c r="E265" t="inlineStr">
        <is>
          <t>ÖVERKALIX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34801-2022</t>
        </is>
      </c>
      <c r="B266" s="1" t="n">
        <v>44796</v>
      </c>
      <c r="C266" s="1" t="n">
        <v>45646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9.5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34802-2022</t>
        </is>
      </c>
      <c r="B267" s="1" t="n">
        <v>44796</v>
      </c>
      <c r="C267" s="1" t="n">
        <v>45646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35169-2022</t>
        </is>
      </c>
      <c r="B268" s="1" t="n">
        <v>44797</v>
      </c>
      <c r="C268" s="1" t="n">
        <v>45646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35170-2022</t>
        </is>
      </c>
      <c r="B269" s="1" t="n">
        <v>44797</v>
      </c>
      <c r="C269" s="1" t="n">
        <v>45646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35167-2022</t>
        </is>
      </c>
      <c r="B270" s="1" t="n">
        <v>44797</v>
      </c>
      <c r="C270" s="1" t="n">
        <v>45646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35414-2022</t>
        </is>
      </c>
      <c r="B271" s="1" t="n">
        <v>44798</v>
      </c>
      <c r="C271" s="1" t="n">
        <v>45646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35420-2022</t>
        </is>
      </c>
      <c r="B272" s="1" t="n">
        <v>44798</v>
      </c>
      <c r="C272" s="1" t="n">
        <v>45646</v>
      </c>
      <c r="D272" t="inlineStr">
        <is>
          <t>NORRBOTTENS LÄN</t>
        </is>
      </c>
      <c r="E272" t="inlineStr">
        <is>
          <t>ÖVERKALIX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37236-2022</t>
        </is>
      </c>
      <c r="B273" s="1" t="n">
        <v>44806</v>
      </c>
      <c r="C273" s="1" t="n">
        <v>45646</v>
      </c>
      <c r="D273" t="inlineStr">
        <is>
          <t>NORRBOTTENS LÄN</t>
        </is>
      </c>
      <c r="E273" t="inlineStr">
        <is>
          <t>ÖVERKALIX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38667-2022</t>
        </is>
      </c>
      <c r="B274" s="1" t="n">
        <v>44814</v>
      </c>
      <c r="C274" s="1" t="n">
        <v>45646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19.3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39405-2022</t>
        </is>
      </c>
      <c r="B275" s="1" t="n">
        <v>44817</v>
      </c>
      <c r="C275" s="1" t="n">
        <v>45646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39403-2022</t>
        </is>
      </c>
      <c r="B276" s="1" t="n">
        <v>44817</v>
      </c>
      <c r="C276" s="1" t="n">
        <v>45646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16.6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39938-2022</t>
        </is>
      </c>
      <c r="B277" s="1" t="n">
        <v>44820</v>
      </c>
      <c r="C277" s="1" t="n">
        <v>45646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39927-2022</t>
        </is>
      </c>
      <c r="B278" s="1" t="n">
        <v>44820</v>
      </c>
      <c r="C278" s="1" t="n">
        <v>45646</v>
      </c>
      <c r="D278" t="inlineStr">
        <is>
          <t>NORRBOTTENS LÄN</t>
        </is>
      </c>
      <c r="E278" t="inlineStr">
        <is>
          <t>ÖVERKALIX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40260-2022</t>
        </is>
      </c>
      <c r="B279" s="1" t="n">
        <v>44820</v>
      </c>
      <c r="C279" s="1" t="n">
        <v>45646</v>
      </c>
      <c r="D279" t="inlineStr">
        <is>
          <t>NORRBOTTENS LÄN</t>
        </is>
      </c>
      <c r="E279" t="inlineStr">
        <is>
          <t>ÖVERKALIX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40281-2022</t>
        </is>
      </c>
      <c r="B280" s="1" t="n">
        <v>44821</v>
      </c>
      <c r="C280" s="1" t="n">
        <v>45646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40619-2022</t>
        </is>
      </c>
      <c r="B281" s="1" t="n">
        <v>44824</v>
      </c>
      <c r="C281" s="1" t="n">
        <v>45646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42407-2022</t>
        </is>
      </c>
      <c r="B282" s="1" t="n">
        <v>44830</v>
      </c>
      <c r="C282" s="1" t="n">
        <v>45646</v>
      </c>
      <c r="D282" t="inlineStr">
        <is>
          <t>NORRBOTTENS LÄN</t>
        </is>
      </c>
      <c r="E282" t="inlineStr">
        <is>
          <t>ÖVERKALIX</t>
        </is>
      </c>
      <c r="G282" t="n">
        <v>9.1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43042-2022</t>
        </is>
      </c>
      <c r="B283" s="1" t="n">
        <v>44833</v>
      </c>
      <c r="C283" s="1" t="n">
        <v>45646</v>
      </c>
      <c r="D283" t="inlineStr">
        <is>
          <t>NORRBOTTENS LÄN</t>
        </is>
      </c>
      <c r="E283" t="inlineStr">
        <is>
          <t>ÖVERKALIX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43314-2022</t>
        </is>
      </c>
      <c r="B284" s="1" t="n">
        <v>44834</v>
      </c>
      <c r="C284" s="1" t="n">
        <v>45646</v>
      </c>
      <c r="D284" t="inlineStr">
        <is>
          <t>NORRBOTTENS LÄN</t>
        </is>
      </c>
      <c r="E284" t="inlineStr">
        <is>
          <t>ÖVERKALIX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43327-2022</t>
        </is>
      </c>
      <c r="B285" s="1" t="n">
        <v>44834</v>
      </c>
      <c r="C285" s="1" t="n">
        <v>45646</v>
      </c>
      <c r="D285" t="inlineStr">
        <is>
          <t>NORRBOTTENS LÄN</t>
        </is>
      </c>
      <c r="E285" t="inlineStr">
        <is>
          <t>ÖVERKALIX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45281-2022</t>
        </is>
      </c>
      <c r="B286" s="1" t="n">
        <v>44844</v>
      </c>
      <c r="C286" s="1" t="n">
        <v>45646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46347-2022</t>
        </is>
      </c>
      <c r="B287" s="1" t="n">
        <v>44847</v>
      </c>
      <c r="C287" s="1" t="n">
        <v>45646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46622-2022</t>
        </is>
      </c>
      <c r="B288" s="1" t="n">
        <v>44849</v>
      </c>
      <c r="C288" s="1" t="n">
        <v>45646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48501-2022</t>
        </is>
      </c>
      <c r="B289" s="1" t="n">
        <v>44859</v>
      </c>
      <c r="C289" s="1" t="n">
        <v>45646</v>
      </c>
      <c r="D289" t="inlineStr">
        <is>
          <t>NORRBOTTENS LÄN</t>
        </is>
      </c>
      <c r="E289" t="inlineStr">
        <is>
          <t>ÖVERKALIX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49843-2022</t>
        </is>
      </c>
      <c r="B290" s="1" t="n">
        <v>44862</v>
      </c>
      <c r="C290" s="1" t="n">
        <v>45646</v>
      </c>
      <c r="D290" t="inlineStr">
        <is>
          <t>NORRBOTTENS LÄN</t>
        </is>
      </c>
      <c r="E290" t="inlineStr">
        <is>
          <t>ÖVERKALIX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50238-2022</t>
        </is>
      </c>
      <c r="B291" s="1" t="n">
        <v>44865</v>
      </c>
      <c r="C291" s="1" t="n">
        <v>45646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52026-2022</t>
        </is>
      </c>
      <c r="B292" s="1" t="n">
        <v>44872</v>
      </c>
      <c r="C292" s="1" t="n">
        <v>45646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52027-2022</t>
        </is>
      </c>
      <c r="B293" s="1" t="n">
        <v>44872</v>
      </c>
      <c r="C293" s="1" t="n">
        <v>45646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52993-2022</t>
        </is>
      </c>
      <c r="B294" s="1" t="n">
        <v>44875</v>
      </c>
      <c r="C294" s="1" t="n">
        <v>45646</v>
      </c>
      <c r="D294" t="inlineStr">
        <is>
          <t>NORRBOTTENS LÄN</t>
        </is>
      </c>
      <c r="E294" t="inlineStr">
        <is>
          <t>ÖVERKALIX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54414-2022</t>
        </is>
      </c>
      <c r="B295" s="1" t="n">
        <v>44879</v>
      </c>
      <c r="C295" s="1" t="n">
        <v>45646</v>
      </c>
      <c r="D295" t="inlineStr">
        <is>
          <t>NORRBOTTENS LÄN</t>
        </is>
      </c>
      <c r="E295" t="inlineStr">
        <is>
          <t>ÖVERKALIX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54380-2022</t>
        </is>
      </c>
      <c r="B296" s="1" t="n">
        <v>44879</v>
      </c>
      <c r="C296" s="1" t="n">
        <v>45646</v>
      </c>
      <c r="D296" t="inlineStr">
        <is>
          <t>NORRBOTTENS LÄN</t>
        </is>
      </c>
      <c r="E296" t="inlineStr">
        <is>
          <t>ÖVERKALIX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53732-2022</t>
        </is>
      </c>
      <c r="B297" s="1" t="n">
        <v>44880</v>
      </c>
      <c r="C297" s="1" t="n">
        <v>45646</v>
      </c>
      <c r="D297" t="inlineStr">
        <is>
          <t>NORRBOTTENS LÄN</t>
        </is>
      </c>
      <c r="E297" t="inlineStr">
        <is>
          <t>ÖVERKALIX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55687-2022</t>
        </is>
      </c>
      <c r="B298" s="1" t="n">
        <v>44883</v>
      </c>
      <c r="C298" s="1" t="n">
        <v>45646</v>
      </c>
      <c r="D298" t="inlineStr">
        <is>
          <t>NORRBOTTENS LÄN</t>
        </is>
      </c>
      <c r="E298" t="inlineStr">
        <is>
          <t>ÖVERKALIX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55684-2022</t>
        </is>
      </c>
      <c r="B299" s="1" t="n">
        <v>44883</v>
      </c>
      <c r="C299" s="1" t="n">
        <v>45646</v>
      </c>
      <c r="D299" t="inlineStr">
        <is>
          <t>NORRBOTTENS LÄN</t>
        </is>
      </c>
      <c r="E299" t="inlineStr">
        <is>
          <t>ÖVERKALIX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55203-2022</t>
        </is>
      </c>
      <c r="B300" s="1" t="n">
        <v>44886</v>
      </c>
      <c r="C300" s="1" t="n">
        <v>45646</v>
      </c>
      <c r="D300" t="inlineStr">
        <is>
          <t>NORRBOTTENS LÄN</t>
        </is>
      </c>
      <c r="E300" t="inlineStr">
        <is>
          <t>ÖVERKALIX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55772-2022</t>
        </is>
      </c>
      <c r="B301" s="1" t="n">
        <v>44886</v>
      </c>
      <c r="C301" s="1" t="n">
        <v>45646</v>
      </c>
      <c r="D301" t="inlineStr">
        <is>
          <t>NORRBOTTENS LÄN</t>
        </is>
      </c>
      <c r="E301" t="inlineStr">
        <is>
          <t>ÖVERKALIX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55761-2022</t>
        </is>
      </c>
      <c r="B302" s="1" t="n">
        <v>44886</v>
      </c>
      <c r="C302" s="1" t="n">
        <v>45646</v>
      </c>
      <c r="D302" t="inlineStr">
        <is>
          <t>NORRBOTTENS LÄN</t>
        </is>
      </c>
      <c r="E302" t="inlineStr">
        <is>
          <t>ÖVERKALIX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57688-2022</t>
        </is>
      </c>
      <c r="B303" s="1" t="n">
        <v>44886</v>
      </c>
      <c r="C303" s="1" t="n">
        <v>45646</v>
      </c>
      <c r="D303" t="inlineStr">
        <is>
          <t>NORRBOTTENS LÄN</t>
        </is>
      </c>
      <c r="E303" t="inlineStr">
        <is>
          <t>ÖVERKALIX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56402-2022</t>
        </is>
      </c>
      <c r="B304" s="1" t="n">
        <v>44890</v>
      </c>
      <c r="C304" s="1" t="n">
        <v>45646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56416-2022</t>
        </is>
      </c>
      <c r="B305" s="1" t="n">
        <v>44890</v>
      </c>
      <c r="C305" s="1" t="n">
        <v>45646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56985-2022</t>
        </is>
      </c>
      <c r="B306" s="1" t="n">
        <v>44894</v>
      </c>
      <c r="C306" s="1" t="n">
        <v>45646</v>
      </c>
      <c r="D306" t="inlineStr">
        <is>
          <t>NORRBOTTENS LÄN</t>
        </is>
      </c>
      <c r="E306" t="inlineStr">
        <is>
          <t>ÖVERKALIX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56983-2022</t>
        </is>
      </c>
      <c r="B307" s="1" t="n">
        <v>44894</v>
      </c>
      <c r="C307" s="1" t="n">
        <v>45646</v>
      </c>
      <c r="D307" t="inlineStr">
        <is>
          <t>NORRBOTTENS LÄN</t>
        </is>
      </c>
      <c r="E307" t="inlineStr">
        <is>
          <t>ÖVERKALIX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57836-2022</t>
        </is>
      </c>
      <c r="B308" s="1" t="n">
        <v>44897</v>
      </c>
      <c r="C308" s="1" t="n">
        <v>45646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59310-2022</t>
        </is>
      </c>
      <c r="B309" s="1" t="n">
        <v>44897</v>
      </c>
      <c r="C309" s="1" t="n">
        <v>45646</v>
      </c>
      <c r="D309" t="inlineStr">
        <is>
          <t>NORRBOTTENS LÄN</t>
        </is>
      </c>
      <c r="E309" t="inlineStr">
        <is>
          <t>ÖVERKALIX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57870-2022</t>
        </is>
      </c>
      <c r="B310" s="1" t="n">
        <v>44899</v>
      </c>
      <c r="C310" s="1" t="n">
        <v>45646</v>
      </c>
      <c r="D310" t="inlineStr">
        <is>
          <t>NORRBOTTENS LÄN</t>
        </is>
      </c>
      <c r="E310" t="inlineStr">
        <is>
          <t>ÖVERKALIX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57884-2022</t>
        </is>
      </c>
      <c r="B311" s="1" t="n">
        <v>44899</v>
      </c>
      <c r="C311" s="1" t="n">
        <v>45646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11.8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58319-2022</t>
        </is>
      </c>
      <c r="B312" s="1" t="n">
        <v>44901</v>
      </c>
      <c r="C312" s="1" t="n">
        <v>45646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59907-2022</t>
        </is>
      </c>
      <c r="B313" s="1" t="n">
        <v>44908</v>
      </c>
      <c r="C313" s="1" t="n">
        <v>45646</v>
      </c>
      <c r="D313" t="inlineStr">
        <is>
          <t>NORRBOTTENS LÄN</t>
        </is>
      </c>
      <c r="E313" t="inlineStr">
        <is>
          <t>ÖVERKALIX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60400-2022</t>
        </is>
      </c>
      <c r="B314" s="1" t="n">
        <v>44910</v>
      </c>
      <c r="C314" s="1" t="n">
        <v>45646</v>
      </c>
      <c r="D314" t="inlineStr">
        <is>
          <t>NORRBOTTENS LÄN</t>
        </is>
      </c>
      <c r="E314" t="inlineStr">
        <is>
          <t>ÖVERKALIX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60725-2022</t>
        </is>
      </c>
      <c r="B315" s="1" t="n">
        <v>44913</v>
      </c>
      <c r="C315" s="1" t="n">
        <v>45646</v>
      </c>
      <c r="D315" t="inlineStr">
        <is>
          <t>NORRBOTTENS LÄN</t>
        </is>
      </c>
      <c r="E315" t="inlineStr">
        <is>
          <t>ÖVERKALIX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62646-2022</t>
        </is>
      </c>
      <c r="B316" s="1" t="n">
        <v>44925</v>
      </c>
      <c r="C316" s="1" t="n">
        <v>45646</v>
      </c>
      <c r="D316" t="inlineStr">
        <is>
          <t>NORRBOTTENS LÄN</t>
        </is>
      </c>
      <c r="E316" t="inlineStr">
        <is>
          <t>ÖVERKALIX</t>
        </is>
      </c>
      <c r="F316" t="inlineStr">
        <is>
          <t>Kyrkan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62626-2022</t>
        </is>
      </c>
      <c r="B317" s="1" t="n">
        <v>44925</v>
      </c>
      <c r="C317" s="1" t="n">
        <v>45646</v>
      </c>
      <c r="D317" t="inlineStr">
        <is>
          <t>NORRBOTTENS LÄN</t>
        </is>
      </c>
      <c r="E317" t="inlineStr">
        <is>
          <t>ÖVERKALIX</t>
        </is>
      </c>
      <c r="F317" t="inlineStr">
        <is>
          <t>Kyrkan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550-2023</t>
        </is>
      </c>
      <c r="B318" s="1" t="n">
        <v>44930</v>
      </c>
      <c r="C318" s="1" t="n">
        <v>45646</v>
      </c>
      <c r="D318" t="inlineStr">
        <is>
          <t>NORRBOTTENS LÄN</t>
        </is>
      </c>
      <c r="E318" t="inlineStr">
        <is>
          <t>ÖVERKALIX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1867-2023</t>
        </is>
      </c>
      <c r="B319" s="1" t="n">
        <v>44938</v>
      </c>
      <c r="C319" s="1" t="n">
        <v>45646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3695-2023</t>
        </is>
      </c>
      <c r="B320" s="1" t="n">
        <v>44950</v>
      </c>
      <c r="C320" s="1" t="n">
        <v>45646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3694-2023</t>
        </is>
      </c>
      <c r="B321" s="1" t="n">
        <v>44950</v>
      </c>
      <c r="C321" s="1" t="n">
        <v>45646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5157-2023</t>
        </is>
      </c>
      <c r="B322" s="1" t="n">
        <v>44958</v>
      </c>
      <c r="C322" s="1" t="n">
        <v>45646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5453-2023</t>
        </is>
      </c>
      <c r="B323" s="1" t="n">
        <v>44959</v>
      </c>
      <c r="C323" s="1" t="n">
        <v>45646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5705-2023</t>
        </is>
      </c>
      <c r="B324" s="1" t="n">
        <v>44960</v>
      </c>
      <c r="C324" s="1" t="n">
        <v>45646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5703-2023</t>
        </is>
      </c>
      <c r="B325" s="1" t="n">
        <v>44960</v>
      </c>
      <c r="C325" s="1" t="n">
        <v>45646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6122-2023</t>
        </is>
      </c>
      <c r="B326" s="1" t="n">
        <v>44964</v>
      </c>
      <c r="C326" s="1" t="n">
        <v>45646</v>
      </c>
      <c r="D326" t="inlineStr">
        <is>
          <t>NORRBOTTENS LÄN</t>
        </is>
      </c>
      <c r="E326" t="inlineStr">
        <is>
          <t>ÖVERKALIX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6939-2023</t>
        </is>
      </c>
      <c r="B327" s="1" t="n">
        <v>44964</v>
      </c>
      <c r="C327" s="1" t="n">
        <v>45646</v>
      </c>
      <c r="D327" t="inlineStr">
        <is>
          <t>NORRBOTTENS LÄN</t>
        </is>
      </c>
      <c r="E327" t="inlineStr">
        <is>
          <t>ÖVERKALIX</t>
        </is>
      </c>
      <c r="G327" t="n">
        <v>16.6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6917-2023</t>
        </is>
      </c>
      <c r="B328" s="1" t="n">
        <v>44964</v>
      </c>
      <c r="C328" s="1" t="n">
        <v>45646</v>
      </c>
      <c r="D328" t="inlineStr">
        <is>
          <t>NORRBOTTENS LÄN</t>
        </is>
      </c>
      <c r="E328" t="inlineStr">
        <is>
          <t>ÖVERKALIX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6469-2023</t>
        </is>
      </c>
      <c r="B329" s="1" t="n">
        <v>44965</v>
      </c>
      <c r="C329" s="1" t="n">
        <v>45646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6591-2023</t>
        </is>
      </c>
      <c r="B330" s="1" t="n">
        <v>44966</v>
      </c>
      <c r="C330" s="1" t="n">
        <v>45646</v>
      </c>
      <c r="D330" t="inlineStr">
        <is>
          <t>NORRBOTTENS LÄN</t>
        </is>
      </c>
      <c r="E330" t="inlineStr">
        <is>
          <t>ÖVERKALIX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7448-2023</t>
        </is>
      </c>
      <c r="B331" s="1" t="n">
        <v>44966</v>
      </c>
      <c r="C331" s="1" t="n">
        <v>45646</v>
      </c>
      <c r="D331" t="inlineStr">
        <is>
          <t>NORRBOTTENS LÄN</t>
        </is>
      </c>
      <c r="E331" t="inlineStr">
        <is>
          <t>ÖVERKALIX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7477-2023</t>
        </is>
      </c>
      <c r="B332" s="1" t="n">
        <v>44966</v>
      </c>
      <c r="C332" s="1" t="n">
        <v>45646</v>
      </c>
      <c r="D332" t="inlineStr">
        <is>
          <t>NORRBOTTENS LÄN</t>
        </is>
      </c>
      <c r="E332" t="inlineStr">
        <is>
          <t>ÖVERKALIX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7234-2023</t>
        </is>
      </c>
      <c r="B333" s="1" t="n">
        <v>44970</v>
      </c>
      <c r="C333" s="1" t="n">
        <v>45646</v>
      </c>
      <c r="D333" t="inlineStr">
        <is>
          <t>NORRBOTTENS LÄN</t>
        </is>
      </c>
      <c r="E333" t="inlineStr">
        <is>
          <t>ÖVERKALIX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8026-2023</t>
        </is>
      </c>
      <c r="B334" s="1" t="n">
        <v>44973</v>
      </c>
      <c r="C334" s="1" t="n">
        <v>45646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10707-2023</t>
        </is>
      </c>
      <c r="B335" s="1" t="n">
        <v>44984</v>
      </c>
      <c r="C335" s="1" t="n">
        <v>45646</v>
      </c>
      <c r="D335" t="inlineStr">
        <is>
          <t>NORRBOTTENS LÄN</t>
        </is>
      </c>
      <c r="E335" t="inlineStr">
        <is>
          <t>ÖVERKALIX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10711-2023</t>
        </is>
      </c>
      <c r="B336" s="1" t="n">
        <v>44984</v>
      </c>
      <c r="C336" s="1" t="n">
        <v>45646</v>
      </c>
      <c r="D336" t="inlineStr">
        <is>
          <t>NORRBOTTENS LÄN</t>
        </is>
      </c>
      <c r="E336" t="inlineStr">
        <is>
          <t>ÖVERKALIX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10720-2023</t>
        </is>
      </c>
      <c r="B337" s="1" t="n">
        <v>44984</v>
      </c>
      <c r="C337" s="1" t="n">
        <v>45646</v>
      </c>
      <c r="D337" t="inlineStr">
        <is>
          <t>NORRBOTTENS LÄN</t>
        </is>
      </c>
      <c r="E337" t="inlineStr">
        <is>
          <t>ÖVERKALIX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11919-2023</t>
        </is>
      </c>
      <c r="B338" s="1" t="n">
        <v>44993</v>
      </c>
      <c r="C338" s="1" t="n">
        <v>45646</v>
      </c>
      <c r="D338" t="inlineStr">
        <is>
          <t>NORRBOTTENS LÄN</t>
        </is>
      </c>
      <c r="E338" t="inlineStr">
        <is>
          <t>ÖVERKALIX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11915-2023</t>
        </is>
      </c>
      <c r="B339" s="1" t="n">
        <v>44993</v>
      </c>
      <c r="C339" s="1" t="n">
        <v>45646</v>
      </c>
      <c r="D339" t="inlineStr">
        <is>
          <t>NORRBOTTENS LÄN</t>
        </is>
      </c>
      <c r="E339" t="inlineStr">
        <is>
          <t>ÖVERKALIX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12035-2023</t>
        </is>
      </c>
      <c r="B340" s="1" t="n">
        <v>44995</v>
      </c>
      <c r="C340" s="1" t="n">
        <v>45646</v>
      </c>
      <c r="D340" t="inlineStr">
        <is>
          <t>NORRBOTTENS LÄN</t>
        </is>
      </c>
      <c r="E340" t="inlineStr">
        <is>
          <t>ÖVERKALIX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13372-2023</t>
        </is>
      </c>
      <c r="B341" s="1" t="n">
        <v>45005</v>
      </c>
      <c r="C341" s="1" t="n">
        <v>45646</v>
      </c>
      <c r="D341" t="inlineStr">
        <is>
          <t>NORRBOTTENS LÄN</t>
        </is>
      </c>
      <c r="E341" t="inlineStr">
        <is>
          <t>ÖVERKALIX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14255-2023</t>
        </is>
      </c>
      <c r="B342" s="1" t="n">
        <v>45009</v>
      </c>
      <c r="C342" s="1" t="n">
        <v>45646</v>
      </c>
      <c r="D342" t="inlineStr">
        <is>
          <t>NORRBOTTENS LÄN</t>
        </is>
      </c>
      <c r="E342" t="inlineStr">
        <is>
          <t>ÖVERKALIX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21562-2023</t>
        </is>
      </c>
      <c r="B343" s="1" t="n">
        <v>45061</v>
      </c>
      <c r="C343" s="1" t="n">
        <v>45646</v>
      </c>
      <c r="D343" t="inlineStr">
        <is>
          <t>NORRBOTTENS LÄN</t>
        </is>
      </c>
      <c r="E343" t="inlineStr">
        <is>
          <t>ÖVERKALIX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21515-2023</t>
        </is>
      </c>
      <c r="B344" s="1" t="n">
        <v>45063</v>
      </c>
      <c r="C344" s="1" t="n">
        <v>45646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15.9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21514-2023</t>
        </is>
      </c>
      <c r="B345" s="1" t="n">
        <v>45063</v>
      </c>
      <c r="C345" s="1" t="n">
        <v>45646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21559-2023</t>
        </is>
      </c>
      <c r="B346" s="1" t="n">
        <v>45063</v>
      </c>
      <c r="C346" s="1" t="n">
        <v>45646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22470-2023</t>
        </is>
      </c>
      <c r="B347" s="1" t="n">
        <v>45070</v>
      </c>
      <c r="C347" s="1" t="n">
        <v>45646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22768-2023</t>
        </is>
      </c>
      <c r="B348" s="1" t="n">
        <v>45072</v>
      </c>
      <c r="C348" s="1" t="n">
        <v>45646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36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23292-2023</t>
        </is>
      </c>
      <c r="B349" s="1" t="n">
        <v>45075</v>
      </c>
      <c r="C349" s="1" t="n">
        <v>45646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22.5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23293-2023</t>
        </is>
      </c>
      <c r="B350" s="1" t="n">
        <v>45076</v>
      </c>
      <c r="C350" s="1" t="n">
        <v>45646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23302-2023</t>
        </is>
      </c>
      <c r="B351" s="1" t="n">
        <v>45075</v>
      </c>
      <c r="C351" s="1" t="n">
        <v>45646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23324-2023</t>
        </is>
      </c>
      <c r="B352" s="1" t="n">
        <v>45076</v>
      </c>
      <c r="C352" s="1" t="n">
        <v>45646</v>
      </c>
      <c r="D352" t="inlineStr">
        <is>
          <t>NORRBOTTENS LÄN</t>
        </is>
      </c>
      <c r="E352" t="inlineStr">
        <is>
          <t>ÖVERKALIX</t>
        </is>
      </c>
      <c r="F352" t="inlineStr">
        <is>
          <t>Övriga statliga verk och myndigheter</t>
        </is>
      </c>
      <c r="G352" t="n">
        <v>38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23964-2023</t>
        </is>
      </c>
      <c r="B353" s="1" t="n">
        <v>45078</v>
      </c>
      <c r="C353" s="1" t="n">
        <v>45646</v>
      </c>
      <c r="D353" t="inlineStr">
        <is>
          <t>NORRBOTTENS LÄN</t>
        </is>
      </c>
      <c r="E353" t="inlineStr">
        <is>
          <t>ÖVERKALIX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24050-2023</t>
        </is>
      </c>
      <c r="B354" s="1" t="n">
        <v>45079</v>
      </c>
      <c r="C354" s="1" t="n">
        <v>45646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24892-2023</t>
        </is>
      </c>
      <c r="B355" s="1" t="n">
        <v>45078</v>
      </c>
      <c r="C355" s="1" t="n">
        <v>45646</v>
      </c>
      <c r="D355" t="inlineStr">
        <is>
          <t>NORRBOTTENS LÄN</t>
        </is>
      </c>
      <c r="E355" t="inlineStr">
        <is>
          <t>ÖVERKALIX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24760-2023</t>
        </is>
      </c>
      <c r="B356" s="1" t="n">
        <v>45084</v>
      </c>
      <c r="C356" s="1" t="n">
        <v>45646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10.9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24865-2023</t>
        </is>
      </c>
      <c r="B357" s="1" t="n">
        <v>45085</v>
      </c>
      <c r="C357" s="1" t="n">
        <v>45646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26140-2023</t>
        </is>
      </c>
      <c r="B358" s="1" t="n">
        <v>45086</v>
      </c>
      <c r="C358" s="1" t="n">
        <v>45646</v>
      </c>
      <c r="D358" t="inlineStr">
        <is>
          <t>NORRBOTTENS LÄN</t>
        </is>
      </c>
      <c r="E358" t="inlineStr">
        <is>
          <t>ÖVERKALIX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26552-2023</t>
        </is>
      </c>
      <c r="B359" s="1" t="n">
        <v>45092</v>
      </c>
      <c r="C359" s="1" t="n">
        <v>45646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26554-2023</t>
        </is>
      </c>
      <c r="B360" s="1" t="n">
        <v>45092</v>
      </c>
      <c r="C360" s="1" t="n">
        <v>45646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27062-2023</t>
        </is>
      </c>
      <c r="B361" s="1" t="n">
        <v>45096</v>
      </c>
      <c r="C361" s="1" t="n">
        <v>45646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27066-2023</t>
        </is>
      </c>
      <c r="B362" s="1" t="n">
        <v>45096</v>
      </c>
      <c r="C362" s="1" t="n">
        <v>45646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27680-2023</t>
        </is>
      </c>
      <c r="B363" s="1" t="n">
        <v>45097</v>
      </c>
      <c r="C363" s="1" t="n">
        <v>45646</v>
      </c>
      <c r="D363" t="inlineStr">
        <is>
          <t>NORRBOTTENS LÄN</t>
        </is>
      </c>
      <c r="E363" t="inlineStr">
        <is>
          <t>ÖVERKALIX</t>
        </is>
      </c>
      <c r="G363" t="n">
        <v>12.3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27681-2023</t>
        </is>
      </c>
      <c r="B364" s="1" t="n">
        <v>45097</v>
      </c>
      <c r="C364" s="1" t="n">
        <v>45646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31655-2023</t>
        </is>
      </c>
      <c r="B365" s="1" t="n">
        <v>45105</v>
      </c>
      <c r="C365" s="1" t="n">
        <v>45646</v>
      </c>
      <c r="D365" t="inlineStr">
        <is>
          <t>NORRBOTTENS LÄN</t>
        </is>
      </c>
      <c r="E365" t="inlineStr">
        <is>
          <t>ÖVERKALIX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29960-2023</t>
        </is>
      </c>
      <c r="B366" s="1" t="n">
        <v>45108</v>
      </c>
      <c r="C366" s="1" t="n">
        <v>45646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29961-2023</t>
        </is>
      </c>
      <c r="B367" s="1" t="n">
        <v>45108</v>
      </c>
      <c r="C367" s="1" t="n">
        <v>45646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30600-2023</t>
        </is>
      </c>
      <c r="B368" s="1" t="n">
        <v>45112</v>
      </c>
      <c r="C368" s="1" t="n">
        <v>45646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23.2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32480-2023</t>
        </is>
      </c>
      <c r="B369" s="1" t="n">
        <v>45121</v>
      </c>
      <c r="C369" s="1" t="n">
        <v>45646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33865-2023</t>
        </is>
      </c>
      <c r="B370" s="1" t="n">
        <v>45134</v>
      </c>
      <c r="C370" s="1" t="n">
        <v>45646</v>
      </c>
      <c r="D370" t="inlineStr">
        <is>
          <t>NORRBOTTENS LÄN</t>
        </is>
      </c>
      <c r="E370" t="inlineStr">
        <is>
          <t>ÖVERKALIX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34093-2023</t>
        </is>
      </c>
      <c r="B371" s="1" t="n">
        <v>45135</v>
      </c>
      <c r="C371" s="1" t="n">
        <v>45646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Sveaskog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34911-2023</t>
        </is>
      </c>
      <c r="B372" s="1" t="n">
        <v>45141</v>
      </c>
      <c r="C372" s="1" t="n">
        <v>45646</v>
      </c>
      <c r="D372" t="inlineStr">
        <is>
          <t>NORRBOTTENS LÄN</t>
        </is>
      </c>
      <c r="E372" t="inlineStr">
        <is>
          <t>ÖVERKALIX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34938-2023</t>
        </is>
      </c>
      <c r="B373" s="1" t="n">
        <v>45142</v>
      </c>
      <c r="C373" s="1" t="n">
        <v>45646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36839-2023</t>
        </is>
      </c>
      <c r="B374" s="1" t="n">
        <v>45153</v>
      </c>
      <c r="C374" s="1" t="n">
        <v>45646</v>
      </c>
      <c r="D374" t="inlineStr">
        <is>
          <t>NORRBOTTENS LÄN</t>
        </is>
      </c>
      <c r="E374" t="inlineStr">
        <is>
          <t>ÖVERKALIX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36800-2023</t>
        </is>
      </c>
      <c r="B375" s="1" t="n">
        <v>45154</v>
      </c>
      <c r="C375" s="1" t="n">
        <v>45646</v>
      </c>
      <c r="D375" t="inlineStr">
        <is>
          <t>NORRBOTTENS LÄN</t>
        </is>
      </c>
      <c r="E375" t="inlineStr">
        <is>
          <t>ÖVERKALIX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36797-2023</t>
        </is>
      </c>
      <c r="B376" s="1" t="n">
        <v>45154</v>
      </c>
      <c r="C376" s="1" t="n">
        <v>45646</v>
      </c>
      <c r="D376" t="inlineStr">
        <is>
          <t>NORRBOTTENS LÄN</t>
        </is>
      </c>
      <c r="E376" t="inlineStr">
        <is>
          <t>ÖVERKALIX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36803-2023</t>
        </is>
      </c>
      <c r="B377" s="1" t="n">
        <v>45154</v>
      </c>
      <c r="C377" s="1" t="n">
        <v>45646</v>
      </c>
      <c r="D377" t="inlineStr">
        <is>
          <t>NORRBOTTENS LÄN</t>
        </is>
      </c>
      <c r="E377" t="inlineStr">
        <is>
          <t>ÖVERKALIX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38088-2023</t>
        </is>
      </c>
      <c r="B378" s="1" t="n">
        <v>45161</v>
      </c>
      <c r="C378" s="1" t="n">
        <v>45646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40329-2023</t>
        </is>
      </c>
      <c r="B379" s="1" t="n">
        <v>45169</v>
      </c>
      <c r="C379" s="1" t="n">
        <v>45646</v>
      </c>
      <c r="D379" t="inlineStr">
        <is>
          <t>NORRBOTTENS LÄN</t>
        </is>
      </c>
      <c r="E379" t="inlineStr">
        <is>
          <t>ÖVERKALIX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43173-2023</t>
        </is>
      </c>
      <c r="B380" s="1" t="n">
        <v>45180</v>
      </c>
      <c r="C380" s="1" t="n">
        <v>45646</v>
      </c>
      <c r="D380" t="inlineStr">
        <is>
          <t>NORRBOTTENS LÄN</t>
        </is>
      </c>
      <c r="E380" t="inlineStr">
        <is>
          <t>ÖVERKALIX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42721-2023</t>
        </is>
      </c>
      <c r="B381" s="1" t="n">
        <v>45181</v>
      </c>
      <c r="C381" s="1" t="n">
        <v>45646</v>
      </c>
      <c r="D381" t="inlineStr">
        <is>
          <t>NORRBOTTENS LÄN</t>
        </is>
      </c>
      <c r="E381" t="inlineStr">
        <is>
          <t>ÖVERKALIX</t>
        </is>
      </c>
      <c r="G381" t="n">
        <v>13.1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43099-2023</t>
        </is>
      </c>
      <c r="B382" s="1" t="n">
        <v>45182</v>
      </c>
      <c r="C382" s="1" t="n">
        <v>45646</v>
      </c>
      <c r="D382" t="inlineStr">
        <is>
          <t>NORRBOTTENS LÄN</t>
        </is>
      </c>
      <c r="E382" t="inlineStr">
        <is>
          <t>ÖVERKALIX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43110-2023</t>
        </is>
      </c>
      <c r="B383" s="1" t="n">
        <v>45183</v>
      </c>
      <c r="C383" s="1" t="n">
        <v>45646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43111-2023</t>
        </is>
      </c>
      <c r="B384" s="1" t="n">
        <v>45183</v>
      </c>
      <c r="C384" s="1" t="n">
        <v>45646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43899-2023</t>
        </is>
      </c>
      <c r="B385" s="1" t="n">
        <v>45187</v>
      </c>
      <c r="C385" s="1" t="n">
        <v>45646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Sveaskog</t>
        </is>
      </c>
      <c r="G385" t="n">
        <v>31.9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44265-2023</t>
        </is>
      </c>
      <c r="B386" s="1" t="n">
        <v>45188</v>
      </c>
      <c r="C386" s="1" t="n">
        <v>45646</v>
      </c>
      <c r="D386" t="inlineStr">
        <is>
          <t>NORRBOTTENS LÄN</t>
        </is>
      </c>
      <c r="E386" t="inlineStr">
        <is>
          <t>ÖVERKALIX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44273-2023</t>
        </is>
      </c>
      <c r="B387" s="1" t="n">
        <v>45188</v>
      </c>
      <c r="C387" s="1" t="n">
        <v>45646</v>
      </c>
      <c r="D387" t="inlineStr">
        <is>
          <t>NORRBOTTENS LÄN</t>
        </is>
      </c>
      <c r="E387" t="inlineStr">
        <is>
          <t>ÖVERKALIX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44554-2023</t>
        </is>
      </c>
      <c r="B388" s="1" t="n">
        <v>45189</v>
      </c>
      <c r="C388" s="1" t="n">
        <v>45646</v>
      </c>
      <c r="D388" t="inlineStr">
        <is>
          <t>NORRBOTTENS LÄN</t>
        </is>
      </c>
      <c r="E388" t="inlineStr">
        <is>
          <t>ÖVERKALIX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45767-2023</t>
        </is>
      </c>
      <c r="B389" s="1" t="n">
        <v>45189</v>
      </c>
      <c r="C389" s="1" t="n">
        <v>45646</v>
      </c>
      <c r="D389" t="inlineStr">
        <is>
          <t>NORRBOTTENS LÄN</t>
        </is>
      </c>
      <c r="E389" t="inlineStr">
        <is>
          <t>ÖVERKALIX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45748-2023</t>
        </is>
      </c>
      <c r="B390" s="1" t="n">
        <v>45189</v>
      </c>
      <c r="C390" s="1" t="n">
        <v>45646</v>
      </c>
      <c r="D390" t="inlineStr">
        <is>
          <t>NORRBOTTENS LÄN</t>
        </is>
      </c>
      <c r="E390" t="inlineStr">
        <is>
          <t>ÖVERKALIX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45845-2023</t>
        </is>
      </c>
      <c r="B391" s="1" t="n">
        <v>45195</v>
      </c>
      <c r="C391" s="1" t="n">
        <v>45646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45934-2023</t>
        </is>
      </c>
      <c r="B392" s="1" t="n">
        <v>45196</v>
      </c>
      <c r="C392" s="1" t="n">
        <v>45646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45935-2023</t>
        </is>
      </c>
      <c r="B393" s="1" t="n">
        <v>45196</v>
      </c>
      <c r="C393" s="1" t="n">
        <v>45646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9.699999999999999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47485-2023</t>
        </is>
      </c>
      <c r="B394" s="1" t="n">
        <v>45203</v>
      </c>
      <c r="C394" s="1" t="n">
        <v>45646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47700-2023</t>
        </is>
      </c>
      <c r="B395" s="1" t="n">
        <v>45203</v>
      </c>
      <c r="C395" s="1" t="n">
        <v>45646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47706-2023</t>
        </is>
      </c>
      <c r="B396" s="1" t="n">
        <v>45203</v>
      </c>
      <c r="C396" s="1" t="n">
        <v>45646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47791-2023</t>
        </is>
      </c>
      <c r="B397" s="1" t="n">
        <v>45204</v>
      </c>
      <c r="C397" s="1" t="n">
        <v>45646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47790-2023</t>
        </is>
      </c>
      <c r="B398" s="1" t="n">
        <v>45204</v>
      </c>
      <c r="C398" s="1" t="n">
        <v>45646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49473-2023</t>
        </is>
      </c>
      <c r="B399" s="1" t="n">
        <v>45205</v>
      </c>
      <c r="C399" s="1" t="n">
        <v>45646</v>
      </c>
      <c r="D399" t="inlineStr">
        <is>
          <t>NORRBOTTENS LÄN</t>
        </is>
      </c>
      <c r="E399" t="inlineStr">
        <is>
          <t>ÖVERKALIX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49425-2023</t>
        </is>
      </c>
      <c r="B400" s="1" t="n">
        <v>45205</v>
      </c>
      <c r="C400" s="1" t="n">
        <v>45646</v>
      </c>
      <c r="D400" t="inlineStr">
        <is>
          <t>NORRBOTTENS LÄN</t>
        </is>
      </c>
      <c r="E400" t="inlineStr">
        <is>
          <t>ÖVERKALIX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48577-2023</t>
        </is>
      </c>
      <c r="B401" s="1" t="n">
        <v>45208</v>
      </c>
      <c r="C401" s="1" t="n">
        <v>45646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48576-2023</t>
        </is>
      </c>
      <c r="B402" s="1" t="n">
        <v>45208</v>
      </c>
      <c r="C402" s="1" t="n">
        <v>45646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49865-2023</t>
        </is>
      </c>
      <c r="B403" s="1" t="n">
        <v>45213</v>
      </c>
      <c r="C403" s="1" t="n">
        <v>45646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50862-2023</t>
        </is>
      </c>
      <c r="B404" s="1" t="n">
        <v>45218</v>
      </c>
      <c r="C404" s="1" t="n">
        <v>45646</v>
      </c>
      <c r="D404" t="inlineStr">
        <is>
          <t>NORRBOTTENS LÄN</t>
        </is>
      </c>
      <c r="E404" t="inlineStr">
        <is>
          <t>ÖVERKALIX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51725-2023</t>
        </is>
      </c>
      <c r="B405" s="1" t="n">
        <v>45222</v>
      </c>
      <c r="C405" s="1" t="n">
        <v>45646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51721-2023</t>
        </is>
      </c>
      <c r="B406" s="1" t="n">
        <v>45222</v>
      </c>
      <c r="C406" s="1" t="n">
        <v>45646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19.4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52075-2023</t>
        </is>
      </c>
      <c r="B407" s="1" t="n">
        <v>45223</v>
      </c>
      <c r="C407" s="1" t="n">
        <v>45646</v>
      </c>
      <c r="D407" t="inlineStr">
        <is>
          <t>NORRBOTTENS LÄN</t>
        </is>
      </c>
      <c r="E407" t="inlineStr">
        <is>
          <t>ÖVERKALIX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52227-2023</t>
        </is>
      </c>
      <c r="B408" s="1" t="n">
        <v>45224</v>
      </c>
      <c r="C408" s="1" t="n">
        <v>45646</v>
      </c>
      <c r="D408" t="inlineStr">
        <is>
          <t>NORRBOTTENS LÄN</t>
        </is>
      </c>
      <c r="E408" t="inlineStr">
        <is>
          <t>ÖVERKALIX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52620-2023</t>
        </is>
      </c>
      <c r="B409" s="1" t="n">
        <v>45225</v>
      </c>
      <c r="C409" s="1" t="n">
        <v>45646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13.4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54026-2023</t>
        </is>
      </c>
      <c r="B410" s="1" t="n">
        <v>45231</v>
      </c>
      <c r="C410" s="1" t="n">
        <v>45646</v>
      </c>
      <c r="D410" t="inlineStr">
        <is>
          <t>NORRBOTTENS LÄN</t>
        </is>
      </c>
      <c r="E410" t="inlineStr">
        <is>
          <t>ÖVERKALIX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54025-2023</t>
        </is>
      </c>
      <c r="B411" s="1" t="n">
        <v>45231</v>
      </c>
      <c r="C411" s="1" t="n">
        <v>45646</v>
      </c>
      <c r="D411" t="inlineStr">
        <is>
          <t>NORRBOTTENS LÄN</t>
        </is>
      </c>
      <c r="E411" t="inlineStr">
        <is>
          <t>ÖVERKALIX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55642-2023</t>
        </is>
      </c>
      <c r="B412" s="1" t="n">
        <v>45238</v>
      </c>
      <c r="C412" s="1" t="n">
        <v>45646</v>
      </c>
      <c r="D412" t="inlineStr">
        <is>
          <t>NORRBOTTENS LÄN</t>
        </is>
      </c>
      <c r="E412" t="inlineStr">
        <is>
          <t>ÖVERKALIX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57966-2023</t>
        </is>
      </c>
      <c r="B413" s="1" t="n">
        <v>45244</v>
      </c>
      <c r="C413" s="1" t="n">
        <v>45646</v>
      </c>
      <c r="D413" t="inlineStr">
        <is>
          <t>NORRBOTTENS LÄN</t>
        </is>
      </c>
      <c r="E413" t="inlineStr">
        <is>
          <t>ÖVERKALIX</t>
        </is>
      </c>
      <c r="G413" t="n">
        <v>21.7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58273-2023</t>
        </is>
      </c>
      <c r="B414" s="1" t="n">
        <v>45250</v>
      </c>
      <c r="C414" s="1" t="n">
        <v>45646</v>
      </c>
      <c r="D414" t="inlineStr">
        <is>
          <t>NORRBOTTENS LÄN</t>
        </is>
      </c>
      <c r="E414" t="inlineStr">
        <is>
          <t>ÖVERKALIX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58764-2023</t>
        </is>
      </c>
      <c r="B415" s="1" t="n">
        <v>45251</v>
      </c>
      <c r="C415" s="1" t="n">
        <v>45646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58763-2023</t>
        </is>
      </c>
      <c r="B416" s="1" t="n">
        <v>45251</v>
      </c>
      <c r="C416" s="1" t="n">
        <v>45646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60965-2023</t>
        </is>
      </c>
      <c r="B417" s="1" t="n">
        <v>45261</v>
      </c>
      <c r="C417" s="1" t="n">
        <v>45646</v>
      </c>
      <c r="D417" t="inlineStr">
        <is>
          <t>NORRBOTTENS LÄN</t>
        </is>
      </c>
      <c r="E417" t="inlineStr">
        <is>
          <t>ÖVERKALIX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60970-2023</t>
        </is>
      </c>
      <c r="B418" s="1" t="n">
        <v>45261</v>
      </c>
      <c r="C418" s="1" t="n">
        <v>45646</v>
      </c>
      <c r="D418" t="inlineStr">
        <is>
          <t>NORRBOTTENS LÄN</t>
        </is>
      </c>
      <c r="E418" t="inlineStr">
        <is>
          <t>ÖVERKALIX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61548-2023</t>
        </is>
      </c>
      <c r="B419" s="1" t="n">
        <v>45265</v>
      </c>
      <c r="C419" s="1" t="n">
        <v>45646</v>
      </c>
      <c r="D419" t="inlineStr">
        <is>
          <t>NORRBOTTENS LÄN</t>
        </is>
      </c>
      <c r="E419" t="inlineStr">
        <is>
          <t>ÖVERKALIX</t>
        </is>
      </c>
      <c r="G419" t="n">
        <v>9.1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62384-2023</t>
        </is>
      </c>
      <c r="B420" s="1" t="n">
        <v>45266</v>
      </c>
      <c r="C420" s="1" t="n">
        <v>45646</v>
      </c>
      <c r="D420" t="inlineStr">
        <is>
          <t>NORRBOTTENS LÄN</t>
        </is>
      </c>
      <c r="E420" t="inlineStr">
        <is>
          <t>ÖVERKALIX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62548-2023</t>
        </is>
      </c>
      <c r="B421" s="1" t="n">
        <v>45268</v>
      </c>
      <c r="C421" s="1" t="n">
        <v>45646</v>
      </c>
      <c r="D421" t="inlineStr">
        <is>
          <t>NORRBOTTENS LÄN</t>
        </is>
      </c>
      <c r="E421" t="inlineStr">
        <is>
          <t>ÖVERKALIX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62556-2023</t>
        </is>
      </c>
      <c r="B422" s="1" t="n">
        <v>45268</v>
      </c>
      <c r="C422" s="1" t="n">
        <v>45646</v>
      </c>
      <c r="D422" t="inlineStr">
        <is>
          <t>NORRBOTTENS LÄN</t>
        </is>
      </c>
      <c r="E422" t="inlineStr">
        <is>
          <t>ÖVERKALIX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62549-2023</t>
        </is>
      </c>
      <c r="B423" s="1" t="n">
        <v>45268</v>
      </c>
      <c r="C423" s="1" t="n">
        <v>45646</v>
      </c>
      <c r="D423" t="inlineStr">
        <is>
          <t>NORRBOTTENS LÄN</t>
        </is>
      </c>
      <c r="E423" t="inlineStr">
        <is>
          <t>ÖVERKALIX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62561-2023</t>
        </is>
      </c>
      <c r="B424" s="1" t="n">
        <v>45268</v>
      </c>
      <c r="C424" s="1" t="n">
        <v>45646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63491-2023</t>
        </is>
      </c>
      <c r="B425" s="1" t="n">
        <v>45274</v>
      </c>
      <c r="C425" s="1" t="n">
        <v>45646</v>
      </c>
      <c r="D425" t="inlineStr">
        <is>
          <t>NORRBOTTENS LÄN</t>
        </is>
      </c>
      <c r="E425" t="inlineStr">
        <is>
          <t>ÖVERKALIX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64524-2023</t>
        </is>
      </c>
      <c r="B426" s="1" t="n">
        <v>45281</v>
      </c>
      <c r="C426" s="1" t="n">
        <v>45646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Sveaskog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64797-2023</t>
        </is>
      </c>
      <c r="B427" s="1" t="n">
        <v>45282</v>
      </c>
      <c r="C427" s="1" t="n">
        <v>45646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49-2024</t>
        </is>
      </c>
      <c r="B428" s="1" t="n">
        <v>45293</v>
      </c>
      <c r="C428" s="1" t="n">
        <v>45646</v>
      </c>
      <c r="D428" t="inlineStr">
        <is>
          <t>NORRBOTTENS LÄN</t>
        </is>
      </c>
      <c r="E428" t="inlineStr">
        <is>
          <t>ÖVERKALIX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1258-2024</t>
        </is>
      </c>
      <c r="B429" s="1" t="n">
        <v>45302</v>
      </c>
      <c r="C429" s="1" t="n">
        <v>45646</v>
      </c>
      <c r="D429" t="inlineStr">
        <is>
          <t>NORRBOTTENS LÄN</t>
        </is>
      </c>
      <c r="E429" t="inlineStr">
        <is>
          <t>ÖVERKALIX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2009-2024</t>
        </is>
      </c>
      <c r="B430" s="1" t="n">
        <v>45308</v>
      </c>
      <c r="C430" s="1" t="n">
        <v>45646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2003-2024</t>
        </is>
      </c>
      <c r="B431" s="1" t="n">
        <v>45308</v>
      </c>
      <c r="C431" s="1" t="n">
        <v>45646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2225-2024</t>
        </is>
      </c>
      <c r="B432" s="1" t="n">
        <v>45309</v>
      </c>
      <c r="C432" s="1" t="n">
        <v>45646</v>
      </c>
      <c r="D432" t="inlineStr">
        <is>
          <t>NORRBOTTENS LÄN</t>
        </is>
      </c>
      <c r="E432" t="inlineStr">
        <is>
          <t>ÖVERKALIX</t>
        </is>
      </c>
      <c r="G432" t="n">
        <v>13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2993-2024</t>
        </is>
      </c>
      <c r="B433" s="1" t="n">
        <v>45315</v>
      </c>
      <c r="C433" s="1" t="n">
        <v>45646</v>
      </c>
      <c r="D433" t="inlineStr">
        <is>
          <t>NORRBOTTENS LÄN</t>
        </is>
      </c>
      <c r="E433" t="inlineStr">
        <is>
          <t>ÖVERKALIX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2992-2024</t>
        </is>
      </c>
      <c r="B434" s="1" t="n">
        <v>45315</v>
      </c>
      <c r="C434" s="1" t="n">
        <v>45646</v>
      </c>
      <c r="D434" t="inlineStr">
        <is>
          <t>NORRBOTTENS LÄN</t>
        </is>
      </c>
      <c r="E434" t="inlineStr">
        <is>
          <t>ÖVERKALIX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3701-2024</t>
        </is>
      </c>
      <c r="B435" s="1" t="n">
        <v>45321</v>
      </c>
      <c r="C435" s="1" t="n">
        <v>45646</v>
      </c>
      <c r="D435" t="inlineStr">
        <is>
          <t>NORRBOTTENS LÄN</t>
        </is>
      </c>
      <c r="E435" t="inlineStr">
        <is>
          <t>ÖVERKALIX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3704-2024</t>
        </is>
      </c>
      <c r="B436" s="1" t="n">
        <v>45321</v>
      </c>
      <c r="C436" s="1" t="n">
        <v>45646</v>
      </c>
      <c r="D436" t="inlineStr">
        <is>
          <t>NORRBOTTENS LÄN</t>
        </is>
      </c>
      <c r="E436" t="inlineStr">
        <is>
          <t>ÖVERKALIX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4111-2024</t>
        </is>
      </c>
      <c r="B437" s="1" t="n">
        <v>45323</v>
      </c>
      <c r="C437" s="1" t="n">
        <v>45646</v>
      </c>
      <c r="D437" t="inlineStr">
        <is>
          <t>NORRBOTTENS LÄN</t>
        </is>
      </c>
      <c r="E437" t="inlineStr">
        <is>
          <t>ÖVERKALIX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4114-2024</t>
        </is>
      </c>
      <c r="B438" s="1" t="n">
        <v>45323</v>
      </c>
      <c r="C438" s="1" t="n">
        <v>45646</v>
      </c>
      <c r="D438" t="inlineStr">
        <is>
          <t>NORRBOTTENS LÄN</t>
        </is>
      </c>
      <c r="E438" t="inlineStr">
        <is>
          <t>ÖVERKALIX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5723-2024</t>
        </is>
      </c>
      <c r="B439" s="1" t="n">
        <v>45334</v>
      </c>
      <c r="C439" s="1" t="n">
        <v>45646</v>
      </c>
      <c r="D439" t="inlineStr">
        <is>
          <t>NORRBOTTENS LÄN</t>
        </is>
      </c>
      <c r="E439" t="inlineStr">
        <is>
          <t>ÖVERKALIX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9849-2024</t>
        </is>
      </c>
      <c r="B440" s="1" t="n">
        <v>45363</v>
      </c>
      <c r="C440" s="1" t="n">
        <v>45646</v>
      </c>
      <c r="D440" t="inlineStr">
        <is>
          <t>NORRBOTTENS LÄN</t>
        </is>
      </c>
      <c r="E440" t="inlineStr">
        <is>
          <t>ÖVERKALIX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9861-2024</t>
        </is>
      </c>
      <c r="B441" s="1" t="n">
        <v>45363</v>
      </c>
      <c r="C441" s="1" t="n">
        <v>45646</v>
      </c>
      <c r="D441" t="inlineStr">
        <is>
          <t>NORRBOTTENS LÄN</t>
        </is>
      </c>
      <c r="E441" t="inlineStr">
        <is>
          <t>ÖVERKALIX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9860-2024</t>
        </is>
      </c>
      <c r="B442" s="1" t="n">
        <v>45363</v>
      </c>
      <c r="C442" s="1" t="n">
        <v>45646</v>
      </c>
      <c r="D442" t="inlineStr">
        <is>
          <t>NORRBOTTENS LÄN</t>
        </is>
      </c>
      <c r="E442" t="inlineStr">
        <is>
          <t>ÖVERKALIX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11329-2024</t>
        </is>
      </c>
      <c r="B443" s="1" t="n">
        <v>45372</v>
      </c>
      <c r="C443" s="1" t="n">
        <v>45646</v>
      </c>
      <c r="D443" t="inlineStr">
        <is>
          <t>NORRBOTTENS LÄN</t>
        </is>
      </c>
      <c r="E443" t="inlineStr">
        <is>
          <t>ÖVERKALIX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11535-2024</t>
        </is>
      </c>
      <c r="B444" s="1" t="n">
        <v>45372</v>
      </c>
      <c r="C444" s="1" t="n">
        <v>45646</v>
      </c>
      <c r="D444" t="inlineStr">
        <is>
          <t>NORRBOTTENS LÄN</t>
        </is>
      </c>
      <c r="E444" t="inlineStr">
        <is>
          <t>ÖVERKALIX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12177-2024</t>
        </is>
      </c>
      <c r="B445" s="1" t="n">
        <v>45377</v>
      </c>
      <c r="C445" s="1" t="n">
        <v>45646</v>
      </c>
      <c r="D445" t="inlineStr">
        <is>
          <t>NORRBOTTENS LÄN</t>
        </is>
      </c>
      <c r="E445" t="inlineStr">
        <is>
          <t>ÖVERKALIX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12181-2024</t>
        </is>
      </c>
      <c r="B446" s="1" t="n">
        <v>45377</v>
      </c>
      <c r="C446" s="1" t="n">
        <v>45646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12180-2024</t>
        </is>
      </c>
      <c r="B447" s="1" t="n">
        <v>45377</v>
      </c>
      <c r="C447" s="1" t="n">
        <v>45646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12591-2024</t>
        </is>
      </c>
      <c r="B448" s="1" t="n">
        <v>45379</v>
      </c>
      <c r="C448" s="1" t="n">
        <v>45646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12580-2024</t>
        </is>
      </c>
      <c r="B449" s="1" t="n">
        <v>45379</v>
      </c>
      <c r="C449" s="1" t="n">
        <v>45646</v>
      </c>
      <c r="D449" t="inlineStr">
        <is>
          <t>NORRBOTTENS LÄN</t>
        </is>
      </c>
      <c r="E449" t="inlineStr">
        <is>
          <t>ÖVERKALIX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14974-2024</t>
        </is>
      </c>
      <c r="B450" s="1" t="n">
        <v>45399</v>
      </c>
      <c r="C450" s="1" t="n">
        <v>45646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14973-2024</t>
        </is>
      </c>
      <c r="B451" s="1" t="n">
        <v>45399</v>
      </c>
      <c r="C451" s="1" t="n">
        <v>45646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19.3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15302-2024</t>
        </is>
      </c>
      <c r="B452" s="1" t="n">
        <v>45400</v>
      </c>
      <c r="C452" s="1" t="n">
        <v>45646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Sveaskog</t>
        </is>
      </c>
      <c r="G452" t="n">
        <v>19.4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15546-2024</t>
        </is>
      </c>
      <c r="B453" s="1" t="n">
        <v>45401</v>
      </c>
      <c r="C453" s="1" t="n">
        <v>45646</v>
      </c>
      <c r="D453" t="inlineStr">
        <is>
          <t>NORRBOTTENS LÄN</t>
        </is>
      </c>
      <c r="E453" t="inlineStr">
        <is>
          <t>ÖVERKALIX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15854-2024</t>
        </is>
      </c>
      <c r="B454" s="1" t="n">
        <v>45405</v>
      </c>
      <c r="C454" s="1" t="n">
        <v>45646</v>
      </c>
      <c r="D454" t="inlineStr">
        <is>
          <t>NORRBOTTENS LÄN</t>
        </is>
      </c>
      <c r="E454" t="inlineStr">
        <is>
          <t>ÖVERKALIX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16058-2024</t>
        </is>
      </c>
      <c r="B455" s="1" t="n">
        <v>45406</v>
      </c>
      <c r="C455" s="1" t="n">
        <v>45646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11.9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16435-2024</t>
        </is>
      </c>
      <c r="B456" s="1" t="n">
        <v>45407</v>
      </c>
      <c r="C456" s="1" t="n">
        <v>45646</v>
      </c>
      <c r="D456" t="inlineStr">
        <is>
          <t>NORRBOTTENS LÄN</t>
        </is>
      </c>
      <c r="E456" t="inlineStr">
        <is>
          <t>ÖVERKALIX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17514-2024</t>
        </is>
      </c>
      <c r="B457" s="1" t="n">
        <v>45415</v>
      </c>
      <c r="C457" s="1" t="n">
        <v>45646</v>
      </c>
      <c r="D457" t="inlineStr">
        <is>
          <t>NORRBOTTENS LÄN</t>
        </is>
      </c>
      <c r="E457" t="inlineStr">
        <is>
          <t>ÖVERKALIX</t>
        </is>
      </c>
      <c r="G457" t="n">
        <v>25.8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18976-2024</t>
        </is>
      </c>
      <c r="B458" s="1" t="n">
        <v>45427</v>
      </c>
      <c r="C458" s="1" t="n">
        <v>45646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19269-2024</t>
        </is>
      </c>
      <c r="B459" s="1" t="n">
        <v>45428</v>
      </c>
      <c r="C459" s="1" t="n">
        <v>45646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19259-2024</t>
        </is>
      </c>
      <c r="B460" s="1" t="n">
        <v>45428</v>
      </c>
      <c r="C460" s="1" t="n">
        <v>45646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19529-2024</t>
        </is>
      </c>
      <c r="B461" s="1" t="n">
        <v>45429</v>
      </c>
      <c r="C461" s="1" t="n">
        <v>45646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19537-2024</t>
        </is>
      </c>
      <c r="B462" s="1" t="n">
        <v>45429</v>
      </c>
      <c r="C462" s="1" t="n">
        <v>45646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19541-2024</t>
        </is>
      </c>
      <c r="B463" s="1" t="n">
        <v>45429</v>
      </c>
      <c r="C463" s="1" t="n">
        <v>45646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22.7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19531-2024</t>
        </is>
      </c>
      <c r="B464" s="1" t="n">
        <v>45429</v>
      </c>
      <c r="C464" s="1" t="n">
        <v>45646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20291-2024</t>
        </is>
      </c>
      <c r="B465" s="1" t="n">
        <v>45435</v>
      </c>
      <c r="C465" s="1" t="n">
        <v>45646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20.3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20648-2024</t>
        </is>
      </c>
      <c r="B466" s="1" t="n">
        <v>45436</v>
      </c>
      <c r="C466" s="1" t="n">
        <v>45646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20580-2024</t>
        </is>
      </c>
      <c r="B467" s="1" t="n">
        <v>45436</v>
      </c>
      <c r="C467" s="1" t="n">
        <v>45646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29.9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20998-2024</t>
        </is>
      </c>
      <c r="B468" s="1" t="n">
        <v>45439</v>
      </c>
      <c r="C468" s="1" t="n">
        <v>45646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20996-2024</t>
        </is>
      </c>
      <c r="B469" s="1" t="n">
        <v>45439</v>
      </c>
      <c r="C469" s="1" t="n">
        <v>45646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9.300000000000001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21299-2024</t>
        </is>
      </c>
      <c r="B470" s="1" t="n">
        <v>45440</v>
      </c>
      <c r="C470" s="1" t="n">
        <v>45646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21302-2024</t>
        </is>
      </c>
      <c r="B471" s="1" t="n">
        <v>45440</v>
      </c>
      <c r="C471" s="1" t="n">
        <v>45646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21405-2024</t>
        </is>
      </c>
      <c r="B472" s="1" t="n">
        <v>45441</v>
      </c>
      <c r="C472" s="1" t="n">
        <v>45646</v>
      </c>
      <c r="D472" t="inlineStr">
        <is>
          <t>NORRBOTTENS LÄN</t>
        </is>
      </c>
      <c r="E472" t="inlineStr">
        <is>
          <t>ÖVERKALIX</t>
        </is>
      </c>
      <c r="G472" t="n">
        <v>16.1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21777-2024</t>
        </is>
      </c>
      <c r="B473" s="1" t="n">
        <v>45442</v>
      </c>
      <c r="C473" s="1" t="n">
        <v>45646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30.5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22071-2024</t>
        </is>
      </c>
      <c r="B474" s="1" t="n">
        <v>45443</v>
      </c>
      <c r="C474" s="1" t="n">
        <v>45646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22852-2024</t>
        </is>
      </c>
      <c r="B475" s="1" t="n">
        <v>45448</v>
      </c>
      <c r="C475" s="1" t="n">
        <v>45646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22.3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22779-2024</t>
        </is>
      </c>
      <c r="B476" s="1" t="n">
        <v>45448</v>
      </c>
      <c r="C476" s="1" t="n">
        <v>45646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22854-2024</t>
        </is>
      </c>
      <c r="B477" s="1" t="n">
        <v>45448</v>
      </c>
      <c r="C477" s="1" t="n">
        <v>45646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23249-2024</t>
        </is>
      </c>
      <c r="B478" s="1" t="n">
        <v>45453</v>
      </c>
      <c r="C478" s="1" t="n">
        <v>45646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23525-2024</t>
        </is>
      </c>
      <c r="B479" s="1" t="n">
        <v>45454</v>
      </c>
      <c r="C479" s="1" t="n">
        <v>45646</v>
      </c>
      <c r="D479" t="inlineStr">
        <is>
          <t>NORRBOTTENS LÄN</t>
        </is>
      </c>
      <c r="E479" t="inlineStr">
        <is>
          <t>ÖVERKALIX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23250-2024</t>
        </is>
      </c>
      <c r="B480" s="1" t="n">
        <v>45453</v>
      </c>
      <c r="C480" s="1" t="n">
        <v>45646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23818-2024</t>
        </is>
      </c>
      <c r="B481" s="1" t="n">
        <v>45455</v>
      </c>
      <c r="C481" s="1" t="n">
        <v>45646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23874-2024</t>
        </is>
      </c>
      <c r="B482" s="1" t="n">
        <v>45455</v>
      </c>
      <c r="C482" s="1" t="n">
        <v>45646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20.6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23881-2024</t>
        </is>
      </c>
      <c r="B483" s="1" t="n">
        <v>45455</v>
      </c>
      <c r="C483" s="1" t="n">
        <v>45646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24290-2024</t>
        </is>
      </c>
      <c r="B484" s="1" t="n">
        <v>45457</v>
      </c>
      <c r="C484" s="1" t="n">
        <v>45646</v>
      </c>
      <c r="D484" t="inlineStr">
        <is>
          <t>NORRBOTTENS LÄN</t>
        </is>
      </c>
      <c r="E484" t="inlineStr">
        <is>
          <t>ÖVERKALIX</t>
        </is>
      </c>
      <c r="G484" t="n">
        <v>12.9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24395-2024</t>
        </is>
      </c>
      <c r="B485" s="1" t="n">
        <v>45457</v>
      </c>
      <c r="C485" s="1" t="n">
        <v>45646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12.2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24549-2024</t>
        </is>
      </c>
      <c r="B486" s="1" t="n">
        <v>45460</v>
      </c>
      <c r="C486" s="1" t="n">
        <v>45646</v>
      </c>
      <c r="D486" t="inlineStr">
        <is>
          <t>NORRBOTTENS LÄN</t>
        </is>
      </c>
      <c r="E486" t="inlineStr">
        <is>
          <t>ÖVERKALIX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24548-2024</t>
        </is>
      </c>
      <c r="B487" s="1" t="n">
        <v>45460</v>
      </c>
      <c r="C487" s="1" t="n">
        <v>45646</v>
      </c>
      <c r="D487" t="inlineStr">
        <is>
          <t>NORRBOTTENS LÄN</t>
        </is>
      </c>
      <c r="E487" t="inlineStr">
        <is>
          <t>ÖVERKALIX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24738-2024</t>
        </is>
      </c>
      <c r="B488" s="1" t="n">
        <v>45460</v>
      </c>
      <c r="C488" s="1" t="n">
        <v>45646</v>
      </c>
      <c r="D488" t="inlineStr">
        <is>
          <t>NORRBOTTENS LÄN</t>
        </is>
      </c>
      <c r="E488" t="inlineStr">
        <is>
          <t>ÖVERKALIX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25692-2024</t>
        </is>
      </c>
      <c r="B489" s="1" t="n">
        <v>45464</v>
      </c>
      <c r="C489" s="1" t="n">
        <v>45646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SCA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25698-2024</t>
        </is>
      </c>
      <c r="B490" s="1" t="n">
        <v>45464</v>
      </c>
      <c r="C490" s="1" t="n">
        <v>45646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25489-2024</t>
        </is>
      </c>
      <c r="B491" s="1" t="n">
        <v>45463</v>
      </c>
      <c r="C491" s="1" t="n">
        <v>45646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25697-2024</t>
        </is>
      </c>
      <c r="B492" s="1" t="n">
        <v>45463</v>
      </c>
      <c r="C492" s="1" t="n">
        <v>45646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25510-2024</t>
        </is>
      </c>
      <c r="B493" s="1" t="n">
        <v>45463</v>
      </c>
      <c r="C493" s="1" t="n">
        <v>45646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Sveaskog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25506-2024</t>
        </is>
      </c>
      <c r="B494" s="1" t="n">
        <v>45463</v>
      </c>
      <c r="C494" s="1" t="n">
        <v>45646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25958-2024</t>
        </is>
      </c>
      <c r="B495" s="1" t="n">
        <v>45467</v>
      </c>
      <c r="C495" s="1" t="n">
        <v>45646</v>
      </c>
      <c r="D495" t="inlineStr">
        <is>
          <t>NORRBOTTENS LÄN</t>
        </is>
      </c>
      <c r="E495" t="inlineStr">
        <is>
          <t>ÖVERKALIX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25991-2024</t>
        </is>
      </c>
      <c r="B496" s="1" t="n">
        <v>45467</v>
      </c>
      <c r="C496" s="1" t="n">
        <v>45646</v>
      </c>
      <c r="D496" t="inlineStr">
        <is>
          <t>NORRBOTTENS LÄN</t>
        </is>
      </c>
      <c r="E496" t="inlineStr">
        <is>
          <t>ÖVERKALIX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26366-2024</t>
        </is>
      </c>
      <c r="B497" s="1" t="n">
        <v>45469</v>
      </c>
      <c r="C497" s="1" t="n">
        <v>45646</v>
      </c>
      <c r="D497" t="inlineStr">
        <is>
          <t>NORRBOTTENS LÄN</t>
        </is>
      </c>
      <c r="E497" t="inlineStr">
        <is>
          <t>ÖVERKALIX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26350-2024</t>
        </is>
      </c>
      <c r="B498" s="1" t="n">
        <v>45469</v>
      </c>
      <c r="C498" s="1" t="n">
        <v>45646</v>
      </c>
      <c r="D498" t="inlineStr">
        <is>
          <t>NORRBOTTENS LÄN</t>
        </is>
      </c>
      <c r="E498" t="inlineStr">
        <is>
          <t>ÖVERKALIX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27057-2024</t>
        </is>
      </c>
      <c r="B499" s="1" t="n">
        <v>45471</v>
      </c>
      <c r="C499" s="1" t="n">
        <v>45646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Sveaskog</t>
        </is>
      </c>
      <c r="G499" t="n">
        <v>32.6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27054-2024</t>
        </is>
      </c>
      <c r="B500" s="1" t="n">
        <v>45471</v>
      </c>
      <c r="C500" s="1" t="n">
        <v>45646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27060-2024</t>
        </is>
      </c>
      <c r="B501" s="1" t="n">
        <v>45471</v>
      </c>
      <c r="C501" s="1" t="n">
        <v>45646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10.7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28236-2024</t>
        </is>
      </c>
      <c r="B502" s="1" t="n">
        <v>45477</v>
      </c>
      <c r="C502" s="1" t="n">
        <v>45646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30598-2024</t>
        </is>
      </c>
      <c r="B503" s="1" t="n">
        <v>45493</v>
      </c>
      <c r="C503" s="1" t="n">
        <v>45646</v>
      </c>
      <c r="D503" t="inlineStr">
        <is>
          <t>NORRBOTTENS LÄN</t>
        </is>
      </c>
      <c r="E503" t="inlineStr">
        <is>
          <t>ÖVERKALIX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30881-2024</t>
        </is>
      </c>
      <c r="B504" s="1" t="n">
        <v>45498</v>
      </c>
      <c r="C504" s="1" t="n">
        <v>45646</v>
      </c>
      <c r="D504" t="inlineStr">
        <is>
          <t>NORRBOTTENS LÄN</t>
        </is>
      </c>
      <c r="E504" t="inlineStr">
        <is>
          <t>ÖVERKALIX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31647-2024</t>
        </is>
      </c>
      <c r="B505" s="1" t="n">
        <v>45506</v>
      </c>
      <c r="C505" s="1" t="n">
        <v>45646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32061-2024</t>
        </is>
      </c>
      <c r="B506" s="1" t="n">
        <v>45510</v>
      </c>
      <c r="C506" s="1" t="n">
        <v>45646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SCA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32615-2024</t>
        </is>
      </c>
      <c r="B507" s="1" t="n">
        <v>45513</v>
      </c>
      <c r="C507" s="1" t="n">
        <v>45646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Sveaskog</t>
        </is>
      </c>
      <c r="G507" t="n">
        <v>9.800000000000001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32477-2024</t>
        </is>
      </c>
      <c r="B508" s="1" t="n">
        <v>45513</v>
      </c>
      <c r="C508" s="1" t="n">
        <v>45646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32478-2024</t>
        </is>
      </c>
      <c r="B509" s="1" t="n">
        <v>45513</v>
      </c>
      <c r="C509" s="1" t="n">
        <v>45646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18.5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32616-2024</t>
        </is>
      </c>
      <c r="B510" s="1" t="n">
        <v>45513</v>
      </c>
      <c r="C510" s="1" t="n">
        <v>45646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33315-2024</t>
        </is>
      </c>
      <c r="B511" s="1" t="n">
        <v>45519</v>
      </c>
      <c r="C511" s="1" t="n">
        <v>45646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SCA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33301-2024</t>
        </is>
      </c>
      <c r="B512" s="1" t="n">
        <v>45519</v>
      </c>
      <c r="C512" s="1" t="n">
        <v>45646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33606-2024</t>
        </is>
      </c>
      <c r="B513" s="1" t="n">
        <v>45520</v>
      </c>
      <c r="C513" s="1" t="n">
        <v>45646</v>
      </c>
      <c r="D513" t="inlineStr">
        <is>
          <t>NORRBOTTENS LÄN</t>
        </is>
      </c>
      <c r="E513" t="inlineStr">
        <is>
          <t>ÖVERKALIX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33761-2024</t>
        </is>
      </c>
      <c r="B514" s="1" t="n">
        <v>45520</v>
      </c>
      <c r="C514" s="1" t="n">
        <v>45646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Sveaskog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34651-2024</t>
        </is>
      </c>
      <c r="B515" s="1" t="n">
        <v>45526</v>
      </c>
      <c r="C515" s="1" t="n">
        <v>45646</v>
      </c>
      <c r="D515" t="inlineStr">
        <is>
          <t>NORRBOTTENS LÄN</t>
        </is>
      </c>
      <c r="E515" t="inlineStr">
        <is>
          <t>ÖVERKALIX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35290-2024</t>
        </is>
      </c>
      <c r="B516" s="1" t="n">
        <v>45530</v>
      </c>
      <c r="C516" s="1" t="n">
        <v>45646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Sveaskog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36381-2024</t>
        </is>
      </c>
      <c r="B517" s="1" t="n">
        <v>45534</v>
      </c>
      <c r="C517" s="1" t="n">
        <v>45646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36804-2024</t>
        </is>
      </c>
      <c r="B518" s="1" t="n">
        <v>45538</v>
      </c>
      <c r="C518" s="1" t="n">
        <v>45646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SCA</t>
        </is>
      </c>
      <c r="G518" t="n">
        <v>14.5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36805-2024</t>
        </is>
      </c>
      <c r="B519" s="1" t="n">
        <v>45538</v>
      </c>
      <c r="C519" s="1" t="n">
        <v>45646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37085-2024</t>
        </is>
      </c>
      <c r="B520" s="1" t="n">
        <v>45539</v>
      </c>
      <c r="C520" s="1" t="n">
        <v>45646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37429-2024</t>
        </is>
      </c>
      <c r="B521" s="1" t="n">
        <v>45540</v>
      </c>
      <c r="C521" s="1" t="n">
        <v>45646</v>
      </c>
      <c r="D521" t="inlineStr">
        <is>
          <t>NORRBOTTENS LÄN</t>
        </is>
      </c>
      <c r="E521" t="inlineStr">
        <is>
          <t>ÖVERKALIX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38154-2024</t>
        </is>
      </c>
      <c r="B522" s="1" t="n">
        <v>45545</v>
      </c>
      <c r="C522" s="1" t="n">
        <v>45646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Sveaskog</t>
        </is>
      </c>
      <c r="G522" t="n">
        <v>11.7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38157-2024</t>
        </is>
      </c>
      <c r="B523" s="1" t="n">
        <v>45545</v>
      </c>
      <c r="C523" s="1" t="n">
        <v>45646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40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38838-2024</t>
        </is>
      </c>
      <c r="B524" s="1" t="n">
        <v>45547</v>
      </c>
      <c r="C524" s="1" t="n">
        <v>45646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SCA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38940-2024</t>
        </is>
      </c>
      <c r="B525" s="1" t="n">
        <v>45548</v>
      </c>
      <c r="C525" s="1" t="n">
        <v>45646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38941-2024</t>
        </is>
      </c>
      <c r="B526" s="1" t="n">
        <v>45548</v>
      </c>
      <c r="C526" s="1" t="n">
        <v>45646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38975-2024</t>
        </is>
      </c>
      <c r="B527" s="1" t="n">
        <v>45548</v>
      </c>
      <c r="C527" s="1" t="n">
        <v>45646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39327-2024</t>
        </is>
      </c>
      <c r="B528" s="1" t="n">
        <v>45551</v>
      </c>
      <c r="C528" s="1" t="n">
        <v>45646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8.300000000000001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40155-2024</t>
        </is>
      </c>
      <c r="B529" s="1" t="n">
        <v>45554</v>
      </c>
      <c r="C529" s="1" t="n">
        <v>45646</v>
      </c>
      <c r="D529" t="inlineStr">
        <is>
          <t>NORRBOTTENS LÄN</t>
        </is>
      </c>
      <c r="E529" t="inlineStr">
        <is>
          <t>ÖVERKALIX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40660-2024</t>
        </is>
      </c>
      <c r="B530" s="1" t="n">
        <v>45558</v>
      </c>
      <c r="C530" s="1" t="n">
        <v>45646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40901-2024</t>
        </is>
      </c>
      <c r="B531" s="1" t="n">
        <v>45558</v>
      </c>
      <c r="C531" s="1" t="n">
        <v>45646</v>
      </c>
      <c r="D531" t="inlineStr">
        <is>
          <t>NORRBOTTENS LÄN</t>
        </is>
      </c>
      <c r="E531" t="inlineStr">
        <is>
          <t>ÖVERKALIX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41291-2024</t>
        </is>
      </c>
      <c r="B532" s="1" t="n">
        <v>45559</v>
      </c>
      <c r="C532" s="1" t="n">
        <v>45646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Sveaskog</t>
        </is>
      </c>
      <c r="G532" t="n">
        <v>15.3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41752-2024</t>
        </is>
      </c>
      <c r="B533" s="1" t="n">
        <v>45561</v>
      </c>
      <c r="C533" s="1" t="n">
        <v>45646</v>
      </c>
      <c r="D533" t="inlineStr">
        <is>
          <t>NORRBOTTENS LÄN</t>
        </is>
      </c>
      <c r="E533" t="inlineStr">
        <is>
          <t>ÖVERKALIX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41830-2024</t>
        </is>
      </c>
      <c r="B534" s="1" t="n">
        <v>45561</v>
      </c>
      <c r="C534" s="1" t="n">
        <v>45646</v>
      </c>
      <c r="D534" t="inlineStr">
        <is>
          <t>NORRBOTTENS LÄN</t>
        </is>
      </c>
      <c r="E534" t="inlineStr">
        <is>
          <t>ÖVERKALIX</t>
        </is>
      </c>
      <c r="F534" t="inlineStr">
        <is>
          <t>SCA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42134-2024</t>
        </is>
      </c>
      <c r="B535" s="1" t="n">
        <v>45562</v>
      </c>
      <c r="C535" s="1" t="n">
        <v>45646</v>
      </c>
      <c r="D535" t="inlineStr">
        <is>
          <t>NORRBOTTENS LÄN</t>
        </is>
      </c>
      <c r="E535" t="inlineStr">
        <is>
          <t>ÖVERKALIX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42119-2024</t>
        </is>
      </c>
      <c r="B536" s="1" t="n">
        <v>45562</v>
      </c>
      <c r="C536" s="1" t="n">
        <v>45646</v>
      </c>
      <c r="D536" t="inlineStr">
        <is>
          <t>NORRBOTTENS LÄN</t>
        </is>
      </c>
      <c r="E536" t="inlineStr">
        <is>
          <t>ÖVERKALIX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42843-2024</t>
        </is>
      </c>
      <c r="B537" s="1" t="n">
        <v>45566</v>
      </c>
      <c r="C537" s="1" t="n">
        <v>45646</v>
      </c>
      <c r="D537" t="inlineStr">
        <is>
          <t>NORRBOTTENS LÄN</t>
        </is>
      </c>
      <c r="E537" t="inlineStr">
        <is>
          <t>ÖVERKALIX</t>
        </is>
      </c>
      <c r="G537" t="n">
        <v>12.2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42988-2024</t>
        </is>
      </c>
      <c r="B538" s="1" t="n">
        <v>45567</v>
      </c>
      <c r="C538" s="1" t="n">
        <v>45646</v>
      </c>
      <c r="D538" t="inlineStr">
        <is>
          <t>NORRBOTTENS LÄN</t>
        </is>
      </c>
      <c r="E538" t="inlineStr">
        <is>
          <t>ÖVERKALIX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43334-2024</t>
        </is>
      </c>
      <c r="B539" s="1" t="n">
        <v>45568</v>
      </c>
      <c r="C539" s="1" t="n">
        <v>45646</v>
      </c>
      <c r="D539" t="inlineStr">
        <is>
          <t>NORRBOTTENS LÄN</t>
        </is>
      </c>
      <c r="E539" t="inlineStr">
        <is>
          <t>ÖVERKALIX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43721-2024</t>
        </is>
      </c>
      <c r="B540" s="1" t="n">
        <v>45569</v>
      </c>
      <c r="C540" s="1" t="n">
        <v>45646</v>
      </c>
      <c r="D540" t="inlineStr">
        <is>
          <t>NORRBOTTENS LÄN</t>
        </is>
      </c>
      <c r="E540" t="inlineStr">
        <is>
          <t>ÖVERKALIX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43719-2024</t>
        </is>
      </c>
      <c r="B541" s="1" t="n">
        <v>45569</v>
      </c>
      <c r="C541" s="1" t="n">
        <v>45646</v>
      </c>
      <c r="D541" t="inlineStr">
        <is>
          <t>NORRBOTTENS LÄN</t>
        </is>
      </c>
      <c r="E541" t="inlineStr">
        <is>
          <t>ÖVERKALIX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44952-2024</t>
        </is>
      </c>
      <c r="B542" s="1" t="n">
        <v>45575</v>
      </c>
      <c r="C542" s="1" t="n">
        <v>45646</v>
      </c>
      <c r="D542" t="inlineStr">
        <is>
          <t>NORRBOTTENS LÄN</t>
        </is>
      </c>
      <c r="E542" t="inlineStr">
        <is>
          <t>ÖVERKALIX</t>
        </is>
      </c>
      <c r="F542" t="inlineStr">
        <is>
          <t>SCA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47735-2024</t>
        </is>
      </c>
      <c r="B543" s="1" t="n">
        <v>45588</v>
      </c>
      <c r="C543" s="1" t="n">
        <v>45646</v>
      </c>
      <c r="D543" t="inlineStr">
        <is>
          <t>NORRBOTTENS LÄN</t>
        </is>
      </c>
      <c r="E543" t="inlineStr">
        <is>
          <t>ÖVERKALIX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47734-2024</t>
        </is>
      </c>
      <c r="B544" s="1" t="n">
        <v>45588</v>
      </c>
      <c r="C544" s="1" t="n">
        <v>45646</v>
      </c>
      <c r="D544" t="inlineStr">
        <is>
          <t>NORRBOTTENS LÄN</t>
        </is>
      </c>
      <c r="E544" t="inlineStr">
        <is>
          <t>ÖVERKALIX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48561-2024</t>
        </is>
      </c>
      <c r="B545" s="1" t="n">
        <v>45593</v>
      </c>
      <c r="C545" s="1" t="n">
        <v>45646</v>
      </c>
      <c r="D545" t="inlineStr">
        <is>
          <t>NORRBOTTENS LÄN</t>
        </is>
      </c>
      <c r="E545" t="inlineStr">
        <is>
          <t>ÖVERKALIX</t>
        </is>
      </c>
      <c r="F545" t="inlineStr">
        <is>
          <t>SCA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48747-2024</t>
        </is>
      </c>
      <c r="B546" s="1" t="n">
        <v>45593</v>
      </c>
      <c r="C546" s="1" t="n">
        <v>45646</v>
      </c>
      <c r="D546" t="inlineStr">
        <is>
          <t>NORRBOTTENS LÄN</t>
        </is>
      </c>
      <c r="E546" t="inlineStr">
        <is>
          <t>ÖVERKALIX</t>
        </is>
      </c>
      <c r="G546" t="n">
        <v>13.2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49091-2024</t>
        </is>
      </c>
      <c r="B547" s="1" t="n">
        <v>45594</v>
      </c>
      <c r="C547" s="1" t="n">
        <v>45646</v>
      </c>
      <c r="D547" t="inlineStr">
        <is>
          <t>NORRBOTTENS LÄN</t>
        </is>
      </c>
      <c r="E547" t="inlineStr">
        <is>
          <t>ÖVERKALIX</t>
        </is>
      </c>
      <c r="F547" t="inlineStr">
        <is>
          <t>Sveaskog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49923-2024</t>
        </is>
      </c>
      <c r="B548" s="1" t="n">
        <v>45597</v>
      </c>
      <c r="C548" s="1" t="n">
        <v>45646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8.4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49872-2024</t>
        </is>
      </c>
      <c r="B549" s="1" t="n">
        <v>45597</v>
      </c>
      <c r="C549" s="1" t="n">
        <v>45646</v>
      </c>
      <c r="D549" t="inlineStr">
        <is>
          <t>NORRBOTTENS LÄN</t>
        </is>
      </c>
      <c r="E549" t="inlineStr">
        <is>
          <t>ÖVERKALIX</t>
        </is>
      </c>
      <c r="G549" t="n">
        <v>12.5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50175-2024</t>
        </is>
      </c>
      <c r="B550" s="1" t="n">
        <v>45600</v>
      </c>
      <c r="C550" s="1" t="n">
        <v>45646</v>
      </c>
      <c r="D550" t="inlineStr">
        <is>
          <t>NORRBOTTENS LÄN</t>
        </is>
      </c>
      <c r="E550" t="inlineStr">
        <is>
          <t>ÖVERKALIX</t>
        </is>
      </c>
      <c r="F550" t="inlineStr">
        <is>
          <t>SCA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50216-2024</t>
        </is>
      </c>
      <c r="B551" s="1" t="n">
        <v>45600</v>
      </c>
      <c r="C551" s="1" t="n">
        <v>45646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Sveaskog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50691-2024</t>
        </is>
      </c>
      <c r="B552" s="1" t="n">
        <v>45602</v>
      </c>
      <c r="C552" s="1" t="n">
        <v>45646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51057-2024</t>
        </is>
      </c>
      <c r="B553" s="1" t="n">
        <v>45603</v>
      </c>
      <c r="C553" s="1" t="n">
        <v>45646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SCA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51058-2024</t>
        </is>
      </c>
      <c r="B554" s="1" t="n">
        <v>45603</v>
      </c>
      <c r="C554" s="1" t="n">
        <v>45646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51063-2024</t>
        </is>
      </c>
      <c r="B555" s="1" t="n">
        <v>45603</v>
      </c>
      <c r="C555" s="1" t="n">
        <v>45646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51525-2024</t>
        </is>
      </c>
      <c r="B556" s="1" t="n">
        <v>45604</v>
      </c>
      <c r="C556" s="1" t="n">
        <v>45646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51561-2024</t>
        </is>
      </c>
      <c r="B557" s="1" t="n">
        <v>45604</v>
      </c>
      <c r="C557" s="1" t="n">
        <v>45646</v>
      </c>
      <c r="D557" t="inlineStr">
        <is>
          <t>NORRBOTTENS LÄN</t>
        </is>
      </c>
      <c r="E557" t="inlineStr">
        <is>
          <t>ÖVERKALIX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51526-2024</t>
        </is>
      </c>
      <c r="B558" s="1" t="n">
        <v>45604</v>
      </c>
      <c r="C558" s="1" t="n">
        <v>45646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SCA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51745-2024</t>
        </is>
      </c>
      <c r="B559" s="1" t="n">
        <v>45607</v>
      </c>
      <c r="C559" s="1" t="n">
        <v>45646</v>
      </c>
      <c r="D559" t="inlineStr">
        <is>
          <t>NORRBOTTENS LÄN</t>
        </is>
      </c>
      <c r="E559" t="inlineStr">
        <is>
          <t>ÖVERKALIX</t>
        </is>
      </c>
      <c r="G559" t="n">
        <v>17.5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52154-2024</t>
        </is>
      </c>
      <c r="B560" s="1" t="n">
        <v>45608</v>
      </c>
      <c r="C560" s="1" t="n">
        <v>45646</v>
      </c>
      <c r="D560" t="inlineStr">
        <is>
          <t>NORRBOTTENS LÄN</t>
        </is>
      </c>
      <c r="E560" t="inlineStr">
        <is>
          <t>ÖVERKALIX</t>
        </is>
      </c>
      <c r="F560" t="inlineStr">
        <is>
          <t>SCA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52647-2024</t>
        </is>
      </c>
      <c r="B561" s="1" t="n">
        <v>45610</v>
      </c>
      <c r="C561" s="1" t="n">
        <v>45646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52976-2024</t>
        </is>
      </c>
      <c r="B562" s="1" t="n">
        <v>45611</v>
      </c>
      <c r="C562" s="1" t="n">
        <v>45646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52984-2024</t>
        </is>
      </c>
      <c r="B563" s="1" t="n">
        <v>45611</v>
      </c>
      <c r="C563" s="1" t="n">
        <v>45646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Sveaskog</t>
        </is>
      </c>
      <c r="G563" t="n">
        <v>25.9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54740-2024</t>
        </is>
      </c>
      <c r="B564" s="1" t="n">
        <v>45618</v>
      </c>
      <c r="C564" s="1" t="n">
        <v>45646</v>
      </c>
      <c r="D564" t="inlineStr">
        <is>
          <t>NORRBOTTENS LÄN</t>
        </is>
      </c>
      <c r="E564" t="inlineStr">
        <is>
          <t>ÖVERKALIX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55227-2024</t>
        </is>
      </c>
      <c r="B565" s="1" t="n">
        <v>45621</v>
      </c>
      <c r="C565" s="1" t="n">
        <v>45646</v>
      </c>
      <c r="D565" t="inlineStr">
        <is>
          <t>NORRBOTTENS LÄN</t>
        </is>
      </c>
      <c r="E565" t="inlineStr">
        <is>
          <t>ÖVERKALIX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55085-2024</t>
        </is>
      </c>
      <c r="B566" s="1" t="n">
        <v>45621</v>
      </c>
      <c r="C566" s="1" t="n">
        <v>45646</v>
      </c>
      <c r="D566" t="inlineStr">
        <is>
          <t>NORRBOTTENS LÄN</t>
        </is>
      </c>
      <c r="E566" t="inlineStr">
        <is>
          <t>ÖVERKALIX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55089-2024</t>
        </is>
      </c>
      <c r="B567" s="1" t="n">
        <v>45621</v>
      </c>
      <c r="C567" s="1" t="n">
        <v>45646</v>
      </c>
      <c r="D567" t="inlineStr">
        <is>
          <t>NORRBOTTENS LÄN</t>
        </is>
      </c>
      <c r="E567" t="inlineStr">
        <is>
          <t>ÖVERKALIX</t>
        </is>
      </c>
      <c r="G567" t="n">
        <v>12.3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55094-2024</t>
        </is>
      </c>
      <c r="B568" s="1" t="n">
        <v>45621</v>
      </c>
      <c r="C568" s="1" t="n">
        <v>45646</v>
      </c>
      <c r="D568" t="inlineStr">
        <is>
          <t>NORRBOTTENS LÄN</t>
        </is>
      </c>
      <c r="E568" t="inlineStr">
        <is>
          <t>ÖVERKALIX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55226-2024</t>
        </is>
      </c>
      <c r="B569" s="1" t="n">
        <v>45621</v>
      </c>
      <c r="C569" s="1" t="n">
        <v>45646</v>
      </c>
      <c r="D569" t="inlineStr">
        <is>
          <t>NORRBOTTENS LÄN</t>
        </is>
      </c>
      <c r="E569" t="inlineStr">
        <is>
          <t>ÖVERKALIX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55329-2024</t>
        </is>
      </c>
      <c r="B570" s="1" t="n">
        <v>45621</v>
      </c>
      <c r="C570" s="1" t="n">
        <v>45646</v>
      </c>
      <c r="D570" t="inlineStr">
        <is>
          <t>NORRBOTTENS LÄN</t>
        </is>
      </c>
      <c r="E570" t="inlineStr">
        <is>
          <t>ÖVERKALIX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55330-2024</t>
        </is>
      </c>
      <c r="B571" s="1" t="n">
        <v>45621</v>
      </c>
      <c r="C571" s="1" t="n">
        <v>45646</v>
      </c>
      <c r="D571" t="inlineStr">
        <is>
          <t>NORRBOTTENS LÄN</t>
        </is>
      </c>
      <c r="E571" t="inlineStr">
        <is>
          <t>ÖVERKALIX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55857-2024</t>
        </is>
      </c>
      <c r="B572" s="1" t="n">
        <v>45622</v>
      </c>
      <c r="C572" s="1" t="n">
        <v>45646</v>
      </c>
      <c r="D572" t="inlineStr">
        <is>
          <t>NORRBOTTENS LÄN</t>
        </is>
      </c>
      <c r="E572" t="inlineStr">
        <is>
          <t>ÖVERKALIX</t>
        </is>
      </c>
      <c r="G572" t="n">
        <v>6.9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55838-2024</t>
        </is>
      </c>
      <c r="B573" s="1" t="n">
        <v>45622</v>
      </c>
      <c r="C573" s="1" t="n">
        <v>45646</v>
      </c>
      <c r="D573" t="inlineStr">
        <is>
          <t>NORRBOTTENS LÄN</t>
        </is>
      </c>
      <c r="E573" t="inlineStr">
        <is>
          <t>ÖVERKALIX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55853-2024</t>
        </is>
      </c>
      <c r="B574" s="1" t="n">
        <v>45622</v>
      </c>
      <c r="C574" s="1" t="n">
        <v>45646</v>
      </c>
      <c r="D574" t="inlineStr">
        <is>
          <t>NORRBOTTENS LÄN</t>
        </is>
      </c>
      <c r="E574" t="inlineStr">
        <is>
          <t>ÖVERKALIX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58038-2024</t>
        </is>
      </c>
      <c r="B575" s="1" t="n">
        <v>45631</v>
      </c>
      <c r="C575" s="1" t="n">
        <v>45646</v>
      </c>
      <c r="D575" t="inlineStr">
        <is>
          <t>NORRBOTTENS LÄN</t>
        </is>
      </c>
      <c r="E575" t="inlineStr">
        <is>
          <t>ÖVERKALIX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58037-2024</t>
        </is>
      </c>
      <c r="B576" s="1" t="n">
        <v>45631</v>
      </c>
      <c r="C576" s="1" t="n">
        <v>45646</v>
      </c>
      <c r="D576" t="inlineStr">
        <is>
          <t>NORRBOTTENS LÄN</t>
        </is>
      </c>
      <c r="E576" t="inlineStr">
        <is>
          <t>ÖVERKALIX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59183-2024</t>
        </is>
      </c>
      <c r="B577" s="1" t="n">
        <v>45637</v>
      </c>
      <c r="C577" s="1" t="n">
        <v>45646</v>
      </c>
      <c r="D577" t="inlineStr">
        <is>
          <t>NORRBOTTENS LÄN</t>
        </is>
      </c>
      <c r="E577" t="inlineStr">
        <is>
          <t>ÖVERKALIX</t>
        </is>
      </c>
      <c r="G577" t="n">
        <v>16.9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59186-2024</t>
        </is>
      </c>
      <c r="B578" s="1" t="n">
        <v>45637</v>
      </c>
      <c r="C578" s="1" t="n">
        <v>45646</v>
      </c>
      <c r="D578" t="inlineStr">
        <is>
          <t>NORRBOTTENS LÄN</t>
        </is>
      </c>
      <c r="E578" t="inlineStr">
        <is>
          <t>ÖVERKALIX</t>
        </is>
      </c>
      <c r="G578" t="n">
        <v>11.8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59280-2024</t>
        </is>
      </c>
      <c r="B579" s="1" t="n">
        <v>45637</v>
      </c>
      <c r="C579" s="1" t="n">
        <v>45646</v>
      </c>
      <c r="D579" t="inlineStr">
        <is>
          <t>NORRBOTTENS LÄN</t>
        </is>
      </c>
      <c r="E579" t="inlineStr">
        <is>
          <t>ÖVERKALIX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59832-2024</t>
        </is>
      </c>
      <c r="B580" s="1" t="n">
        <v>45639</v>
      </c>
      <c r="C580" s="1" t="n">
        <v>45646</v>
      </c>
      <c r="D580" t="inlineStr">
        <is>
          <t>NORRBOTTENS LÄN</t>
        </is>
      </c>
      <c r="E580" t="inlineStr">
        <is>
          <t>ÖVERKALIX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59911-2024</t>
        </is>
      </c>
      <c r="B581" s="1" t="n">
        <v>45641</v>
      </c>
      <c r="C581" s="1" t="n">
        <v>45646</v>
      </c>
      <c r="D581" t="inlineStr">
        <is>
          <t>NORRBOTTENS LÄN</t>
        </is>
      </c>
      <c r="E581" t="inlineStr">
        <is>
          <t>ÖVERKALIX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60418-2024</t>
        </is>
      </c>
      <c r="B582" s="1" t="n">
        <v>45643</v>
      </c>
      <c r="C582" s="1" t="n">
        <v>45646</v>
      </c>
      <c r="D582" t="inlineStr">
        <is>
          <t>NORRBOTTENS LÄN</t>
        </is>
      </c>
      <c r="E582" t="inlineStr">
        <is>
          <t>ÖVERKALIX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60393-2024</t>
        </is>
      </c>
      <c r="B583" s="1" t="n">
        <v>45643</v>
      </c>
      <c r="C583" s="1" t="n">
        <v>45646</v>
      </c>
      <c r="D583" t="inlineStr">
        <is>
          <t>NORRBOTTENS LÄN</t>
        </is>
      </c>
      <c r="E583" t="inlineStr">
        <is>
          <t>ÖVERKALIX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60417-2024</t>
        </is>
      </c>
      <c r="B584" s="1" t="n">
        <v>45643</v>
      </c>
      <c r="C584" s="1" t="n">
        <v>45646</v>
      </c>
      <c r="D584" t="inlineStr">
        <is>
          <t>NORRBOTTENS LÄN</t>
        </is>
      </c>
      <c r="E584" t="inlineStr">
        <is>
          <t>ÖVERKALIX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60463-2024</t>
        </is>
      </c>
      <c r="B585" s="1" t="n">
        <v>45643</v>
      </c>
      <c r="C585" s="1" t="n">
        <v>45646</v>
      </c>
      <c r="D585" t="inlineStr">
        <is>
          <t>NORRBOTTENS LÄN</t>
        </is>
      </c>
      <c r="E585" t="inlineStr">
        <is>
          <t>ÖVERKALIX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60774-2024</t>
        </is>
      </c>
      <c r="B586" s="1" t="n">
        <v>45644</v>
      </c>
      <c r="C586" s="1" t="n">
        <v>45646</v>
      </c>
      <c r="D586" t="inlineStr">
        <is>
          <t>NORRBOTTENS LÄN</t>
        </is>
      </c>
      <c r="E586" t="inlineStr">
        <is>
          <t>ÖVERKALIX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60786-2024</t>
        </is>
      </c>
      <c r="B587" s="1" t="n">
        <v>45644</v>
      </c>
      <c r="C587" s="1" t="n">
        <v>45646</v>
      </c>
      <c r="D587" t="inlineStr">
        <is>
          <t>NORRBOTTENS LÄN</t>
        </is>
      </c>
      <c r="E587" t="inlineStr">
        <is>
          <t>ÖVERKALIX</t>
        </is>
      </c>
      <c r="G587" t="n">
        <v>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60772-2024</t>
        </is>
      </c>
      <c r="B588" s="1" t="n">
        <v>45644</v>
      </c>
      <c r="C588" s="1" t="n">
        <v>45646</v>
      </c>
      <c r="D588" t="inlineStr">
        <is>
          <t>NORRBOTTENS LÄN</t>
        </is>
      </c>
      <c r="E588" t="inlineStr">
        <is>
          <t>ÖVERKALIX</t>
        </is>
      </c>
      <c r="G588" t="n">
        <v>10.3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>
      <c r="A589" t="inlineStr">
        <is>
          <t>A 60776-2024</t>
        </is>
      </c>
      <c r="B589" s="1" t="n">
        <v>45644</v>
      </c>
      <c r="C589" s="1" t="n">
        <v>45646</v>
      </c>
      <c r="D589" t="inlineStr">
        <is>
          <t>NORRBOTTENS LÄN</t>
        </is>
      </c>
      <c r="E589" t="inlineStr">
        <is>
          <t>ÖVERKALIX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2024-12-20T15:17:20Z</dcterms:created>
  <dcterms:modified xmlns:dcterms="http://purl.org/dc/terms/" xmlns:xsi="http://www.w3.org/2001/XMLSchema-instance" xsi:type="dcterms:W3CDTF">2024-12-20T15:17:20Z</dcterms:modified>
</cp:coreProperties>
</file>