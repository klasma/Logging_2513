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46252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46252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46252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3</v>
      </c>
      <c r="K4" t="n">
        <v>2</v>
      </c>
      <c r="L4" t="n">
        <v>8</v>
      </c>
      <c r="M4" t="n">
        <v>2</v>
      </c>
      <c r="N4" t="n">
        <v>0</v>
      </c>
      <c r="O4" t="n">
        <v>0</v>
      </c>
      <c r="P4" t="n">
        <v>0</v>
      </c>
      <c r="Q4" t="n">
        <v>10</v>
      </c>
      <c r="R4" t="n">
        <v>2</v>
      </c>
      <c r="S4" t="n">
        <v>13</v>
      </c>
      <c r="T4" t="n">
        <v>38</v>
      </c>
      <c r="U4" t="n">
        <v>38</v>
      </c>
      <c r="V4" s="2" t="inlineStr">
        <is>
          <t>Garnlav
Smalfotad taggsvamp
Dropptaggsvamp
Nordtagging
Orange taggsvamp
Skarp dropptaggsvamp
Tallriska
Talltagel
Talltita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46252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46252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23</v>
      </c>
      <c r="U6" t="n">
        <v>23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46252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1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11</v>
      </c>
      <c r="T7" t="n">
        <v>42</v>
      </c>
      <c r="U7" t="n">
        <v>42</v>
      </c>
      <c r="V7" s="2" t="inlineStr">
        <is>
          <t>Garnlav
Dropptaggsvamp
Kolflarnlav
Nordtagging
Orange taggsvamp
Skarp dropptaggsvamp
Tallriska
Talltagel
Vaddporing
Nästlav
Plattlummer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46252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46252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3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11</v>
      </c>
      <c r="V9" s="2" t="inlineStr">
        <is>
          <t>Garnlav
Knärot
Myskmåra
Tretåig hackspett
Björksplintborre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46252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46252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46252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46252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46252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49422-2023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45211</v>
      </c>
      <c r="E15" s="1" t="n">
        <v>46252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5.6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6</v>
      </c>
      <c r="U15" t="n">
        <v>6</v>
      </c>
      <c r="V15" s="2" t="inlineStr">
        <is>
          <t>Tallgråticka
Blå taggsvamp
Dropptaggsvamp
Orange taggsvamp
Svartvit taggsvamp</t>
        </is>
      </c>
      <c r="W15">
        <f>HYPERLINK("https://klasma.github.io/Logging_2513/artfynd/A 49422-2023 artfynd.xlsx", "A 49422-2023")</f>
        <v/>
      </c>
      <c r="X15">
        <f>HYPERLINK("https://klasma.github.io/Logging_2513/kartor/A 49422-2023 karta.png", "A 49422-2023")</f>
        <v/>
      </c>
      <c r="Y15">
        <f>HYPERLINK("https://klasma.github.io/Logging_2513/kartor_geotiff/A 49422-2023 georefererad karta.tif", "A 49422-2023")</f>
        <v/>
      </c>
      <c r="AA15">
        <f>HYPERLINK("https://klasma.github.io/Logging_2513/klagomål/A 49422-2023 FSC-klagomål.docx", "A 49422-2023")</f>
        <v/>
      </c>
      <c r="AB15">
        <f>HYPERLINK("https://klasma.github.io/Logging_2513/klagomålsmail/A 49422-2023 FSC-klagomål mail.docx", "A 49422-2023")</f>
        <v/>
      </c>
      <c r="AC15">
        <f>HYPERLINK("https://klasma.github.io/Logging_2513/tillsyn/A 49422-2023 tillsynsbegäran.docx", "A 49422-2023")</f>
        <v/>
      </c>
      <c r="AD15">
        <f>HYPERLINK("https://klasma.github.io/Logging_2513/tillsynsmail/A 49422-2023 tillsynsbegäran mail.docx", "A 49422-2023")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46252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46252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46252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46252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Gammelgransskål
Bollvitmossa
Järpe</t>
        </is>
      </c>
      <c r="W19">
        <f>HYPERLINK("https://klasma.github.io/Logging_2513/artfynd/A 30525-2025 artfynd.xlsx", "A 30525-2025")</f>
        <v/>
      </c>
      <c r="X19">
        <f>HYPERLINK("https://klasma.github.io/Logging_2513/kartor/A 30525-2025 karta.png", "A 30525-2025")</f>
        <v/>
      </c>
      <c r="Y19">
        <f>HYPERLINK("https://klasma.github.io/Logging_2513/kartor_geotiff/A 30525-2025 georefererad karta.tif", "A 30525-2025")</f>
        <v/>
      </c>
      <c r="AA19">
        <f>HYPERLINK("https://klasma.github.io/Logging_2513/klagomål/A 30525-2025 FSC-klagomål.docx", "A 30525-2025")</f>
        <v/>
      </c>
      <c r="AB19">
        <f>HYPERLINK("https://klasma.github.io/Logging_2513/klagomålsmail/A 30525-2025 FSC-klagomål mail.docx", "A 30525-2025")</f>
        <v/>
      </c>
      <c r="AC19">
        <f>HYPERLINK("https://klasma.github.io/Logging_2513/tillsyn/A 30525-2025 tillsynsbegäran.docx", "A 30525-2025")</f>
        <v/>
      </c>
      <c r="AD19">
        <f>HYPERLINK("https://klasma.github.io/Logging_2513/tillsynsmail/A 30525-2025 tillsynsbegäran mail.docx", "A 30525-2025")</f>
        <v/>
      </c>
      <c r="AE19">
        <f>HYPERLINK("https://klasma.github.io/Logging_2513/fåglar/A 30525-2025 prioriterade fågelarter.docx", "A 30525-2025")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46252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46252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17802-2025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46252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Hökuggla
Älg
Tjäder</t>
        </is>
      </c>
      <c r="W22">
        <f>HYPERLINK("https://klasma.github.io/Logging_2513/artfynd/A 17802-2025 artfynd.xlsx", "A 17802-2025")</f>
        <v/>
      </c>
      <c r="X22">
        <f>HYPERLINK("https://klasma.github.io/Logging_2513/kartor/A 17802-2025 karta.png", "A 17802-2025")</f>
        <v/>
      </c>
      <c r="Y22">
        <f>HYPERLINK("https://klasma.github.io/Logging_2513/kartor_geotiff/A 17802-2025 georefererad karta.tif", "A 17802-2025")</f>
        <v/>
      </c>
      <c r="AA22">
        <f>HYPERLINK("https://klasma.github.io/Logging_2513/klagomål/A 17802-2025 FSC-klagomål.docx", "A 17802-2025")</f>
        <v/>
      </c>
      <c r="AB22">
        <f>HYPERLINK("https://klasma.github.io/Logging_2513/klagomålsmail/A 17802-2025 FSC-klagomål mail.docx", "A 17802-2025")</f>
        <v/>
      </c>
      <c r="AC22">
        <f>HYPERLINK("https://klasma.github.io/Logging_2513/tillsyn/A 17802-2025 tillsynsbegäran.docx", "A 17802-2025")</f>
        <v/>
      </c>
      <c r="AD22">
        <f>HYPERLINK("https://klasma.github.io/Logging_2513/tillsynsmail/A 17802-2025 tillsynsbegäran mail.docx", "A 17802-2025")</f>
        <v/>
      </c>
      <c r="AE22">
        <f>HYPERLINK("https://klasma.github.io/Logging_2513/fåglar/A 17802-2025 prioriterade fågelarter.docx", "A 17802-2025")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46252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13467-2022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46252</v>
      </c>
      <c r="F24" t="inlineStr">
        <is>
          <t>NORRBOTTENS LÄN</t>
        </is>
      </c>
      <c r="G24" t="inlineStr">
        <is>
          <t>ÖVERKALIX</t>
        </is>
      </c>
      <c r="I24" t="n">
        <v>6.8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Jorduggla
Järpe
Revlummer</t>
        </is>
      </c>
      <c r="W24">
        <f>HYPERLINK("https://klasma.github.io/Logging_2513/artfynd/A 13467-2022 artfynd.xlsx", "A 13467-2022")</f>
        <v/>
      </c>
      <c r="X24">
        <f>HYPERLINK("https://klasma.github.io/Logging_2513/kartor/A 13467-2022 karta.png", "A 13467-2022")</f>
        <v/>
      </c>
      <c r="Y24">
        <f>HYPERLINK("https://klasma.github.io/Logging_2513/kartor_geotiff/A 13467-2022 georefererad karta.tif", "A 13467-2022")</f>
        <v/>
      </c>
      <c r="AA24">
        <f>HYPERLINK("https://klasma.github.io/Logging_2513/klagomål/A 13467-2022 FSC-klagomål.docx", "A 13467-2022")</f>
        <v/>
      </c>
      <c r="AB24">
        <f>HYPERLINK("https://klasma.github.io/Logging_2513/klagomålsmail/A 13467-2022 FSC-klagomål mail.docx", "A 13467-2022")</f>
        <v/>
      </c>
      <c r="AC24">
        <f>HYPERLINK("https://klasma.github.io/Logging_2513/tillsyn/A 13467-2022 tillsynsbegäran.docx", "A 13467-2022")</f>
        <v/>
      </c>
      <c r="AD24">
        <f>HYPERLINK("https://klasma.github.io/Logging_2513/tillsynsmail/A 13467-2022 tillsynsbegäran mail.docx", "A 13467-2022")</f>
        <v/>
      </c>
      <c r="AE24">
        <f>HYPERLINK("https://klasma.github.io/Logging_2513/fåglar/A 13467-2022 prioriterade fågelarter.docx", "A 13467-2022")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46252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19275-2025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46252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16.3</v>
      </c>
      <c r="J26" t="n">
        <v>2</v>
      </c>
      <c r="K26" t="n">
        <v>1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5</v>
      </c>
      <c r="U26" t="n">
        <v>3</v>
      </c>
      <c r="V26" s="2" t="inlineStr">
        <is>
          <t>Fläckporing
Knärot
Plattlummer</t>
        </is>
      </c>
      <c r="W26">
        <f>HYPERLINK("https://klasma.github.io/Logging_2513/artfynd/A 19275-2025 artfynd.xlsx", "A 19275-2025")</f>
        <v/>
      </c>
      <c r="X26">
        <f>HYPERLINK("https://klasma.github.io/Logging_2513/kartor/A 19275-2025 karta.png", "A 19275-2025")</f>
        <v/>
      </c>
      <c r="Y26">
        <f>HYPERLINK("https://klasma.github.io/Logging_2513/kartor_geotiff/A 19275-2025 georefererad karta.tif", "A 19275-2025")</f>
        <v/>
      </c>
      <c r="Z26">
        <f>HYPERLINK("https://klasma.github.io/Logging_2513/knärot/A 19275-2025 karta knärot.png", "A 19275-2025")</f>
        <v/>
      </c>
      <c r="AA26">
        <f>HYPERLINK("https://klasma.github.io/Logging_2513/klagomål/A 19275-2025 FSC-klagomål.docx", "A 19275-2025")</f>
        <v/>
      </c>
      <c r="AB26">
        <f>HYPERLINK("https://klasma.github.io/Logging_2513/klagomålsmail/A 19275-2025 FSC-klagomål mail.docx", "A 19275-2025")</f>
        <v/>
      </c>
      <c r="AC26">
        <f>HYPERLINK("https://klasma.github.io/Logging_2513/tillsyn/A 19275-2025 tillsynsbegäran.docx", "A 19275-2025")</f>
        <v/>
      </c>
      <c r="AD26">
        <f>HYPERLINK("https://klasma.github.io/Logging_2513/tillsynsmail/A 19275-2025 tillsynsbegäran mail.docx", "A 19275-2025")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46252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25544-2026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46177</v>
      </c>
      <c r="E28" s="1" t="n">
        <v>46252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3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Tallgråticka
Blå taggsvamp
Skarp dropptaggsvamp</t>
        </is>
      </c>
      <c r="W28">
        <f>HYPERLINK("https://klasma.github.io/Logging_2513/artfynd/A 25544-2026 artfynd.xlsx", "A 25544-2026")</f>
        <v/>
      </c>
      <c r="X28">
        <f>HYPERLINK("https://klasma.github.io/Logging_2513/kartor/A 25544-2026 karta.png", "A 25544-2026")</f>
        <v/>
      </c>
      <c r="Y28">
        <f>HYPERLINK("https://klasma.github.io/Logging_2513/kartor_geotiff/A 25544-2026 georefererad karta.tif", "A 25544-2026")</f>
        <v/>
      </c>
      <c r="AA28">
        <f>HYPERLINK("https://klasma.github.io/Logging_2513/klagomål/A 25544-2026 FSC-klagomål.docx", "A 25544-2026")</f>
        <v/>
      </c>
      <c r="AB28">
        <f>HYPERLINK("https://klasma.github.io/Logging_2513/klagomålsmail/A 25544-2026 FSC-klagomål mail.docx", "A 25544-2026")</f>
        <v/>
      </c>
      <c r="AC28">
        <f>HYPERLINK("https://klasma.github.io/Logging_2513/tillsyn/A 25544-2026 tillsynsbegäran.docx", "A 25544-2026")</f>
        <v/>
      </c>
      <c r="AD28">
        <f>HYPERLINK("https://klasma.github.io/Logging_2513/tillsynsmail/A 25544-2026 tillsynsbegäran mail.docx", "A 25544-2026")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46252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7477-2023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44966</v>
      </c>
      <c r="E30" s="1" t="n">
        <v>46252</v>
      </c>
      <c r="F30" t="inlineStr">
        <is>
          <t>NORRBOTTENS LÄN</t>
        </is>
      </c>
      <c r="G30" t="inlineStr">
        <is>
          <t>ÖVERKALIX</t>
        </is>
      </c>
      <c r="I30" t="n">
        <v>2.6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Motaggsvamp
Skarp dropptaggsvamp</t>
        </is>
      </c>
      <c r="W30">
        <f>HYPERLINK("https://klasma.github.io/Logging_2513/artfynd/A 7477-2023 artfynd.xlsx", "A 7477-2023")</f>
        <v/>
      </c>
      <c r="X30">
        <f>HYPERLINK("https://klasma.github.io/Logging_2513/kartor/A 7477-2023 karta.png", "A 7477-2023")</f>
        <v/>
      </c>
      <c r="Y30">
        <f>HYPERLINK("https://klasma.github.io/Logging_2513/kartor_geotiff/A 7477-2023 georefererad karta.tif", "A 7477-2023")</f>
        <v/>
      </c>
      <c r="AA30">
        <f>HYPERLINK("https://klasma.github.io/Logging_2513/klagomål/A 7477-2023 FSC-klagomål.docx", "A 7477-2023")</f>
        <v/>
      </c>
      <c r="AB30">
        <f>HYPERLINK("https://klasma.github.io/Logging_2513/klagomålsmail/A 7477-2023 FSC-klagomål mail.docx", "A 7477-2023")</f>
        <v/>
      </c>
      <c r="AC30">
        <f>HYPERLINK("https://klasma.github.io/Logging_2513/tillsyn/A 7477-2023 tillsynsbegäran.docx", "A 7477-2023")</f>
        <v/>
      </c>
      <c r="AD30">
        <f>HYPERLINK("https://klasma.github.io/Logging_2513/tillsynsmail/A 7477-2023 tillsynsbegäran mail.docx", "A 7477-2023")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46252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45904</v>
      </c>
      <c r="E32" s="1" t="n">
        <v>46252</v>
      </c>
      <c r="F32" t="inlineStr">
        <is>
          <t>NORRBOTTENS LÄN</t>
        </is>
      </c>
      <c r="G32" t="inlineStr">
        <is>
          <t>ÖVERKALIX</t>
        </is>
      </c>
      <c r="I32" t="n">
        <v>0.3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Kungsfågel
Vanlig padda</t>
        </is>
      </c>
      <c r="W32">
        <f>HYPERLINK("https://klasma.github.io/Logging_2513/artfynd/A 42285-2025 artfynd.xlsx", "A 42285-2025")</f>
        <v/>
      </c>
      <c r="X32">
        <f>HYPERLINK("https://klasma.github.io/Logging_2513/kartor/A 42285-2025 karta.png", "A 42285-2025")</f>
        <v/>
      </c>
      <c r="Y32">
        <f>HYPERLINK("https://klasma.github.io/Logging_2513/kartor_geotiff/A 42285-2025 georefererad karta.tif", "A 42285-2025")</f>
        <v/>
      </c>
      <c r="AA32">
        <f>HYPERLINK("https://klasma.github.io/Logging_2513/klagomål/A 42285-2025 FSC-klagomål.docx", "A 42285-2025")</f>
        <v/>
      </c>
      <c r="AB32">
        <f>HYPERLINK("https://klasma.github.io/Logging_2513/klagomålsmail/A 42285-2025 FSC-klagomål mail.docx", "A 42285-2025")</f>
        <v/>
      </c>
      <c r="AC32">
        <f>HYPERLINK("https://klasma.github.io/Logging_2513/tillsyn/A 42285-2025 tillsynsbegäran.docx", "A 42285-2025")</f>
        <v/>
      </c>
      <c r="AD32">
        <f>HYPERLINK("https://klasma.github.io/Logging_2513/tillsynsmail/A 42285-2025 tillsynsbegäran mail.docx", "A 42285-2025")</f>
        <v/>
      </c>
    </row>
    <row r="33" ht="15" customHeight="1">
      <c r="A33" t="inlineStr">
        <is>
          <t>A 34921-2025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45849</v>
      </c>
      <c r="E33" s="1" t="n">
        <v>46252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16.4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Gammelgransskål
Lunglav</t>
        </is>
      </c>
      <c r="W33">
        <f>HYPERLINK("https://klasma.github.io/Logging_2513/artfynd/A 34921-2025 artfynd.xlsx", "A 34921-2025")</f>
        <v/>
      </c>
      <c r="X33">
        <f>HYPERLINK("https://klasma.github.io/Logging_2513/kartor/A 34921-2025 karta.png", "A 34921-2025")</f>
        <v/>
      </c>
      <c r="Y33">
        <f>HYPERLINK("https://klasma.github.io/Logging_2513/kartor_geotiff/A 34921-2025 georefererad karta.tif", "A 34921-2025")</f>
        <v/>
      </c>
      <c r="AA33">
        <f>HYPERLINK("https://klasma.github.io/Logging_2513/klagomål/A 34921-2025 FSC-klagomål.docx", "A 34921-2025")</f>
        <v/>
      </c>
      <c r="AB33">
        <f>HYPERLINK("https://klasma.github.io/Logging_2513/klagomålsmail/A 34921-2025 FSC-klagomål mail.docx", "A 34921-2025")</f>
        <v/>
      </c>
      <c r="AC33">
        <f>HYPERLINK("https://klasma.github.io/Logging_2513/tillsyn/A 34921-2025 tillsynsbegäran.docx", "A 34921-2025")</f>
        <v/>
      </c>
      <c r="AD33">
        <f>HYPERLINK("https://klasma.github.io/Logging_2513/tillsynsmail/A 34921-2025 tillsynsbegäran mail.docx", "A 34921-2025")</f>
        <v/>
      </c>
    </row>
    <row r="34" ht="15" customHeight="1">
      <c r="A34" t="inlineStr">
        <is>
          <t>A 40706-2023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45170</v>
      </c>
      <c r="E34" s="1" t="n">
        <v>46252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7.1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Dropptaggsvamp</t>
        </is>
      </c>
      <c r="W34">
        <f>HYPERLINK("https://klasma.github.io/Logging_2513/artfynd/A 40706-2023 artfynd.xlsx", "A 40706-2023")</f>
        <v/>
      </c>
      <c r="X34">
        <f>HYPERLINK("https://klasma.github.io/Logging_2513/kartor/A 40706-2023 karta.png", "A 40706-2023")</f>
        <v/>
      </c>
      <c r="Y34">
        <f>HYPERLINK("https://klasma.github.io/Logging_2513/kartor_geotiff/A 40706-2023 georefererad karta.tif", "A 40706-2023")</f>
        <v/>
      </c>
      <c r="Z34">
        <f>HYPERLINK("https://klasma.github.io/Logging_2513/knärot/A 40706-2023 karta knärot.png", "A 40706-2023")</f>
        <v/>
      </c>
      <c r="AA34">
        <f>HYPERLINK("https://klasma.github.io/Logging_2513/klagomål/A 40706-2023 FSC-klagomål.docx", "A 40706-2023")</f>
        <v/>
      </c>
      <c r="AB34">
        <f>HYPERLINK("https://klasma.github.io/Logging_2513/klagomålsmail/A 40706-2023 FSC-klagomål mail.docx", "A 40706-2023")</f>
        <v/>
      </c>
      <c r="AC34">
        <f>HYPERLINK("https://klasma.github.io/Logging_2513/tillsyn/A 40706-2023 tillsynsbegäran.docx", "A 40706-2023")</f>
        <v/>
      </c>
      <c r="AD34">
        <f>HYPERLINK("https://klasma.github.io/Logging_2513/tillsynsmail/A 40706-2023 tillsynsbegäran mail.docx", "A 40706-2023")</f>
        <v/>
      </c>
    </row>
    <row r="35" ht="15" customHeight="1">
      <c r="A35" t="inlineStr">
        <is>
          <t>A 36803-2023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45154</v>
      </c>
      <c r="E35" s="1" t="n">
        <v>46252</v>
      </c>
      <c r="F35" t="inlineStr">
        <is>
          <t>NORRBOTTENS LÄN</t>
        </is>
      </c>
      <c r="G35" t="inlineStr">
        <is>
          <t>ÖVERKALIX</t>
        </is>
      </c>
      <c r="I35" t="n">
        <v>3.1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6</v>
      </c>
      <c r="U35" t="n">
        <v>6</v>
      </c>
      <c r="V35" s="2" t="inlineStr">
        <is>
          <t>Knärot
Revlummer</t>
        </is>
      </c>
      <c r="W35">
        <f>HYPERLINK("https://klasma.github.io/Logging_2513/artfynd/A 36803-2023 artfynd.xlsx", "A 36803-2023")</f>
        <v/>
      </c>
      <c r="X35">
        <f>HYPERLINK("https://klasma.github.io/Logging_2513/kartor/A 36803-2023 karta.png", "A 36803-2023")</f>
        <v/>
      </c>
      <c r="Y35">
        <f>HYPERLINK("https://klasma.github.io/Logging_2513/kartor_geotiff/A 36803-2023 georefererad karta.tif", "A 36803-2023")</f>
        <v/>
      </c>
      <c r="Z35">
        <f>HYPERLINK("https://klasma.github.io/Logging_2513/knärot/A 36803-2023 karta knärot.png", "A 36803-2023")</f>
        <v/>
      </c>
      <c r="AA35">
        <f>HYPERLINK("https://klasma.github.io/Logging_2513/klagomål/A 36803-2023 FSC-klagomål.docx", "A 36803-2023")</f>
        <v/>
      </c>
      <c r="AB35">
        <f>HYPERLINK("https://klasma.github.io/Logging_2513/klagomålsmail/A 36803-2023 FSC-klagomål mail.docx", "A 36803-2023")</f>
        <v/>
      </c>
      <c r="AC35">
        <f>HYPERLINK("https://klasma.github.io/Logging_2513/tillsyn/A 36803-2023 tillsynsbegäran.docx", "A 36803-2023")</f>
        <v/>
      </c>
      <c r="AD35">
        <f>HYPERLINK("https://klasma.github.io/Logging_2513/tillsynsmail/A 36803-2023 tillsynsbegäran mail.docx", "A 36803-2023")</f>
        <v/>
      </c>
    </row>
    <row r="36" ht="15" customHeight="1">
      <c r="A36" t="inlineStr">
        <is>
          <t>A 62951-2025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46252</v>
      </c>
      <c r="F36" t="inlineStr">
        <is>
          <t>NORRBOTTENS LÄN</t>
        </is>
      </c>
      <c r="G36" t="inlineStr">
        <is>
          <t>ÖVERKALIX</t>
        </is>
      </c>
      <c r="H36" t="inlineStr">
        <is>
          <t>SCA</t>
        </is>
      </c>
      <c r="I36" t="n">
        <v>4.2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Ullticka</t>
        </is>
      </c>
      <c r="W36">
        <f>HYPERLINK("https://klasma.github.io/Logging_2513/artfynd/A 62951-2025 artfynd.xlsx", "A 62951-2025")</f>
        <v/>
      </c>
      <c r="X36">
        <f>HYPERLINK("https://klasma.github.io/Logging_2513/kartor/A 62951-2025 karta.png", "A 62951-2025")</f>
        <v/>
      </c>
      <c r="Y36">
        <f>HYPERLINK("https://klasma.github.io/Logging_2513/kartor_geotiff/A 62951-2025 georefererad karta.tif", "A 62951-2025")</f>
        <v/>
      </c>
      <c r="AA36">
        <f>HYPERLINK("https://klasma.github.io/Logging_2513/klagomål/A 62951-2025 FSC-klagomål.docx", "A 62951-2025")</f>
        <v/>
      </c>
      <c r="AB36">
        <f>HYPERLINK("https://klasma.github.io/Logging_2513/klagomålsmail/A 62951-2025 FSC-klagomål mail.docx", "A 62951-2025")</f>
        <v/>
      </c>
      <c r="AC36">
        <f>HYPERLINK("https://klasma.github.io/Logging_2513/tillsyn/A 62951-2025 tillsynsbegäran.docx", "A 62951-2025")</f>
        <v/>
      </c>
      <c r="AD36">
        <f>HYPERLINK("https://klasma.github.io/Logging_2513/tillsynsmail/A 62951-2025 tillsynsbegäran mail.docx", "A 62951-2025")</f>
        <v/>
      </c>
    </row>
    <row r="37" ht="15" customHeight="1">
      <c r="A37" t="inlineStr">
        <is>
          <t>A 36378-2024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46252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21.5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Lunglav
Fläcknycklar</t>
        </is>
      </c>
      <c r="W37">
        <f>HYPERLINK("https://klasma.github.io/Logging_2513/artfynd/A 36378-2024 artfynd.xlsx", "A 36378-2024")</f>
        <v/>
      </c>
      <c r="X37">
        <f>HYPERLINK("https://klasma.github.io/Logging_2513/kartor/A 36378-2024 karta.png", "A 36378-2024")</f>
        <v/>
      </c>
      <c r="Y37">
        <f>HYPERLINK("https://klasma.github.io/Logging_2513/kartor_geotiff/A 36378-2024 georefererad karta.tif", "A 36378-2024")</f>
        <v/>
      </c>
      <c r="AA37">
        <f>HYPERLINK("https://klasma.github.io/Logging_2513/klagomål/A 36378-2024 FSC-klagomål.docx", "A 36378-2024")</f>
        <v/>
      </c>
      <c r="AB37">
        <f>HYPERLINK("https://klasma.github.io/Logging_2513/klagomålsmail/A 36378-2024 FSC-klagomål mail.docx", "A 36378-2024")</f>
        <v/>
      </c>
      <c r="AC37">
        <f>HYPERLINK("https://klasma.github.io/Logging_2513/tillsyn/A 36378-2024 tillsynsbegäran.docx", "A 36378-2024")</f>
        <v/>
      </c>
      <c r="AD37">
        <f>HYPERLINK("https://klasma.github.io/Logging_2513/tillsynsmail/A 36378-2024 tillsynsbegäran mail.docx", "A 36378-2024")</f>
        <v/>
      </c>
    </row>
    <row r="38" ht="15" customHeight="1">
      <c r="A38" t="inlineStr">
        <is>
          <t>A 36381-2024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46252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26.7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Gammelgransskål
Orre</t>
        </is>
      </c>
      <c r="W38">
        <f>HYPERLINK("https://klasma.github.io/Logging_2513/artfynd/A 36381-2024 artfynd.xlsx", "A 36381-2024")</f>
        <v/>
      </c>
      <c r="X38">
        <f>HYPERLINK("https://klasma.github.io/Logging_2513/kartor/A 36381-2024 karta.png", "A 36381-2024")</f>
        <v/>
      </c>
      <c r="Y38">
        <f>HYPERLINK("https://klasma.github.io/Logging_2513/kartor_geotiff/A 36381-2024 georefererad karta.tif", "A 36381-2024")</f>
        <v/>
      </c>
      <c r="AA38">
        <f>HYPERLINK("https://klasma.github.io/Logging_2513/klagomål/A 36381-2024 FSC-klagomål.docx", "A 36381-2024")</f>
        <v/>
      </c>
      <c r="AB38">
        <f>HYPERLINK("https://klasma.github.io/Logging_2513/klagomålsmail/A 36381-2024 FSC-klagomål mail.docx", "A 36381-2024")</f>
        <v/>
      </c>
      <c r="AC38">
        <f>HYPERLINK("https://klasma.github.io/Logging_2513/tillsyn/A 36381-2024 tillsynsbegäran.docx", "A 36381-2024")</f>
        <v/>
      </c>
      <c r="AD38">
        <f>HYPERLINK("https://klasma.github.io/Logging_2513/tillsynsmail/A 36381-2024 tillsynsbegäran mail.docx", "A 36381-2024")</f>
        <v/>
      </c>
      <c r="AE38">
        <f>HYPERLINK("https://klasma.github.io/Logging_2513/fåglar/A 36381-2024 prioriterade fågelarter.docx", "A 36381-2024")</f>
        <v/>
      </c>
    </row>
    <row r="39" ht="15" customHeight="1">
      <c r="A39" t="inlineStr">
        <is>
          <t>A 14152-2026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46099</v>
      </c>
      <c r="E39" s="1" t="n">
        <v>46252</v>
      </c>
      <c r="F39" t="inlineStr">
        <is>
          <t>NORRBOTTENS LÄN</t>
        </is>
      </c>
      <c r="G39" t="inlineStr">
        <is>
          <t>ÖVERKALIX</t>
        </is>
      </c>
      <c r="I39" t="n">
        <v>4.6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Källpraktmossa
Spädstarr</t>
        </is>
      </c>
      <c r="W39">
        <f>HYPERLINK("https://klasma.github.io/Logging_2513/artfynd/A 14152-2026 artfynd.xlsx", "A 14152-2026")</f>
        <v/>
      </c>
      <c r="X39">
        <f>HYPERLINK("https://klasma.github.io/Logging_2513/kartor/A 14152-2026 karta.png", "A 14152-2026")</f>
        <v/>
      </c>
      <c r="Y39">
        <f>HYPERLINK("https://klasma.github.io/Logging_2513/kartor_geotiff/A 14152-2026 georefererad karta.tif", "A 14152-2026")</f>
        <v/>
      </c>
      <c r="AA39">
        <f>HYPERLINK("https://klasma.github.io/Logging_2513/klagomål/A 14152-2026 FSC-klagomål.docx", "A 14152-2026")</f>
        <v/>
      </c>
      <c r="AB39">
        <f>HYPERLINK("https://klasma.github.io/Logging_2513/klagomålsmail/A 14152-2026 FSC-klagomål mail.docx", "A 14152-2026")</f>
        <v/>
      </c>
      <c r="AC39">
        <f>HYPERLINK("https://klasma.github.io/Logging_2513/tillsyn/A 14152-2026 tillsynsbegäran.docx", "A 14152-2026")</f>
        <v/>
      </c>
      <c r="AD39">
        <f>HYPERLINK("https://klasma.github.io/Logging_2513/tillsynsmail/A 14152-2026 tillsynsbegäran mail.docx", "A 14152-2026")</f>
        <v/>
      </c>
    </row>
    <row r="40" ht="15" customHeight="1">
      <c r="A40" t="inlineStr">
        <is>
          <t>A 31704-2026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46226</v>
      </c>
      <c r="E40" s="1" t="n">
        <v>46252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Blå taggsvamp
Skarp dropptaggsvamp</t>
        </is>
      </c>
      <c r="W40">
        <f>HYPERLINK("https://klasma.github.io/Logging_2513/artfynd/A 31704-2026 artfynd.xlsx", "A 31704-2026")</f>
        <v/>
      </c>
      <c r="X40">
        <f>HYPERLINK("https://klasma.github.io/Logging_2513/kartor/A 31704-2026 karta.png", "A 31704-2026")</f>
        <v/>
      </c>
      <c r="Y40">
        <f>HYPERLINK("https://klasma.github.io/Logging_2513/kartor_geotiff/A 31704-2026 georefererad karta.tif", "A 31704-2026")</f>
        <v/>
      </c>
      <c r="AA40">
        <f>HYPERLINK("https://klasma.github.io/Logging_2513/klagomål/A 31704-2026 FSC-klagomål.docx", "A 31704-2026")</f>
        <v/>
      </c>
      <c r="AB40">
        <f>HYPERLINK("https://klasma.github.io/Logging_2513/klagomålsmail/A 31704-2026 FSC-klagomål mail.docx", "A 31704-2026")</f>
        <v/>
      </c>
      <c r="AC40">
        <f>HYPERLINK("https://klasma.github.io/Logging_2513/tillsyn/A 31704-2026 tillsynsbegäran.docx", "A 31704-2026")</f>
        <v/>
      </c>
      <c r="AD40">
        <f>HYPERLINK("https://klasma.github.io/Logging_2513/tillsynsmail/A 31704-2026 tillsynsbegäran mail.docx", "A 31704-2026")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46252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46252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5</v>
      </c>
      <c r="V42" s="2" t="inlineStr">
        <is>
          <t>Knärot
Fläcknycklar</t>
        </is>
      </c>
      <c r="W42">
        <f>HYPERLINK("https://klasma.github.io/Logging_2513/artfynd/A 28929-2026 artfynd.xlsx", "A 28929-2026")</f>
        <v/>
      </c>
      <c r="X42">
        <f>HYPERLINK("https://klasma.github.io/Logging_2513/kartor/A 28929-2026 karta.png", "A 28929-2026")</f>
        <v/>
      </c>
      <c r="Y42">
        <f>HYPERLINK("https://klasma.github.io/Logging_2513/kartor_geotiff/A 28929-2026 georefererad karta.tif", "A 28929-2026")</f>
        <v/>
      </c>
      <c r="Z42">
        <f>HYPERLINK("https://klasma.github.io/Logging_2513/knärot/A 28929-2026 karta knärot.png", "A 28929-2026")</f>
        <v/>
      </c>
      <c r="AA42">
        <f>HYPERLINK("https://klasma.github.io/Logging_2513/klagomål/A 28929-2026 FSC-klagomål.docx", "A 28929-2026")</f>
        <v/>
      </c>
      <c r="AB42">
        <f>HYPERLINK("https://klasma.github.io/Logging_2513/klagomålsmail/A 28929-2026 FSC-klagomål mail.docx", "A 28929-2026")</f>
        <v/>
      </c>
      <c r="AC42">
        <f>HYPERLINK("https://klasma.github.io/Logging_2513/tillsyn/A 28929-2026 tillsynsbegäran.docx", "A 28929-2026")</f>
        <v/>
      </c>
      <c r="AD42">
        <f>HYPERLINK("https://klasma.github.io/Logging_2513/tillsynsmail/A 28929-2026 tillsynsbegäran mail.docx", "A 28929-2026")</f>
        <v/>
      </c>
    </row>
    <row r="43" ht="15" customHeight="1">
      <c r="A43" t="inlineStr">
        <is>
          <t>A 50691-2024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45602</v>
      </c>
      <c r="E43" s="1" t="n">
        <v>46252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4.2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Gammelgransskål
Vedticka</t>
        </is>
      </c>
      <c r="W43">
        <f>HYPERLINK("https://klasma.github.io/Logging_2513/artfynd/A 50691-2024 artfynd.xlsx", "A 50691-2024")</f>
        <v/>
      </c>
      <c r="X43">
        <f>HYPERLINK("https://klasma.github.io/Logging_2513/kartor/A 50691-2024 karta.png", "A 50691-2024")</f>
        <v/>
      </c>
      <c r="Y43">
        <f>HYPERLINK("https://klasma.github.io/Logging_2513/kartor_geotiff/A 50691-2024 georefererad karta.tif", "A 50691-2024")</f>
        <v/>
      </c>
      <c r="AA43">
        <f>HYPERLINK("https://klasma.github.io/Logging_2513/klagomål/A 50691-2024 FSC-klagomål.docx", "A 50691-2024")</f>
        <v/>
      </c>
      <c r="AB43">
        <f>HYPERLINK("https://klasma.github.io/Logging_2513/klagomålsmail/A 50691-2024 FSC-klagomål mail.docx", "A 50691-2024")</f>
        <v/>
      </c>
      <c r="AC43">
        <f>HYPERLINK("https://klasma.github.io/Logging_2513/tillsyn/A 50691-2024 tillsynsbegäran.docx", "A 50691-2024")</f>
        <v/>
      </c>
      <c r="AD43">
        <f>HYPERLINK("https://klasma.github.io/Logging_2513/tillsynsmail/A 50691-2024 tillsynsbegäran mail.docx", "A 50691-2024")</f>
        <v/>
      </c>
    </row>
    <row r="44" ht="15" customHeight="1">
      <c r="A44" t="inlineStr">
        <is>
          <t>A 47680-2024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45588</v>
      </c>
      <c r="E44" s="1" t="n">
        <v>46252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Blå taggsvamp
Skarp dropptaggsvamp</t>
        </is>
      </c>
      <c r="W44">
        <f>HYPERLINK("https://klasma.github.io/Logging_2513/artfynd/A 47680-2024 artfynd.xlsx", "A 47680-2024")</f>
        <v/>
      </c>
      <c r="X44">
        <f>HYPERLINK("https://klasma.github.io/Logging_2513/kartor/A 47680-2024 karta.png", "A 47680-2024")</f>
        <v/>
      </c>
      <c r="Y44">
        <f>HYPERLINK("https://klasma.github.io/Logging_2513/kartor_geotiff/A 47680-2024 georefererad karta.tif", "A 47680-2024")</f>
        <v/>
      </c>
      <c r="AA44">
        <f>HYPERLINK("https://klasma.github.io/Logging_2513/klagomål/A 47680-2024 FSC-klagomål.docx", "A 47680-2024")</f>
        <v/>
      </c>
      <c r="AB44">
        <f>HYPERLINK("https://klasma.github.io/Logging_2513/klagomålsmail/A 47680-2024 FSC-klagomål mail.docx", "A 47680-2024")</f>
        <v/>
      </c>
      <c r="AC44">
        <f>HYPERLINK("https://klasma.github.io/Logging_2513/tillsyn/A 47680-2024 tillsynsbegäran.docx", "A 47680-2024")</f>
        <v/>
      </c>
      <c r="AD44">
        <f>HYPERLINK("https://klasma.github.io/Logging_2513/tillsynsmail/A 47680-2024 tillsynsbegäran mail.docx", "A 47680-2024")</f>
        <v/>
      </c>
    </row>
    <row r="45" ht="15" customHeight="1">
      <c r="A45" t="inlineStr">
        <is>
          <t>A 60509-2021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44496</v>
      </c>
      <c r="E45" s="1" t="n">
        <v>46252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13.5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Stor aspticka
Vedticka</t>
        </is>
      </c>
      <c r="W45">
        <f>HYPERLINK("https://klasma.github.io/Logging_2513/artfynd/A 60509-2021 artfynd.xlsx", "A 60509-2021")</f>
        <v/>
      </c>
      <c r="X45">
        <f>HYPERLINK("https://klasma.github.io/Logging_2513/kartor/A 60509-2021 karta.png", "A 60509-2021")</f>
        <v/>
      </c>
      <c r="Y45">
        <f>HYPERLINK("https://klasma.github.io/Logging_2513/kartor_geotiff/A 60509-2021 georefererad karta.tif", "A 60509-2021")</f>
        <v/>
      </c>
      <c r="AA45">
        <f>HYPERLINK("https://klasma.github.io/Logging_2513/klagomål/A 60509-2021 FSC-klagomål.docx", "A 60509-2021")</f>
        <v/>
      </c>
      <c r="AB45">
        <f>HYPERLINK("https://klasma.github.io/Logging_2513/klagomålsmail/A 60509-2021 FSC-klagomål mail.docx", "A 60509-2021")</f>
        <v/>
      </c>
      <c r="AC45">
        <f>HYPERLINK("https://klasma.github.io/Logging_2513/tillsyn/A 60509-2021 tillsynsbegäran.docx", "A 60509-2021")</f>
        <v/>
      </c>
      <c r="AD45">
        <f>HYPERLINK("https://klasma.github.io/Logging_2513/tillsynsmail/A 60509-2021 tillsynsbegäran mail.docx", "A 60509-2021")</f>
        <v/>
      </c>
    </row>
    <row r="46" ht="15" customHeight="1">
      <c r="A46" t="inlineStr">
        <is>
          <t>A 26452-2025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45807</v>
      </c>
      <c r="E46" s="1" t="n">
        <v>46252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1.2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Gammelgransskål
Stor aspticka</t>
        </is>
      </c>
      <c r="W46">
        <f>HYPERLINK("https://klasma.github.io/Logging_2513/artfynd/A 26452-2025 artfynd.xlsx", "A 26452-2025")</f>
        <v/>
      </c>
      <c r="X46">
        <f>HYPERLINK("https://klasma.github.io/Logging_2513/kartor/A 26452-2025 karta.png", "A 26452-2025")</f>
        <v/>
      </c>
      <c r="Y46">
        <f>HYPERLINK("https://klasma.github.io/Logging_2513/kartor_geotiff/A 26452-2025 georefererad karta.tif", "A 26452-2025")</f>
        <v/>
      </c>
      <c r="AA46">
        <f>HYPERLINK("https://klasma.github.io/Logging_2513/klagomål/A 26452-2025 FSC-klagomål.docx", "A 26452-2025")</f>
        <v/>
      </c>
      <c r="AB46">
        <f>HYPERLINK("https://klasma.github.io/Logging_2513/klagomålsmail/A 26452-2025 FSC-klagomål mail.docx", "A 26452-2025")</f>
        <v/>
      </c>
      <c r="AC46">
        <f>HYPERLINK("https://klasma.github.io/Logging_2513/tillsyn/A 26452-2025 tillsynsbegäran.docx", "A 26452-2025")</f>
        <v/>
      </c>
      <c r="AD46">
        <f>HYPERLINK("https://klasma.github.io/Logging_2513/tillsynsmail/A 26452-2025 tillsynsbegäran mail.docx", "A 26452-2025")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46252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46252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27452-2025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45813</v>
      </c>
      <c r="E49" s="1" t="n">
        <v>46252</v>
      </c>
      <c r="F49" t="inlineStr">
        <is>
          <t>NORRBOTTENS LÄN</t>
        </is>
      </c>
      <c r="G49" t="inlineStr">
        <is>
          <t>ÖVERKALIX</t>
        </is>
      </c>
      <c r="H49" t="inlineStr">
        <is>
          <t>SCA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HYPERLINK("https://klasma.github.io/Logging_2513/artfynd/A 27452-2025 artfynd.xlsx", "A 27452-2025")</f>
        <v/>
      </c>
      <c r="X49">
        <f>HYPERLINK("https://klasma.github.io/Logging_2513/kartor/A 27452-2025 karta.png", "A 27452-2025")</f>
        <v/>
      </c>
      <c r="Y49">
        <f>HYPERLINK("https://klasma.github.io/Logging_2513/kartor_geotiff/A 27452-2025 georefererad karta.tif", "A 27452-2025")</f>
        <v/>
      </c>
      <c r="AA49">
        <f>HYPERLINK("https://klasma.github.io/Logging_2513/klagomål/A 27452-2025 FSC-klagomål.docx", "A 27452-2025")</f>
        <v/>
      </c>
      <c r="AB49">
        <f>HYPERLINK("https://klasma.github.io/Logging_2513/klagomålsmail/A 27452-2025 FSC-klagomål mail.docx", "A 27452-2025")</f>
        <v/>
      </c>
      <c r="AC49">
        <f>HYPERLINK("https://klasma.github.io/Logging_2513/tillsyn/A 27452-2025 tillsynsbegäran.docx", "A 27452-2025")</f>
        <v/>
      </c>
      <c r="AD49">
        <f>HYPERLINK("https://klasma.github.io/Logging_2513/tillsynsmail/A 27452-2025 tillsynsbegäran mail.docx", "A 27452-2025")</f>
        <v/>
      </c>
      <c r="AE49">
        <f>HYPERLINK("https://klasma.github.io/Logging_2513/fåglar/A 27452-2025 prioriterade fågelarter.docx", "A 27452-2025")</f>
        <v/>
      </c>
    </row>
    <row r="50" ht="15" customHeight="1">
      <c r="A50" t="inlineStr">
        <is>
          <t>A 7234-2023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44970</v>
      </c>
      <c r="E50" s="1" t="n">
        <v>46252</v>
      </c>
      <c r="F50" t="inlineStr">
        <is>
          <t>NORRBOTTENS LÄN</t>
        </is>
      </c>
      <c r="G50" t="inlineStr">
        <is>
          <t>ÖVERKALIX</t>
        </is>
      </c>
      <c r="I50" t="n">
        <v>5.2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HYPERLINK("https://klasma.github.io/Logging_2513/artfynd/A 7234-2023 artfynd.xlsx", "A 7234-2023")</f>
        <v/>
      </c>
      <c r="X50">
        <f>HYPERLINK("https://klasma.github.io/Logging_2513/kartor/A 7234-2023 karta.png", "A 7234-2023")</f>
        <v/>
      </c>
      <c r="Y50">
        <f>HYPERLINK("https://klasma.github.io/Logging_2513/kartor_geotiff/A 7234-2023 georefererad karta.tif", "A 7234-2023")</f>
        <v/>
      </c>
      <c r="AA50">
        <f>HYPERLINK("https://klasma.github.io/Logging_2513/klagomål/A 7234-2023 FSC-klagomål.docx", "A 7234-2023")</f>
        <v/>
      </c>
      <c r="AB50">
        <f>HYPERLINK("https://klasma.github.io/Logging_2513/klagomålsmail/A 7234-2023 FSC-klagomål mail.docx", "A 7234-2023")</f>
        <v/>
      </c>
      <c r="AC50">
        <f>HYPERLINK("https://klasma.github.io/Logging_2513/tillsyn/A 7234-2023 tillsynsbegäran.docx", "A 7234-2023")</f>
        <v/>
      </c>
      <c r="AD50">
        <f>HYPERLINK("https://klasma.github.io/Logging_2513/tillsynsmail/A 7234-2023 tillsynsbegäran mail.docx", "A 7234-2023")</f>
        <v/>
      </c>
      <c r="AE50">
        <f>HYPERLINK("https://klasma.github.io/Logging_2513/fåglar/A 7234-2023 prioriterade fågelarter.docx", "A 7234-2023")</f>
        <v/>
      </c>
    </row>
    <row r="51" ht="15" customHeight="1">
      <c r="A51" t="inlineStr">
        <is>
          <t>A 35602-2025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45859</v>
      </c>
      <c r="E51" s="1" t="n">
        <v>46252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HYPERLINK("https://klasma.github.io/Logging_2513/artfynd/A 35602-2025 artfynd.xlsx", "A 35602-2025")</f>
        <v/>
      </c>
      <c r="X51">
        <f>HYPERLINK("https://klasma.github.io/Logging_2513/kartor/A 35602-2025 karta.png", "A 35602-2025")</f>
        <v/>
      </c>
      <c r="Y51">
        <f>HYPERLINK("https://klasma.github.io/Logging_2513/kartor_geotiff/A 35602-2025 georefererad karta.tif", "A 35602-2025")</f>
        <v/>
      </c>
      <c r="AA51">
        <f>HYPERLINK("https://klasma.github.io/Logging_2513/klagomål/A 35602-2025 FSC-klagomål.docx", "A 35602-2025")</f>
        <v/>
      </c>
      <c r="AB51">
        <f>HYPERLINK("https://klasma.github.io/Logging_2513/klagomålsmail/A 35602-2025 FSC-klagomål mail.docx", "A 35602-2025")</f>
        <v/>
      </c>
      <c r="AC51">
        <f>HYPERLINK("https://klasma.github.io/Logging_2513/tillsyn/A 35602-2025 tillsynsbegäran.docx", "A 35602-2025")</f>
        <v/>
      </c>
      <c r="AD51">
        <f>HYPERLINK("https://klasma.github.io/Logging_2513/tillsynsmail/A 35602-2025 tillsynsbegäran mail.docx", "A 35602-2025")</f>
        <v/>
      </c>
    </row>
    <row r="52" ht="15" customHeight="1">
      <c r="A52" t="inlineStr">
        <is>
          <t>A 8407-2025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45709</v>
      </c>
      <c r="E52" s="1" t="n">
        <v>46252</v>
      </c>
      <c r="F52" t="inlineStr">
        <is>
          <t>NORRBOTTENS LÄN</t>
        </is>
      </c>
      <c r="G52" t="inlineStr">
        <is>
          <t>ÖVERKALIX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Tallbit</t>
        </is>
      </c>
      <c r="W52">
        <f>HYPERLINK("https://klasma.github.io/Logging_2513/artfynd/A 8407-2025 artfynd.xlsx", "A 8407-2025")</f>
        <v/>
      </c>
      <c r="X52">
        <f>HYPERLINK("https://klasma.github.io/Logging_2513/kartor/A 8407-2025 karta.png", "A 8407-2025")</f>
        <v/>
      </c>
      <c r="Y52">
        <f>HYPERLINK("https://klasma.github.io/Logging_2513/kartor_geotiff/A 8407-2025 georefererad karta.tif", "A 8407-2025")</f>
        <v/>
      </c>
      <c r="AA52">
        <f>HYPERLINK("https://klasma.github.io/Logging_2513/klagomål/A 8407-2025 FSC-klagomål.docx", "A 8407-2025")</f>
        <v/>
      </c>
      <c r="AB52">
        <f>HYPERLINK("https://klasma.github.io/Logging_2513/klagomålsmail/A 8407-2025 FSC-klagomål mail.docx", "A 8407-2025")</f>
        <v/>
      </c>
      <c r="AC52">
        <f>HYPERLINK("https://klasma.github.io/Logging_2513/tillsyn/A 8407-2025 tillsynsbegäran.docx", "A 8407-2025")</f>
        <v/>
      </c>
      <c r="AD52">
        <f>HYPERLINK("https://klasma.github.io/Logging_2513/tillsynsmail/A 8407-2025 tillsynsbegäran mail.docx", "A 8407-2025")</f>
        <v/>
      </c>
      <c r="AE52">
        <f>HYPERLINK("https://klasma.github.io/Logging_2513/fåglar/A 8407-2025 prioriterade fågelarter.docx", "A 8407-2025")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46252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37532-2022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46252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 taggsvamp</t>
        </is>
      </c>
      <c r="W54">
        <f>HYPERLINK("https://klasma.github.io/Logging_2513/artfynd/A 37532-2022 artfynd.xlsx", "A 37532-2022")</f>
        <v/>
      </c>
      <c r="X54">
        <f>HYPERLINK("https://klasma.github.io/Logging_2513/kartor/A 37532-2022 karta.png", "A 37532-2022")</f>
        <v/>
      </c>
      <c r="Y54">
        <f>HYPERLINK("https://klasma.github.io/Logging_2513/kartor_geotiff/A 37532-2022 georefererad karta.tif", "A 37532-2022")</f>
        <v/>
      </c>
      <c r="AA54">
        <f>HYPERLINK("https://klasma.github.io/Logging_2513/klagomål/A 37532-2022 FSC-klagomål.docx", "A 37532-2022")</f>
        <v/>
      </c>
      <c r="AB54">
        <f>HYPERLINK("https://klasma.github.io/Logging_2513/klagomålsmail/A 37532-2022 FSC-klagomål mail.docx", "A 37532-2022")</f>
        <v/>
      </c>
      <c r="AC54">
        <f>HYPERLINK("https://klasma.github.io/Logging_2513/tillsyn/A 37532-2022 tillsynsbegäran.docx", "A 37532-2022")</f>
        <v/>
      </c>
      <c r="AD54">
        <f>HYPERLINK("https://klasma.github.io/Logging_2513/tillsynsmail/A 37532-2022 tillsynsbegäran mail.docx", "A 37532-2022")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46252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46252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31920-2026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46231</v>
      </c>
      <c r="E57" s="1" t="n">
        <v>46252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HYPERLINK("https://klasma.github.io/Logging_2513/artfynd/A 31920-2026 artfynd.xlsx", "A 31920-2026")</f>
        <v/>
      </c>
      <c r="X57">
        <f>HYPERLINK("https://klasma.github.io/Logging_2513/kartor/A 31920-2026 karta.png", "A 31920-2026")</f>
        <v/>
      </c>
      <c r="Y57">
        <f>HYPERLINK("https://klasma.github.io/Logging_2513/kartor_geotiff/A 31920-2026 georefererad karta.tif", "A 31920-2026")</f>
        <v/>
      </c>
      <c r="AA57">
        <f>HYPERLINK("https://klasma.github.io/Logging_2513/klagomål/A 31920-2026 FSC-klagomål.docx", "A 31920-2026")</f>
        <v/>
      </c>
      <c r="AB57">
        <f>HYPERLINK("https://klasma.github.io/Logging_2513/klagomålsmail/A 31920-2026 FSC-klagomål mail.docx", "A 31920-2026")</f>
        <v/>
      </c>
      <c r="AC57">
        <f>HYPERLINK("https://klasma.github.io/Logging_2513/tillsyn/A 31920-2026 tillsynsbegäran.docx", "A 31920-2026")</f>
        <v/>
      </c>
      <c r="AD57">
        <f>HYPERLINK("https://klasma.github.io/Logging_2513/tillsynsmail/A 31920-2026 tillsynsbegäran mail.docx", "A 31920-2026")</f>
        <v/>
      </c>
    </row>
    <row r="58" ht="15" customHeight="1">
      <c r="A58" t="inlineStr">
        <is>
          <t>A 21777-2024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45442</v>
      </c>
      <c r="E58" s="1" t="n">
        <v>46252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30.5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HYPERLINK("https://klasma.github.io/Logging_2513/artfynd/A 21777-2024 artfynd.xlsx", "A 21777-2024")</f>
        <v/>
      </c>
      <c r="X58">
        <f>HYPERLINK("https://klasma.github.io/Logging_2513/kartor/A 21777-2024 karta.png", "A 21777-2024")</f>
        <v/>
      </c>
      <c r="Y58">
        <f>HYPERLINK("https://klasma.github.io/Logging_2513/kartor_geotiff/A 21777-2024 georefererad karta.tif", "A 21777-2024")</f>
        <v/>
      </c>
      <c r="AA58">
        <f>HYPERLINK("https://klasma.github.io/Logging_2513/klagomål/A 21777-2024 FSC-klagomål.docx", "A 21777-2024")</f>
        <v/>
      </c>
      <c r="AB58">
        <f>HYPERLINK("https://klasma.github.io/Logging_2513/klagomålsmail/A 21777-2024 FSC-klagomål mail.docx", "A 21777-2024")</f>
        <v/>
      </c>
      <c r="AC58">
        <f>HYPERLINK("https://klasma.github.io/Logging_2513/tillsyn/A 21777-2024 tillsynsbegäran.docx", "A 21777-2024")</f>
        <v/>
      </c>
      <c r="AD58">
        <f>HYPERLINK("https://klasma.github.io/Logging_2513/tillsynsmail/A 21777-2024 tillsynsbegäran mail.docx", "A 21777-2024")</f>
        <v/>
      </c>
    </row>
    <row r="59" ht="15" customHeight="1">
      <c r="A59" t="inlineStr">
        <is>
          <t>A 71902-2021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46252</v>
      </c>
      <c r="F59" t="inlineStr">
        <is>
          <t>NORRBOTTENS LÄN</t>
        </is>
      </c>
      <c r="G59" t="inlineStr">
        <is>
          <t>ÖVERKALIX</t>
        </is>
      </c>
      <c r="I59" t="n">
        <v>24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HYPERLINK("https://klasma.github.io/Logging_2513/artfynd/A 71902-2021 artfynd.xlsx", "A 71902-2021")</f>
        <v/>
      </c>
      <c r="X59">
        <f>HYPERLINK("https://klasma.github.io/Logging_2513/kartor/A 71902-2021 karta.png", "A 71902-2021")</f>
        <v/>
      </c>
      <c r="Y59">
        <f>HYPERLINK("https://klasma.github.io/Logging_2513/kartor_geotiff/A 71902-2021 georefererad karta.tif", "A 71902-2021")</f>
        <v/>
      </c>
      <c r="AA59">
        <f>HYPERLINK("https://klasma.github.io/Logging_2513/klagomål/A 71902-2021 FSC-klagomål.docx", "A 71902-2021")</f>
        <v/>
      </c>
      <c r="AB59">
        <f>HYPERLINK("https://klasma.github.io/Logging_2513/klagomålsmail/A 71902-2021 FSC-klagomål mail.docx", "A 71902-2021")</f>
        <v/>
      </c>
      <c r="AC59">
        <f>HYPERLINK("https://klasma.github.io/Logging_2513/tillsyn/A 71902-2021 tillsynsbegäran.docx", "A 71902-2021")</f>
        <v/>
      </c>
      <c r="AD59">
        <f>HYPERLINK("https://klasma.github.io/Logging_2513/tillsynsmail/A 71902-2021 tillsynsbegäran mail.docx", "A 71902-2021")</f>
        <v/>
      </c>
      <c r="AE59">
        <f>HYPERLINK("https://klasma.github.io/Logging_2513/fåglar/A 71902-2021 prioriterade fågelarter.docx", "A 71902-2021")</f>
        <v/>
      </c>
    </row>
    <row r="60" ht="15" customHeight="1">
      <c r="A60" t="inlineStr">
        <is>
          <t>A 20949-2026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46252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9.1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HYPERLINK("https://klasma.github.io/Logging_2513/artfynd/A 20949-2026 artfynd.xlsx", "A 20949-2026")</f>
        <v/>
      </c>
      <c r="X60">
        <f>HYPERLINK("https://klasma.github.io/Logging_2513/kartor/A 20949-2026 karta.png", "A 20949-2026")</f>
        <v/>
      </c>
      <c r="Y60">
        <f>HYPERLINK("https://klasma.github.io/Logging_2513/kartor_geotiff/A 20949-2026 georefererad karta.tif", "A 20949-2026")</f>
        <v/>
      </c>
      <c r="AA60">
        <f>HYPERLINK("https://klasma.github.io/Logging_2513/klagomål/A 20949-2026 FSC-klagomål.docx", "A 20949-2026")</f>
        <v/>
      </c>
      <c r="AB60">
        <f>HYPERLINK("https://klasma.github.io/Logging_2513/klagomålsmail/A 20949-2026 FSC-klagomål mail.docx", "A 20949-2026")</f>
        <v/>
      </c>
      <c r="AC60">
        <f>HYPERLINK("https://klasma.github.io/Logging_2513/tillsyn/A 20949-2026 tillsynsbegäran.docx", "A 20949-2026")</f>
        <v/>
      </c>
      <c r="AD60">
        <f>HYPERLINK("https://klasma.github.io/Logging_2513/tillsynsmail/A 20949-2026 tillsynsbegäran mail.docx", "A 20949-2026")</f>
        <v/>
      </c>
    </row>
    <row r="61" ht="15" customHeight="1">
      <c r="A61" t="inlineStr">
        <is>
          <t>A 26305-2025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46252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5.2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Luddlav</t>
        </is>
      </c>
      <c r="W61">
        <f>HYPERLINK("https://klasma.github.io/Logging_2513/artfynd/A 26305-2025 artfynd.xlsx", "A 26305-2025")</f>
        <v/>
      </c>
      <c r="X61">
        <f>HYPERLINK("https://klasma.github.io/Logging_2513/kartor/A 26305-2025 karta.png", "A 26305-2025")</f>
        <v/>
      </c>
      <c r="Y61">
        <f>HYPERLINK("https://klasma.github.io/Logging_2513/kartor_geotiff/A 26305-2025 georefererad karta.tif", "A 26305-2025")</f>
        <v/>
      </c>
      <c r="AA61">
        <f>HYPERLINK("https://klasma.github.io/Logging_2513/klagomål/A 26305-2025 FSC-klagomål.docx", "A 26305-2025")</f>
        <v/>
      </c>
      <c r="AB61">
        <f>HYPERLINK("https://klasma.github.io/Logging_2513/klagomålsmail/A 26305-2025 FSC-klagomål mail.docx", "A 26305-2025")</f>
        <v/>
      </c>
      <c r="AC61">
        <f>HYPERLINK("https://klasma.github.io/Logging_2513/tillsyn/A 26305-2025 tillsynsbegäran.docx", "A 26305-2025")</f>
        <v/>
      </c>
      <c r="AD61">
        <f>HYPERLINK("https://klasma.github.io/Logging_2513/tillsynsmail/A 26305-2025 tillsynsbegäran mail.docx", "A 26305-2025")</f>
        <v/>
      </c>
    </row>
    <row r="62" ht="15" customHeight="1">
      <c r="A62" t="inlineStr">
        <is>
          <t>A 25335-2026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46176</v>
      </c>
      <c r="E62" s="1" t="n">
        <v>46252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46.9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HYPERLINK("https://klasma.github.io/Logging_2513/artfynd/A 25335-2026 artfynd.xlsx", "A 25335-2026")</f>
        <v/>
      </c>
      <c r="X62">
        <f>HYPERLINK("https://klasma.github.io/Logging_2513/kartor/A 25335-2026 karta.png", "A 25335-2026")</f>
        <v/>
      </c>
      <c r="Y62">
        <f>HYPERLINK("https://klasma.github.io/Logging_2513/kartor_geotiff/A 25335-2026 georefererad karta.tif", "A 25335-2026")</f>
        <v/>
      </c>
      <c r="AA62">
        <f>HYPERLINK("https://klasma.github.io/Logging_2513/klagomål/A 25335-2026 FSC-klagomål.docx", "A 25335-2026")</f>
        <v/>
      </c>
      <c r="AB62">
        <f>HYPERLINK("https://klasma.github.io/Logging_2513/klagomålsmail/A 25335-2026 FSC-klagomål mail.docx", "A 25335-2026")</f>
        <v/>
      </c>
      <c r="AC62">
        <f>HYPERLINK("https://klasma.github.io/Logging_2513/tillsyn/A 25335-2026 tillsynsbegäran.docx", "A 25335-2026")</f>
        <v/>
      </c>
      <c r="AD62">
        <f>HYPERLINK("https://klasma.github.io/Logging_2513/tillsynsmail/A 25335-2026 tillsynsbegäran mail.docx", "A 25335-2026")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46252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46252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46252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46252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46252</v>
      </c>
      <c r="F67" t="inlineStr">
        <is>
          <t>NORRBOTTENS LÄN</t>
        </is>
      </c>
      <c r="G67" t="inlineStr">
        <is>
          <t>ÖVERKALIX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46252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46252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46252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46252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46252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46252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46252</v>
      </c>
      <c r="F74" t="inlineStr">
        <is>
          <t>NORRBOTTENS LÄN</t>
        </is>
      </c>
      <c r="G74" t="inlineStr">
        <is>
          <t>ÖVERKALIX</t>
        </is>
      </c>
      <c r="H74" t="inlineStr">
        <is>
          <t>SCA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47629-2021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44448</v>
      </c>
      <c r="E75" s="1" t="n">
        <v>46252</v>
      </c>
      <c r="F75" t="inlineStr">
        <is>
          <t>NORRBOTTENS LÄN</t>
        </is>
      </c>
      <c r="G75" t="inlineStr">
        <is>
          <t>ÖVERKALIX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46252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44435</v>
      </c>
      <c r="E77" s="1" t="n">
        <v>46252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33497-2022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44788</v>
      </c>
      <c r="E78" s="1" t="n">
        <v>46252</v>
      </c>
      <c r="F78" t="inlineStr">
        <is>
          <t>NORRBOTTENS LÄN</t>
        </is>
      </c>
      <c r="G78" t="inlineStr">
        <is>
          <t>ÖVERKALIX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44445</v>
      </c>
      <c r="E79" s="1" t="n">
        <v>46252</v>
      </c>
      <c r="F79" t="inlineStr">
        <is>
          <t>NORRBOTTENS LÄN</t>
        </is>
      </c>
      <c r="G79" t="inlineStr">
        <is>
          <t>ÖVERKALIX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52869-2021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46252</v>
      </c>
      <c r="F80" t="inlineStr">
        <is>
          <t>NORRBOTTENS LÄN</t>
        </is>
      </c>
      <c r="G80" t="inlineStr">
        <is>
          <t>ÖVERKALIX</t>
        </is>
      </c>
      <c r="I80" t="n">
        <v>12.6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44432</v>
      </c>
      <c r="E81" s="1" t="n">
        <v>46252</v>
      </c>
      <c r="F81" t="inlineStr">
        <is>
          <t>NORRBOTTENS LÄN</t>
        </is>
      </c>
      <c r="G81" t="inlineStr">
        <is>
          <t>ÖVERKALIX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46252</v>
      </c>
      <c r="F82" t="inlineStr">
        <is>
          <t>NORRBOTTENS LÄN</t>
        </is>
      </c>
      <c r="G82" t="inlineStr">
        <is>
          <t>ÖVERKALIX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44623</v>
      </c>
      <c r="E83" s="1" t="n">
        <v>46252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46252</v>
      </c>
      <c r="F84" t="inlineStr">
        <is>
          <t>NORRBOTTENS LÄN</t>
        </is>
      </c>
      <c r="G84" t="inlineStr">
        <is>
          <t>ÖVERKALIX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44433</v>
      </c>
      <c r="E85" s="1" t="n">
        <v>46252</v>
      </c>
      <c r="F85" t="inlineStr">
        <is>
          <t>NORRBOTTENS LÄN</t>
        </is>
      </c>
      <c r="G85" t="inlineStr">
        <is>
          <t>ÖVERKALIX</t>
        </is>
      </c>
      <c r="H85" t="inlineStr">
        <is>
          <t>Sveaskog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46252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44530</v>
      </c>
      <c r="E87" s="1" t="n">
        <v>46252</v>
      </c>
      <c r="F87" t="inlineStr">
        <is>
          <t>NORRBOTTENS LÄN</t>
        </is>
      </c>
      <c r="G87" t="inlineStr">
        <is>
          <t>ÖVERKALIX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46252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46252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26945-2025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45811</v>
      </c>
      <c r="E90" s="1" t="n">
        <v>46252</v>
      </c>
      <c r="F90" t="inlineStr">
        <is>
          <t>NORRBOTTENS LÄN</t>
        </is>
      </c>
      <c r="G90" t="inlineStr">
        <is>
          <t>ÖVERKALIX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45810</v>
      </c>
      <c r="E91" s="1" t="n">
        <v>46252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17.5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6916-2022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44602</v>
      </c>
      <c r="E92" s="1" t="n">
        <v>46252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15.6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27461-2025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46252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27451-2025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45813</v>
      </c>
      <c r="E94" s="1" t="n">
        <v>46252</v>
      </c>
      <c r="F94" t="inlineStr">
        <is>
          <t>NORRBOTTENS LÄN</t>
        </is>
      </c>
      <c r="G94" t="inlineStr">
        <is>
          <t>ÖVERKALIX</t>
        </is>
      </c>
      <c r="H94" t="inlineStr">
        <is>
          <t>SCA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46252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27613-2025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45813</v>
      </c>
      <c r="E96" s="1" t="n">
        <v>46252</v>
      </c>
      <c r="F96" t="inlineStr">
        <is>
          <t>NORRBOTTENS LÄN</t>
        </is>
      </c>
      <c r="G96" t="inlineStr">
        <is>
          <t>ÖVERKALIX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27458-2025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45813</v>
      </c>
      <c r="E97" s="1" t="n">
        <v>46252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27454-2025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45813</v>
      </c>
      <c r="E98" s="1" t="n">
        <v>46252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45813</v>
      </c>
      <c r="E99" s="1" t="n">
        <v>46252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45463</v>
      </c>
      <c r="E100" s="1" t="n">
        <v>46252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45189</v>
      </c>
      <c r="E101" s="1" t="n">
        <v>46252</v>
      </c>
      <c r="F101" t="inlineStr">
        <is>
          <t>NORRBOTTENS LÄN</t>
        </is>
      </c>
      <c r="G101" t="inlineStr">
        <is>
          <t>ÖVERKALIX</t>
        </is>
      </c>
      <c r="I101" t="n">
        <v>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28400-2025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45819</v>
      </c>
      <c r="E102" s="1" t="n">
        <v>46252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33865-2023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45133</v>
      </c>
      <c r="E103" s="1" t="n">
        <v>46252</v>
      </c>
      <c r="F103" t="inlineStr">
        <is>
          <t>NORRBOTTENS LÄN</t>
        </is>
      </c>
      <c r="G103" t="inlineStr">
        <is>
          <t>ÖVERKALIX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45819</v>
      </c>
      <c r="E104" s="1" t="n">
        <v>46252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45821</v>
      </c>
      <c r="E105" s="1" t="n">
        <v>46252</v>
      </c>
      <c r="F105" t="inlineStr">
        <is>
          <t>NORRBOTTENS LÄN</t>
        </is>
      </c>
      <c r="G105" t="inlineStr">
        <is>
          <t>ÖVERKALIX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29150-2025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45821</v>
      </c>
      <c r="E106" s="1" t="n">
        <v>46252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17.2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28912-2025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46252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28917-2025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45820</v>
      </c>
      <c r="E108" s="1" t="n">
        <v>46252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46252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46252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9.699999999999999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46252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SCA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46252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46252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SCA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29212-2025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45824</v>
      </c>
      <c r="E114" s="1" t="n">
        <v>46252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Sveaskog</t>
        </is>
      </c>
      <c r="I114" t="n">
        <v>24.4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29213-2025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46252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46252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30038-2025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46252</v>
      </c>
      <c r="F117" t="inlineStr">
        <is>
          <t>NORRBOTTENS LÄN</t>
        </is>
      </c>
      <c r="G117" t="inlineStr">
        <is>
          <t>ÖVERKALIX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46252</v>
      </c>
      <c r="F118" t="inlineStr">
        <is>
          <t>NORRBOTTENS LÄN</t>
        </is>
      </c>
      <c r="G118" t="inlineStr">
        <is>
          <t>ÖVERKALIX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72809-2021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46252</v>
      </c>
      <c r="F119" t="inlineStr">
        <is>
          <t>NORRBOTTENS LÄN</t>
        </is>
      </c>
      <c r="G119" t="inlineStr">
        <is>
          <t>ÖVERKALIX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62259-2021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46252</v>
      </c>
      <c r="F120" t="inlineStr">
        <is>
          <t>NORRBOTTENS LÄN</t>
        </is>
      </c>
      <c r="G120" t="inlineStr">
        <is>
          <t>ÖVERKALIX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45554</v>
      </c>
      <c r="E121" s="1" t="n">
        <v>46252</v>
      </c>
      <c r="F121" t="inlineStr">
        <is>
          <t>NORRBOTTENS LÄN</t>
        </is>
      </c>
      <c r="G121" t="inlineStr">
        <is>
          <t>ÖVERKALIX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30776-2025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46252</v>
      </c>
      <c r="F122" t="inlineStr">
        <is>
          <t>NORRBOTTENS LÄN</t>
        </is>
      </c>
      <c r="G122" t="inlineStr">
        <is>
          <t>ÖVERKALIX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26449-2025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45807</v>
      </c>
      <c r="E123" s="1" t="n">
        <v>46252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10.9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44993</v>
      </c>
      <c r="E124" s="1" t="n">
        <v>46252</v>
      </c>
      <c r="F124" t="inlineStr">
        <is>
          <t>NORRBOTTENS LÄN</t>
        </is>
      </c>
      <c r="G124" t="inlineStr">
        <is>
          <t>ÖVERKALIX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62269-2021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44502</v>
      </c>
      <c r="E125" s="1" t="n">
        <v>46252</v>
      </c>
      <c r="F125" t="inlineStr">
        <is>
          <t>NORRBOTTENS LÄN</t>
        </is>
      </c>
      <c r="G125" t="inlineStr">
        <is>
          <t>ÖVERKALIX</t>
        </is>
      </c>
      <c r="I125" t="n">
        <v>9.199999999999999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45835</v>
      </c>
      <c r="E126" s="1" t="n">
        <v>46252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46252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13.4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22470-2023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45070</v>
      </c>
      <c r="E128" s="1" t="n">
        <v>46252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44595</v>
      </c>
      <c r="E129" s="1" t="n">
        <v>46252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46252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SCA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45834</v>
      </c>
      <c r="E131" s="1" t="n">
        <v>46252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55853-2024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45622</v>
      </c>
      <c r="E132" s="1" t="n">
        <v>46252</v>
      </c>
      <c r="F132" t="inlineStr">
        <is>
          <t>NORRBOTTENS LÄN</t>
        </is>
      </c>
      <c r="G132" t="inlineStr">
        <is>
          <t>ÖVERKALIX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54025-2023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45231</v>
      </c>
      <c r="E133" s="1" t="n">
        <v>46252</v>
      </c>
      <c r="F133" t="inlineStr">
        <is>
          <t>NORRBOTTENS LÄN</t>
        </is>
      </c>
      <c r="G133" t="inlineStr">
        <is>
          <t>ÖVERKALIX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31744-2025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45834</v>
      </c>
      <c r="E134" s="1" t="n">
        <v>46252</v>
      </c>
      <c r="F134" t="inlineStr">
        <is>
          <t>NORRBOTTENS LÄN</t>
        </is>
      </c>
      <c r="G134" t="inlineStr">
        <is>
          <t>ÖVERKALIX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46252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37.4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46252</v>
      </c>
      <c r="F136" t="inlineStr">
        <is>
          <t>NORRBOTTENS LÄN</t>
        </is>
      </c>
      <c r="G136" t="inlineStr">
        <is>
          <t>ÖVERKALIX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32067-2025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45835</v>
      </c>
      <c r="E137" s="1" t="n">
        <v>46252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44601</v>
      </c>
      <c r="E138" s="1" t="n">
        <v>46252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44880</v>
      </c>
      <c r="E139" s="1" t="n">
        <v>46252</v>
      </c>
      <c r="F139" t="inlineStr">
        <is>
          <t>NORRBOTTENS LÄN</t>
        </is>
      </c>
      <c r="G139" t="inlineStr">
        <is>
          <t>ÖVERKALIX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26554-2023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45092</v>
      </c>
      <c r="E140" s="1" t="n">
        <v>46252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46252</v>
      </c>
      <c r="F141" t="inlineStr">
        <is>
          <t>NORRBOTTENS LÄN</t>
        </is>
      </c>
      <c r="G141" t="inlineStr">
        <is>
          <t>ÖVERKALIX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45308</v>
      </c>
      <c r="E142" s="1" t="n">
        <v>46252</v>
      </c>
      <c r="F142" t="inlineStr">
        <is>
          <t>NORRBOTTENS LÄN</t>
        </is>
      </c>
      <c r="G142" t="inlineStr">
        <is>
          <t>ÖVERKALIX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7039-2022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44603</v>
      </c>
      <c r="E143" s="1" t="n">
        <v>46252</v>
      </c>
      <c r="F143" t="inlineStr">
        <is>
          <t>NORRBOTTENS LÄN</t>
        </is>
      </c>
      <c r="G143" t="inlineStr">
        <is>
          <t>ÖVERKALIX</t>
        </is>
      </c>
      <c r="H143" t="inlineStr">
        <is>
          <t>Övriga statliga verk och myndigheter</t>
        </is>
      </c>
      <c r="I143" t="n">
        <v>10.3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46252</v>
      </c>
      <c r="F144" t="inlineStr">
        <is>
          <t>NORRBOTTENS LÄN</t>
        </is>
      </c>
      <c r="G144" t="inlineStr">
        <is>
          <t>ÖVERKALIX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46252</v>
      </c>
      <c r="F145" t="inlineStr">
        <is>
          <t>NORRBOTTENS LÄN</t>
        </is>
      </c>
      <c r="G145" t="inlineStr">
        <is>
          <t>ÖVERKALIX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45321</v>
      </c>
      <c r="E146" s="1" t="n">
        <v>46252</v>
      </c>
      <c r="F146" t="inlineStr">
        <is>
          <t>NORRBOTTENS LÄN</t>
        </is>
      </c>
      <c r="G146" t="inlineStr">
        <is>
          <t>ÖVERKALIX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42407-2022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46252</v>
      </c>
      <c r="F147" t="inlineStr">
        <is>
          <t>NORRBOTTENS LÄN</t>
        </is>
      </c>
      <c r="G147" t="inlineStr">
        <is>
          <t>ÖVERKALIX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45820</v>
      </c>
      <c r="E148" s="1" t="n">
        <v>46252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10.4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45911</v>
      </c>
      <c r="E149" s="1" t="n">
        <v>46252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25697-2024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45463</v>
      </c>
      <c r="E150" s="1" t="n">
        <v>46252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32636-2025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45838</v>
      </c>
      <c r="E151" s="1" t="n">
        <v>46252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44964</v>
      </c>
      <c r="E152" s="1" t="n">
        <v>46252</v>
      </c>
      <c r="F152" t="inlineStr">
        <is>
          <t>NORRBOTTENS LÄN</t>
        </is>
      </c>
      <c r="G152" t="inlineStr">
        <is>
          <t>ÖVERKALIX</t>
        </is>
      </c>
      <c r="I152" t="n">
        <v>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45837</v>
      </c>
      <c r="E153" s="1" t="n">
        <v>46252</v>
      </c>
      <c r="F153" t="inlineStr">
        <is>
          <t>NORRBOTTENS LÄN</t>
        </is>
      </c>
      <c r="G153" t="inlineStr">
        <is>
          <t>ÖVERKALIX</t>
        </is>
      </c>
      <c r="I153" t="n">
        <v>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44754-2025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45917</v>
      </c>
      <c r="E154" s="1" t="n">
        <v>46252</v>
      </c>
      <c r="F154" t="inlineStr">
        <is>
          <t>NORRBOTTENS LÄN</t>
        </is>
      </c>
      <c r="G154" t="inlineStr">
        <is>
          <t>ÖVERKALIX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45561</v>
      </c>
      <c r="E155" s="1" t="n">
        <v>46252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46252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9.199999999999999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32535-2025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46252</v>
      </c>
      <c r="F157" t="inlineStr">
        <is>
          <t>NORRBOTTENS LÄN</t>
        </is>
      </c>
      <c r="G157" t="inlineStr">
        <is>
          <t>ÖVERKALIX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32370-2025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45837</v>
      </c>
      <c r="E158" s="1" t="n">
        <v>46252</v>
      </c>
      <c r="F158" t="inlineStr">
        <is>
          <t>NORRBOTTENS LÄN</t>
        </is>
      </c>
      <c r="G158" t="inlineStr">
        <is>
          <t>ÖVERKALIX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45837</v>
      </c>
      <c r="E159" s="1" t="n">
        <v>46252</v>
      </c>
      <c r="F159" t="inlineStr">
        <is>
          <t>NORRBOTTENS LÄN</t>
        </is>
      </c>
      <c r="G159" t="inlineStr">
        <is>
          <t>ÖVERKALIX</t>
        </is>
      </c>
      <c r="I159" t="n">
        <v>8.5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45840</v>
      </c>
      <c r="E160" s="1" t="n">
        <v>46252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33224-2025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45840</v>
      </c>
      <c r="E161" s="1" t="n">
        <v>46252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59911-2024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45641</v>
      </c>
      <c r="E162" s="1" t="n">
        <v>46252</v>
      </c>
      <c r="F162" t="inlineStr">
        <is>
          <t>NORRBOTTENS LÄN</t>
        </is>
      </c>
      <c r="G162" t="inlineStr">
        <is>
          <t>ÖVERKALIX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34128-2025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45845</v>
      </c>
      <c r="E163" s="1" t="n">
        <v>46252</v>
      </c>
      <c r="F163" t="inlineStr">
        <is>
          <t>NORRBOTTENS LÄN</t>
        </is>
      </c>
      <c r="G163" t="inlineStr">
        <is>
          <t>ÖVERKALIX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73216-2021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44547</v>
      </c>
      <c r="E164" s="1" t="n">
        <v>46252</v>
      </c>
      <c r="F164" t="inlineStr">
        <is>
          <t>NORRBOTTENS LÄN</t>
        </is>
      </c>
      <c r="G164" t="inlineStr">
        <is>
          <t>ÖVERKALIX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52984-2024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46252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25.9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45594</v>
      </c>
      <c r="E166" s="1" t="n">
        <v>46252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45535-2025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45922</v>
      </c>
      <c r="E167" s="1" t="n">
        <v>46252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56402-2022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44890</v>
      </c>
      <c r="E168" s="1" t="n">
        <v>46252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13.8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46252</v>
      </c>
      <c r="F169" t="inlineStr">
        <is>
          <t>NORRBOTTENS LÄN</t>
        </is>
      </c>
      <c r="G169" t="inlineStr">
        <is>
          <t>ÖVERKALIX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45471</v>
      </c>
      <c r="E170" s="1" t="n">
        <v>46252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27057-2024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45471</v>
      </c>
      <c r="E171" s="1" t="n">
        <v>46252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32.6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46252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SCA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54143-2021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44469</v>
      </c>
      <c r="E173" s="1" t="n">
        <v>46252</v>
      </c>
      <c r="F173" t="inlineStr">
        <is>
          <t>NORRBOTTENS LÄN</t>
        </is>
      </c>
      <c r="G173" t="inlineStr">
        <is>
          <t>ÖVERKALIX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44950</v>
      </c>
      <c r="E174" s="1" t="n">
        <v>46252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45379</v>
      </c>
      <c r="E175" s="1" t="n">
        <v>46252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60417-2024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45643</v>
      </c>
      <c r="E176" s="1" t="n">
        <v>46252</v>
      </c>
      <c r="F176" t="inlineStr">
        <is>
          <t>NORRBOTTENS LÄN</t>
        </is>
      </c>
      <c r="G176" t="inlineStr">
        <is>
          <t>ÖVERKALIX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45869</v>
      </c>
      <c r="E177" s="1" t="n">
        <v>46252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45218</v>
      </c>
      <c r="E178" s="1" t="n">
        <v>46252</v>
      </c>
      <c r="F178" t="inlineStr">
        <is>
          <t>NORRBOTTENS LÄN</t>
        </is>
      </c>
      <c r="G178" t="inlineStr">
        <is>
          <t>ÖVERKALIX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45869</v>
      </c>
      <c r="E179" s="1" t="n">
        <v>46252</v>
      </c>
      <c r="F179" t="inlineStr">
        <is>
          <t>NORRBOTTENS LÄN</t>
        </is>
      </c>
      <c r="G179" t="inlineStr">
        <is>
          <t>ÖVERKALIX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46252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45460</v>
      </c>
      <c r="E181" s="1" t="n">
        <v>46252</v>
      </c>
      <c r="F181" t="inlineStr">
        <is>
          <t>NORRBOTTENS LÄN</t>
        </is>
      </c>
      <c r="G181" t="inlineStr">
        <is>
          <t>ÖVERKALIX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44910</v>
      </c>
      <c r="E182" s="1" t="n">
        <v>46252</v>
      </c>
      <c r="F182" t="inlineStr">
        <is>
          <t>NORRBOTTENS LÄN</t>
        </is>
      </c>
      <c r="G182" t="inlineStr">
        <is>
          <t>ÖVERKALIX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45691</v>
      </c>
      <c r="E183" s="1" t="n">
        <v>46252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20.3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5703-2023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44960</v>
      </c>
      <c r="E184" s="1" t="n">
        <v>46252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33301-2024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45518</v>
      </c>
      <c r="E185" s="1" t="n">
        <v>46252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45677</v>
      </c>
      <c r="E186" s="1" t="n">
        <v>46252</v>
      </c>
      <c r="F186" t="inlineStr">
        <is>
          <t>NORRBOTTENS LÄN</t>
        </is>
      </c>
      <c r="G186" t="inlineStr">
        <is>
          <t>ÖVERKALIX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49756-2025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45940</v>
      </c>
      <c r="E187" s="1" t="n">
        <v>46252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46252</v>
      </c>
      <c r="F188" t="inlineStr">
        <is>
          <t>NORRBOTTENS LÄN</t>
        </is>
      </c>
      <c r="G188" t="inlineStr">
        <is>
          <t>ÖVERKALIX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1944-2022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44575</v>
      </c>
      <c r="E189" s="1" t="n">
        <v>46252</v>
      </c>
      <c r="F189" t="inlineStr">
        <is>
          <t>NORRBOTTENS LÄN</t>
        </is>
      </c>
      <c r="G189" t="inlineStr">
        <is>
          <t>ÖVERKALIX</t>
        </is>
      </c>
      <c r="I189" t="n">
        <v>10.4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46252</v>
      </c>
      <c r="F190" t="inlineStr">
        <is>
          <t>NORRBOTTENS LÄN</t>
        </is>
      </c>
      <c r="G190" t="inlineStr">
        <is>
          <t>ÖVERKALIX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44306-2021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44435</v>
      </c>
      <c r="E191" s="1" t="n">
        <v>46252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45870</v>
      </c>
      <c r="E192" s="1" t="n">
        <v>46252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45870</v>
      </c>
      <c r="E193" s="1" t="n">
        <v>46252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45715</v>
      </c>
      <c r="E194" s="1" t="n">
        <v>46252</v>
      </c>
      <c r="F194" t="inlineStr">
        <is>
          <t>NORRBOTTENS LÄN</t>
        </is>
      </c>
      <c r="G194" t="inlineStr">
        <is>
          <t>ÖVERKALIX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46252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25510-2024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45463</v>
      </c>
      <c r="E196" s="1" t="n">
        <v>46252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Sveaskog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46252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46252</v>
      </c>
      <c r="F198" t="inlineStr">
        <is>
          <t>NORRBOTTENS LÄN</t>
        </is>
      </c>
      <c r="G198" t="inlineStr">
        <is>
          <t>ÖVERKALIX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45947</v>
      </c>
      <c r="E199" s="1" t="n">
        <v>46252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46252</v>
      </c>
      <c r="F200" t="inlineStr">
        <is>
          <t>NORRBOTTENS LÄN</t>
        </is>
      </c>
      <c r="G200" t="inlineStr">
        <is>
          <t>ÖVERKALIX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35169-2022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44797</v>
      </c>
      <c r="E201" s="1" t="n">
        <v>46252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51634-2025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45951</v>
      </c>
      <c r="E202" s="1" t="n">
        <v>46252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Sveaskog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51257-2025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45949</v>
      </c>
      <c r="E203" s="1" t="n">
        <v>46252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32477-2024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45513</v>
      </c>
      <c r="E204" s="1" t="n">
        <v>46252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44834</v>
      </c>
      <c r="E205" s="1" t="n">
        <v>46252</v>
      </c>
      <c r="F205" t="inlineStr">
        <is>
          <t>NORRBOTTENS LÄN</t>
        </is>
      </c>
      <c r="G205" t="inlineStr">
        <is>
          <t>ÖVERKALIX</t>
        </is>
      </c>
      <c r="I205" t="n">
        <v>13.1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30881-2024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45498</v>
      </c>
      <c r="E206" s="1" t="n">
        <v>46252</v>
      </c>
      <c r="F206" t="inlineStr">
        <is>
          <t>NORRBOTTENS LÄN</t>
        </is>
      </c>
      <c r="G206" t="inlineStr">
        <is>
          <t>ÖVERKALIX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52973-2025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45957</v>
      </c>
      <c r="E207" s="1" t="n">
        <v>46252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45308</v>
      </c>
      <c r="E208" s="1" t="n">
        <v>46252</v>
      </c>
      <c r="F208" t="inlineStr">
        <is>
          <t>NORRBOTTENS LÄN</t>
        </is>
      </c>
      <c r="G208" t="inlineStr">
        <is>
          <t>ÖVERKALIX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52591-2025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45954</v>
      </c>
      <c r="E209" s="1" t="n">
        <v>46252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45371</v>
      </c>
      <c r="E210" s="1" t="n">
        <v>46252</v>
      </c>
      <c r="F210" t="inlineStr">
        <is>
          <t>NORRBOTTENS LÄN</t>
        </is>
      </c>
      <c r="G210" t="inlineStr">
        <is>
          <t>ÖVERKALIX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53091-2025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45958</v>
      </c>
      <c r="E211" s="1" t="n">
        <v>46252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46252</v>
      </c>
      <c r="F212" t="inlineStr">
        <is>
          <t>NORRBOTTENS LÄN</t>
        </is>
      </c>
      <c r="G212" t="inlineStr">
        <is>
          <t>ÖVERKALIX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45882</v>
      </c>
      <c r="E213" s="1" t="n">
        <v>46252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38191-2025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45882</v>
      </c>
      <c r="E214" s="1" t="n">
        <v>46252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8026-2023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46252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47734-2024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45588</v>
      </c>
      <c r="E216" s="1" t="n">
        <v>46252</v>
      </c>
      <c r="F216" t="inlineStr">
        <is>
          <t>NORRBOTTENS LÄN</t>
        </is>
      </c>
      <c r="G216" t="inlineStr">
        <is>
          <t>ÖVERKALIX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46252</v>
      </c>
      <c r="F217" t="inlineStr">
        <is>
          <t>NORRBOTTENS LÄN</t>
        </is>
      </c>
      <c r="G217" t="inlineStr">
        <is>
          <t>ÖVERKALIX</t>
        </is>
      </c>
      <c r="I217" t="n">
        <v>21.7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46252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46252</v>
      </c>
      <c r="F219" t="inlineStr">
        <is>
          <t>NORRBOTTENS LÄN</t>
        </is>
      </c>
      <c r="G219" t="inlineStr">
        <is>
          <t>ÖVERKALIX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38026-2025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46252</v>
      </c>
      <c r="F220" t="inlineStr">
        <is>
          <t>NORRBOTTENS LÄN</t>
        </is>
      </c>
      <c r="G220" t="inlineStr">
        <is>
          <t>ÖVERKALIX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54899-2025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45967</v>
      </c>
      <c r="E221" s="1" t="n">
        <v>46252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45443</v>
      </c>
      <c r="E222" s="1" t="n">
        <v>46252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45513</v>
      </c>
      <c r="E223" s="1" t="n">
        <v>46252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26140-2023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45086</v>
      </c>
      <c r="E224" s="1" t="n">
        <v>46252</v>
      </c>
      <c r="F224" t="inlineStr">
        <is>
          <t>NORRBOTTENS LÄN</t>
        </is>
      </c>
      <c r="G224" t="inlineStr">
        <is>
          <t>ÖVERKALIX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45460</v>
      </c>
      <c r="E225" s="1" t="n">
        <v>46252</v>
      </c>
      <c r="F225" t="inlineStr">
        <is>
          <t>NORRBOTTENS LÄN</t>
        </is>
      </c>
      <c r="G225" t="inlineStr">
        <is>
          <t>ÖVERKALIX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45702</v>
      </c>
      <c r="E226" s="1" t="n">
        <v>46252</v>
      </c>
      <c r="F226" t="inlineStr">
        <is>
          <t>NORRBOTTENS LÄN</t>
        </is>
      </c>
      <c r="G226" t="inlineStr">
        <is>
          <t>ÖVERKALIX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8422-2025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45709</v>
      </c>
      <c r="E227" s="1" t="n">
        <v>46252</v>
      </c>
      <c r="F227" t="inlineStr">
        <is>
          <t>NORRBOTTENS LÄN</t>
        </is>
      </c>
      <c r="G227" t="inlineStr">
        <is>
          <t>ÖVERKALIX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46252</v>
      </c>
      <c r="F228" t="inlineStr">
        <is>
          <t>NORRBOTTENS LÄN</t>
        </is>
      </c>
      <c r="G228" t="inlineStr">
        <is>
          <t>ÖVERKALIX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55772-2022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46252</v>
      </c>
      <c r="F229" t="inlineStr">
        <is>
          <t>NORRBOTTENS LÄN</t>
        </is>
      </c>
      <c r="G229" t="inlineStr">
        <is>
          <t>ÖVERKALIX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57744-2025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45981</v>
      </c>
      <c r="E230" s="1" t="n">
        <v>46252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55857-2024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45622</v>
      </c>
      <c r="E231" s="1" t="n">
        <v>46252</v>
      </c>
      <c r="F231" t="inlineStr">
        <is>
          <t>NORRBOTTENS LÄN</t>
        </is>
      </c>
      <c r="G231" t="inlineStr">
        <is>
          <t>ÖVERKALIX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26366-2024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45469</v>
      </c>
      <c r="E232" s="1" t="n">
        <v>46252</v>
      </c>
      <c r="F232" t="inlineStr">
        <is>
          <t>NORRBOTTENS LÄN</t>
        </is>
      </c>
      <c r="G232" t="inlineStr">
        <is>
          <t>ÖVERKALIX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46252</v>
      </c>
      <c r="F233" t="inlineStr">
        <is>
          <t>NORRBOTTENS LÄN</t>
        </is>
      </c>
      <c r="G233" t="inlineStr">
        <is>
          <t>ÖVERKALIX</t>
        </is>
      </c>
      <c r="I233" t="n">
        <v>13.1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19531-2024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45429</v>
      </c>
      <c r="E234" s="1" t="n">
        <v>46252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46252</v>
      </c>
      <c r="F235" t="inlineStr">
        <is>
          <t>NORRBOTTENS LÄN</t>
        </is>
      </c>
      <c r="G235" t="inlineStr">
        <is>
          <t>ÖVERKALIX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46252</v>
      </c>
      <c r="F236" t="inlineStr">
        <is>
          <t>NORRBOTTENS LÄN</t>
        </is>
      </c>
      <c r="G236" t="inlineStr">
        <is>
          <t>ÖVERKALIX</t>
        </is>
      </c>
      <c r="I236" t="n">
        <v>16.1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46252</v>
      </c>
      <c r="F237" t="inlineStr">
        <is>
          <t>NORRBOTTENS LÄN</t>
        </is>
      </c>
      <c r="G237" t="inlineStr">
        <is>
          <t>ÖVERKALIX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46252</v>
      </c>
      <c r="F238" t="inlineStr">
        <is>
          <t>NORRBOTTENS LÄN</t>
        </is>
      </c>
      <c r="G238" t="inlineStr">
        <is>
          <t>ÖVERKALIX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45693</v>
      </c>
      <c r="E239" s="1" t="n">
        <v>46252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45180</v>
      </c>
      <c r="E240" s="1" t="n">
        <v>46252</v>
      </c>
      <c r="F240" t="inlineStr">
        <is>
          <t>NORRBOTTENS LÄN</t>
        </is>
      </c>
      <c r="G240" t="inlineStr">
        <is>
          <t>ÖVERKALIX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45363</v>
      </c>
      <c r="E241" s="1" t="n">
        <v>46252</v>
      </c>
      <c r="F241" t="inlineStr">
        <is>
          <t>NORRBOTTENS LÄN</t>
        </is>
      </c>
      <c r="G241" t="inlineStr">
        <is>
          <t>ÖVERKALIX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46252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44820</v>
      </c>
      <c r="E243" s="1" t="n">
        <v>46252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46252</v>
      </c>
      <c r="F244" t="inlineStr">
        <is>
          <t>NORRBOTTENS LÄN</t>
        </is>
      </c>
      <c r="G244" t="inlineStr">
        <is>
          <t>ÖVERKALIX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59829-2025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45992</v>
      </c>
      <c r="E245" s="1" t="n">
        <v>46252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13.3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57870-2022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44899</v>
      </c>
      <c r="E246" s="1" t="n">
        <v>46252</v>
      </c>
      <c r="F246" t="inlineStr">
        <is>
          <t>NORRBOTTENS LÄN</t>
        </is>
      </c>
      <c r="G246" t="inlineStr">
        <is>
          <t>ÖVERKALIX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8417-2025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45709</v>
      </c>
      <c r="E247" s="1" t="n">
        <v>46252</v>
      </c>
      <c r="F247" t="inlineStr">
        <is>
          <t>NORRBOTTENS LÄN</t>
        </is>
      </c>
      <c r="G247" t="inlineStr">
        <is>
          <t>ÖVERKALIX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45993</v>
      </c>
      <c r="E248" s="1" t="n">
        <v>46252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SCA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45540</v>
      </c>
      <c r="E249" s="1" t="n">
        <v>46252</v>
      </c>
      <c r="F249" t="inlineStr">
        <is>
          <t>NORRBOTTENS LÄN</t>
        </is>
      </c>
      <c r="G249" t="inlineStr">
        <is>
          <t>ÖVERKALIX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72364-2021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44543</v>
      </c>
      <c r="E250" s="1" t="n">
        <v>46252</v>
      </c>
      <c r="F250" t="inlineStr">
        <is>
          <t>NORRBOTTENS LÄN</t>
        </is>
      </c>
      <c r="G250" t="inlineStr">
        <is>
          <t>ÖVERKALIX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64524-2023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45281</v>
      </c>
      <c r="E251" s="1" t="n">
        <v>46252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36797-2023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46252</v>
      </c>
      <c r="F252" t="inlineStr">
        <is>
          <t>NORRBOTTENS LÄN</t>
        </is>
      </c>
      <c r="G252" t="inlineStr">
        <is>
          <t>ÖVERKALIX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60463-2024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45643</v>
      </c>
      <c r="E253" s="1" t="n">
        <v>46252</v>
      </c>
      <c r="F253" t="inlineStr">
        <is>
          <t>NORRBOTTENS LÄN</t>
        </is>
      </c>
      <c r="G253" t="inlineStr">
        <is>
          <t>ÖVERKALIX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60215-2025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46252</v>
      </c>
      <c r="F254" t="inlineStr">
        <is>
          <t>NORRBOTTENS LÄN</t>
        </is>
      </c>
      <c r="G254" t="inlineStr">
        <is>
          <t>ÖVERKALIX</t>
        </is>
      </c>
      <c r="I254" t="n">
        <v>9.5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60171-2025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45994</v>
      </c>
      <c r="E255" s="1" t="n">
        <v>46252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45994</v>
      </c>
      <c r="E256" s="1" t="n">
        <v>46252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46252</v>
      </c>
      <c r="F257" t="inlineStr">
        <is>
          <t>NORRBOTTENS LÄN</t>
        </is>
      </c>
      <c r="G257" t="inlineStr">
        <is>
          <t>ÖVERKALIX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19541-2024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45429</v>
      </c>
      <c r="E258" s="1" t="n">
        <v>46252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22.7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45996</v>
      </c>
      <c r="E259" s="1" t="n">
        <v>46252</v>
      </c>
      <c r="F259" t="inlineStr">
        <is>
          <t>NORRBOTTENS LÄN</t>
        </is>
      </c>
      <c r="G259" t="inlineStr">
        <is>
          <t>ÖVERKALIX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45999</v>
      </c>
      <c r="E260" s="1" t="n">
        <v>46252</v>
      </c>
      <c r="F260" t="inlineStr">
        <is>
          <t>NORRBOTTENS LÄN</t>
        </is>
      </c>
      <c r="G260" t="inlineStr">
        <is>
          <t>ÖVERKALIX</t>
        </is>
      </c>
      <c r="I260" t="n">
        <v>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60890-2025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45999</v>
      </c>
      <c r="E261" s="1" t="n">
        <v>46252</v>
      </c>
      <c r="F261" t="inlineStr">
        <is>
          <t>NORRBOTTENS LÄN</t>
        </is>
      </c>
      <c r="G261" t="inlineStr">
        <is>
          <t>ÖVERKALIX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60809-2025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46252</v>
      </c>
      <c r="F262" t="inlineStr">
        <is>
          <t>NORRBOTTENS LÄN</t>
        </is>
      </c>
      <c r="G262" t="inlineStr">
        <is>
          <t>ÖVERKALIX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45097</v>
      </c>
      <c r="E263" s="1" t="n">
        <v>46252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SCA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60909-2025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45999</v>
      </c>
      <c r="E264" s="1" t="n">
        <v>46252</v>
      </c>
      <c r="F264" t="inlineStr">
        <is>
          <t>NORRBOTTENS LÄN</t>
        </is>
      </c>
      <c r="G264" t="inlineStr">
        <is>
          <t>ÖVERKALIX</t>
        </is>
      </c>
      <c r="I264" t="n">
        <v>7.5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45999</v>
      </c>
      <c r="E265" s="1" t="n">
        <v>46252</v>
      </c>
      <c r="F265" t="inlineStr">
        <is>
          <t>NORRBOTTENS LÄN</t>
        </is>
      </c>
      <c r="G265" t="inlineStr">
        <is>
          <t>ÖVERKALIX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46252</v>
      </c>
      <c r="F266" t="inlineStr">
        <is>
          <t>NORRBOTTENS LÄN</t>
        </is>
      </c>
      <c r="G266" t="inlineStr">
        <is>
          <t>ÖVERKALIX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46252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13372-2023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45005</v>
      </c>
      <c r="E268" s="1" t="n">
        <v>46252</v>
      </c>
      <c r="F268" t="inlineStr">
        <is>
          <t>NORRBOTTENS LÄN</t>
        </is>
      </c>
      <c r="G268" t="inlineStr">
        <is>
          <t>ÖVERKALIX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46252</v>
      </c>
      <c r="F269" t="inlineStr">
        <is>
          <t>NORRBOTTENS LÄN</t>
        </is>
      </c>
      <c r="G269" t="inlineStr">
        <is>
          <t>ÖVERKALIX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46002</v>
      </c>
      <c r="E270" s="1" t="n">
        <v>46252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19984-2025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45771</v>
      </c>
      <c r="E271" s="1" t="n">
        <v>46252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45463</v>
      </c>
      <c r="E272" s="1" t="n">
        <v>46252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25545-2026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46252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23302-2023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45075</v>
      </c>
      <c r="E274" s="1" t="n">
        <v>46252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45807</v>
      </c>
      <c r="E275" s="1" t="n">
        <v>46252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63087-2025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46009</v>
      </c>
      <c r="E276" s="1" t="n">
        <v>46252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63023-2025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46252</v>
      </c>
      <c r="F277" t="inlineStr">
        <is>
          <t>NORRBOTTENS LÄN</t>
        </is>
      </c>
      <c r="G277" t="inlineStr">
        <is>
          <t>ÖVERKALIX</t>
        </is>
      </c>
      <c r="I277" t="n">
        <v>9.800000000000001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72623-2021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44546</v>
      </c>
      <c r="E278" s="1" t="n">
        <v>46252</v>
      </c>
      <c r="F278" t="inlineStr">
        <is>
          <t>NORRBOTTENS LÄN</t>
        </is>
      </c>
      <c r="G278" t="inlineStr">
        <is>
          <t>ÖVERKALIX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45548</v>
      </c>
      <c r="E279" s="1" t="n">
        <v>46252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45463</v>
      </c>
      <c r="E280" s="1" t="n">
        <v>46252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63545-2025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46252</v>
      </c>
      <c r="F281" t="inlineStr">
        <is>
          <t>NORRBOTTENS LÄN</t>
        </is>
      </c>
      <c r="G281" t="inlineStr">
        <is>
          <t>ÖVERKALIX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44930</v>
      </c>
      <c r="E282" s="1" t="n">
        <v>46252</v>
      </c>
      <c r="F282" t="inlineStr">
        <is>
          <t>NORRBOTTENS LÄN</t>
        </is>
      </c>
      <c r="G282" t="inlineStr">
        <is>
          <t>ÖVERKALIX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46252</v>
      </c>
      <c r="F283" t="inlineStr">
        <is>
          <t>NORRBOTTENS LÄN</t>
        </is>
      </c>
      <c r="G283" t="inlineStr">
        <is>
          <t>ÖVERKALIX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63454-2025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46252</v>
      </c>
      <c r="F284" t="inlineStr">
        <is>
          <t>NORRBOTTENS LÄN</t>
        </is>
      </c>
      <c r="G284" t="inlineStr">
        <is>
          <t>ÖVERKALIX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45141</v>
      </c>
      <c r="E285" s="1" t="n">
        <v>46252</v>
      </c>
      <c r="F285" t="inlineStr">
        <is>
          <t>NORRBOTTENS LÄN</t>
        </is>
      </c>
      <c r="G285" t="inlineStr">
        <is>
          <t>ÖVERKALIX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45513</v>
      </c>
      <c r="E286" s="1" t="n">
        <v>46252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25546-2026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46177</v>
      </c>
      <c r="E287" s="1" t="n">
        <v>46252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14255-2023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46252</v>
      </c>
      <c r="F288" t="inlineStr">
        <is>
          <t>NORRBOTTENS LÄN</t>
        </is>
      </c>
      <c r="G288" t="inlineStr">
        <is>
          <t>ÖVERKALIX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46252</v>
      </c>
      <c r="F289" t="inlineStr">
        <is>
          <t>NORRBOTTENS LÄN</t>
        </is>
      </c>
      <c r="G289" t="inlineStr">
        <is>
          <t>ÖVERKALIX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46252</v>
      </c>
      <c r="F290" t="inlineStr">
        <is>
          <t>NORRBOTTENS LÄN</t>
        </is>
      </c>
      <c r="G290" t="inlineStr">
        <is>
          <t>ÖVERKALIX</t>
        </is>
      </c>
      <c r="I290" t="n">
        <v>10.1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46252</v>
      </c>
      <c r="F291" t="inlineStr">
        <is>
          <t>NORRBOTTENS LÄN</t>
        </is>
      </c>
      <c r="G291" t="inlineStr">
        <is>
          <t>ÖVERKALIX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46252</v>
      </c>
      <c r="F292" t="inlineStr">
        <is>
          <t>NORRBOTTENS LÄN</t>
        </is>
      </c>
      <c r="G292" t="inlineStr">
        <is>
          <t>ÖVERKALIX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46178</v>
      </c>
      <c r="E293" s="1" t="n">
        <v>46252</v>
      </c>
      <c r="F293" t="inlineStr">
        <is>
          <t>NORRBOTTENS LÄN</t>
        </is>
      </c>
      <c r="G293" t="inlineStr">
        <is>
          <t>ÖVERKALIX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45548</v>
      </c>
      <c r="E294" s="1" t="n">
        <v>46252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51561-2024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46252</v>
      </c>
      <c r="F295" t="inlineStr">
        <is>
          <t>NORRBOTTENS LÄN</t>
        </is>
      </c>
      <c r="G295" t="inlineStr">
        <is>
          <t>ÖVERKALIX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44938</v>
      </c>
      <c r="E296" s="1" t="n">
        <v>46252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19259-2024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45428</v>
      </c>
      <c r="E297" s="1" t="n">
        <v>46252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46252</v>
      </c>
      <c r="F298" t="inlineStr">
        <is>
          <t>NORRBOTTENS LÄN</t>
        </is>
      </c>
      <c r="G298" t="inlineStr">
        <is>
          <t>ÖVERKALIX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38088-2023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45160</v>
      </c>
      <c r="E299" s="1" t="n">
        <v>46252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15491-2025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45747</v>
      </c>
      <c r="E300" s="1" t="n">
        <v>46252</v>
      </c>
      <c r="F300" t="inlineStr">
        <is>
          <t>NORRBOTTENS LÄN</t>
        </is>
      </c>
      <c r="G300" t="inlineStr">
        <is>
          <t>ÖVERKALIX</t>
        </is>
      </c>
      <c r="I300" t="n">
        <v>10.4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45748-2023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46252</v>
      </c>
      <c r="F301" t="inlineStr">
        <is>
          <t>NORRBOTTENS LÄN</t>
        </is>
      </c>
      <c r="G301" t="inlineStr">
        <is>
          <t>ÖVERKALIX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46042</v>
      </c>
      <c r="E302" s="1" t="n">
        <v>46252</v>
      </c>
      <c r="F302" t="inlineStr">
        <is>
          <t>NORRBOTTENS LÄN</t>
        </is>
      </c>
      <c r="G302" t="inlineStr">
        <is>
          <t>ÖVERKALIX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46042</v>
      </c>
      <c r="E303" s="1" t="n">
        <v>46252</v>
      </c>
      <c r="F303" t="inlineStr">
        <is>
          <t>NORRBOTTENS LÄN</t>
        </is>
      </c>
      <c r="G303" t="inlineStr">
        <is>
          <t>ÖVERKALIX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46252</v>
      </c>
      <c r="F304" t="inlineStr">
        <is>
          <t>NORRBOTTENS LÄN</t>
        </is>
      </c>
      <c r="G304" t="inlineStr">
        <is>
          <t>ÖVERKALIX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25965-2026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46252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5.9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25970-2026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46181</v>
      </c>
      <c r="E306" s="1" t="n">
        <v>46252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46225</v>
      </c>
      <c r="E307" s="1" t="n">
        <v>46252</v>
      </c>
      <c r="F307" t="inlineStr">
        <is>
          <t>NORRBOTTENS LÄN</t>
        </is>
      </c>
      <c r="G307" t="inlineStr">
        <is>
          <t>ÖVERKALIX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58764-2023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45251</v>
      </c>
      <c r="E308" s="1" t="n">
        <v>46252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8672-2025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45712</v>
      </c>
      <c r="E309" s="1" t="n">
        <v>46252</v>
      </c>
      <c r="F309" t="inlineStr">
        <is>
          <t>NORRBOTTENS LÄN</t>
        </is>
      </c>
      <c r="G309" t="inlineStr">
        <is>
          <t>ÖVERKALIX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46252</v>
      </c>
      <c r="F310" t="inlineStr">
        <is>
          <t>NORRBOTTENS LÄN</t>
        </is>
      </c>
      <c r="G310" t="inlineStr">
        <is>
          <t>ÖVERKALIX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45671</v>
      </c>
      <c r="E311" s="1" t="n">
        <v>46252</v>
      </c>
      <c r="F311" t="inlineStr">
        <is>
          <t>NORRBOTTENS LÄN</t>
        </is>
      </c>
      <c r="G311" t="inlineStr">
        <is>
          <t>ÖVERKALIX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46252</v>
      </c>
      <c r="F312" t="inlineStr">
        <is>
          <t>NORRBOTTENS LÄN</t>
        </is>
      </c>
      <c r="G312" t="inlineStr">
        <is>
          <t>ÖVERKALIX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46252</v>
      </c>
      <c r="F313" t="inlineStr">
        <is>
          <t>NORRBOTTENS LÄN</t>
        </is>
      </c>
      <c r="G313" t="inlineStr">
        <is>
          <t>ÖVERKALIX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46252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13.8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26427-2026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46252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17.7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46252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7487-2026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46252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46183</v>
      </c>
      <c r="E318" s="1" t="n">
        <v>46252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8.5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45518</v>
      </c>
      <c r="E319" s="1" t="n">
        <v>46252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15365-2025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45747</v>
      </c>
      <c r="E320" s="1" t="n">
        <v>46252</v>
      </c>
      <c r="F320" t="inlineStr">
        <is>
          <t>NORRBOTTENS LÄN</t>
        </is>
      </c>
      <c r="G320" t="inlineStr">
        <is>
          <t>ÖVERKALIX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46187</v>
      </c>
      <c r="E321" s="1" t="n">
        <v>46252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45699</v>
      </c>
      <c r="E322" s="1" t="n">
        <v>46252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28.8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7448-2023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44966</v>
      </c>
      <c r="E323" s="1" t="n">
        <v>46252</v>
      </c>
      <c r="F323" t="inlineStr">
        <is>
          <t>NORRBOTTENS LÄN</t>
        </is>
      </c>
      <c r="G323" t="inlineStr">
        <is>
          <t>ÖVERKALIX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45205</v>
      </c>
      <c r="E324" s="1" t="n">
        <v>46252</v>
      </c>
      <c r="F324" t="inlineStr">
        <is>
          <t>NORRBOTTENS LÄN</t>
        </is>
      </c>
      <c r="G324" t="inlineStr">
        <is>
          <t>ÖVERKALIX</t>
        </is>
      </c>
      <c r="I324" t="n">
        <v>9.300000000000001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31832-2026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46230</v>
      </c>
      <c r="E325" s="1" t="n">
        <v>46252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45334</v>
      </c>
      <c r="E326" s="1" t="n">
        <v>46252</v>
      </c>
      <c r="F326" t="inlineStr">
        <is>
          <t>NORRBOTTENS LÄN</t>
        </is>
      </c>
      <c r="G326" t="inlineStr">
        <is>
          <t>ÖVERKALIX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45621</v>
      </c>
      <c r="E327" s="1" t="n">
        <v>46252</v>
      </c>
      <c r="F327" t="inlineStr">
        <is>
          <t>NORRBOTTENS LÄN</t>
        </is>
      </c>
      <c r="G327" t="inlineStr">
        <is>
          <t>ÖVERKALIX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10292-2026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46076</v>
      </c>
      <c r="E328" s="1" t="n">
        <v>46252</v>
      </c>
      <c r="F328" t="inlineStr">
        <is>
          <t>NORRBOTTENS LÄN</t>
        </is>
      </c>
      <c r="G328" t="inlineStr">
        <is>
          <t>ÖVERKALIX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46252</v>
      </c>
      <c r="F329" t="inlineStr">
        <is>
          <t>NORRBOTTENS LÄN</t>
        </is>
      </c>
      <c r="G329" t="inlineStr">
        <is>
          <t>ÖVERKALIX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46080</v>
      </c>
      <c r="E330" s="1" t="n">
        <v>46252</v>
      </c>
      <c r="F330" t="inlineStr">
        <is>
          <t>NORRBOTTENS LÄN</t>
        </is>
      </c>
      <c r="G330" t="inlineStr">
        <is>
          <t>ÖVERKALIX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11179-2026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46080</v>
      </c>
      <c r="E331" s="1" t="n">
        <v>46252</v>
      </c>
      <c r="F331" t="inlineStr">
        <is>
          <t>NORRBOTTENS LÄN</t>
        </is>
      </c>
      <c r="G331" t="inlineStr">
        <is>
          <t>ÖVERKALIX</t>
        </is>
      </c>
      <c r="I331" t="n">
        <v>9.800000000000001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45699</v>
      </c>
      <c r="E332" s="1" t="n">
        <v>46252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18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28343-2025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45818</v>
      </c>
      <c r="E333" s="1" t="n">
        <v>46252</v>
      </c>
      <c r="F333" t="inlineStr">
        <is>
          <t>NORRBOTTENS LÄN</t>
        </is>
      </c>
      <c r="G333" t="inlineStr">
        <is>
          <t>ÖVERKALIX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11685-2026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46252</v>
      </c>
      <c r="F334" t="inlineStr">
        <is>
          <t>NORRBOTTENS LÄN</t>
        </is>
      </c>
      <c r="G334" t="inlineStr">
        <is>
          <t>ÖVERKALIX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11770-2026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46084</v>
      </c>
      <c r="E335" s="1" t="n">
        <v>46252</v>
      </c>
      <c r="F335" t="inlineStr">
        <is>
          <t>NORRBOTTENS LÄN</t>
        </is>
      </c>
      <c r="G335" t="inlineStr">
        <is>
          <t>ÖVERKALIX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46252</v>
      </c>
      <c r="F336" t="inlineStr">
        <is>
          <t>NORRBOTTENS LÄN</t>
        </is>
      </c>
      <c r="G336" t="inlineStr">
        <is>
          <t>ÖVERKALIX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46252</v>
      </c>
      <c r="F337" t="inlineStr">
        <is>
          <t>NORRBOTTENS LÄN</t>
        </is>
      </c>
      <c r="G337" t="inlineStr">
        <is>
          <t>ÖVERKALIX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46252</v>
      </c>
      <c r="F338" t="inlineStr">
        <is>
          <t>NORRBOTTENS LÄN</t>
        </is>
      </c>
      <c r="G338" t="inlineStr">
        <is>
          <t>ÖVERKALIX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6591-2023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44966</v>
      </c>
      <c r="E339" s="1" t="n">
        <v>46252</v>
      </c>
      <c r="F339" t="inlineStr">
        <is>
          <t>NORRBOTTENS LÄN</t>
        </is>
      </c>
      <c r="G339" t="inlineStr">
        <is>
          <t>ÖVERKALIX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46252</v>
      </c>
      <c r="F340" t="inlineStr">
        <is>
          <t>NORRBOTTENS LÄN</t>
        </is>
      </c>
      <c r="G340" t="inlineStr">
        <is>
          <t>ÖVERKALIX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45321</v>
      </c>
      <c r="E341" s="1" t="n">
        <v>46252</v>
      </c>
      <c r="F341" t="inlineStr">
        <is>
          <t>NORRBOTTENS LÄN</t>
        </is>
      </c>
      <c r="G341" t="inlineStr">
        <is>
          <t>ÖVERKALIX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12277-2026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46087</v>
      </c>
      <c r="E342" s="1" t="n">
        <v>46252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12278-2026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46087</v>
      </c>
      <c r="E343" s="1" t="n">
        <v>46252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45107</v>
      </c>
      <c r="E344" s="1" t="n">
        <v>46252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72212-2021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44543</v>
      </c>
      <c r="E345" s="1" t="n">
        <v>46252</v>
      </c>
      <c r="F345" t="inlineStr">
        <is>
          <t>NORRBOTTENS LÄN</t>
        </is>
      </c>
      <c r="G345" t="inlineStr">
        <is>
          <t>ÖVERKALIX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13058-2026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46093</v>
      </c>
      <c r="E346" s="1" t="n">
        <v>46252</v>
      </c>
      <c r="F346" t="inlineStr">
        <is>
          <t>NORRBOTTENS LÄN</t>
        </is>
      </c>
      <c r="G346" t="inlineStr">
        <is>
          <t>ÖVERKALIX</t>
        </is>
      </c>
      <c r="I346" t="n">
        <v>12.5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45404</v>
      </c>
      <c r="E347" s="1" t="n">
        <v>46252</v>
      </c>
      <c r="F347" t="inlineStr">
        <is>
          <t>NORRBOTTENS LÄN</t>
        </is>
      </c>
      <c r="G347" t="inlineStr">
        <is>
          <t>ÖVERKALIX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45436</v>
      </c>
      <c r="E348" s="1" t="n">
        <v>46252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29.9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27681-2026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46252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45667</v>
      </c>
      <c r="E350" s="1" t="n">
        <v>46252</v>
      </c>
      <c r="F350" t="inlineStr">
        <is>
          <t>NORRBOTTENS LÄN</t>
        </is>
      </c>
      <c r="G350" t="inlineStr">
        <is>
          <t>ÖVERKALIX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15011-2026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46104</v>
      </c>
      <c r="E351" s="1" t="n">
        <v>46252</v>
      </c>
      <c r="F351" t="inlineStr">
        <is>
          <t>NORRBOTTENS LÄN</t>
        </is>
      </c>
      <c r="G351" t="inlineStr">
        <is>
          <t>ÖVERKALIX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45401</v>
      </c>
      <c r="E352" s="1" t="n">
        <v>46252</v>
      </c>
      <c r="F352" t="inlineStr">
        <is>
          <t>NORRBOTTENS LÄN</t>
        </is>
      </c>
      <c r="G352" t="inlineStr">
        <is>
          <t>ÖVERKALIX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15358-2026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46252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22.8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39405-2022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44817</v>
      </c>
      <c r="E354" s="1" t="n">
        <v>46252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16487-2026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46252</v>
      </c>
      <c r="F355" t="inlineStr">
        <is>
          <t>NORRBOTTENS LÄN</t>
        </is>
      </c>
      <c r="G355" t="inlineStr">
        <is>
          <t>ÖVERKALIX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16794-2026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46113</v>
      </c>
      <c r="E356" s="1" t="n">
        <v>46252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46238</v>
      </c>
      <c r="E357" s="1" t="n">
        <v>46252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46252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46945-2021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44446</v>
      </c>
      <c r="E359" s="1" t="n">
        <v>46252</v>
      </c>
      <c r="F359" t="inlineStr">
        <is>
          <t>NORRBOTTENS LÄN</t>
        </is>
      </c>
      <c r="G359" t="inlineStr">
        <is>
          <t>ÖVERKALIX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46120</v>
      </c>
      <c r="E360" s="1" t="n">
        <v>46252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17469-2026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46120</v>
      </c>
      <c r="E361" s="1" t="n">
        <v>46252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17690-2026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46121</v>
      </c>
      <c r="E362" s="1" t="n">
        <v>46252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28038-2026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46195</v>
      </c>
      <c r="E363" s="1" t="n">
        <v>46252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5.8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52075-2023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45223</v>
      </c>
      <c r="E364" s="1" t="n">
        <v>46252</v>
      </c>
      <c r="F364" t="inlineStr">
        <is>
          <t>NORRBOTTENS LÄN</t>
        </is>
      </c>
      <c r="G364" t="inlineStr">
        <is>
          <t>ÖVERKALIX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51058-2024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46252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43673-2021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44433</v>
      </c>
      <c r="E366" s="1" t="n">
        <v>46252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45693</v>
      </c>
      <c r="E367" s="1" t="n">
        <v>46252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28210-2026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46196</v>
      </c>
      <c r="E368" s="1" t="n">
        <v>46252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18522-2026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46127</v>
      </c>
      <c r="E369" s="1" t="n">
        <v>46252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46127</v>
      </c>
      <c r="E370" s="1" t="n">
        <v>46252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19375-2026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46252</v>
      </c>
      <c r="F371" t="inlineStr">
        <is>
          <t>NORRBOTTENS LÄN</t>
        </is>
      </c>
      <c r="G371" t="inlineStr">
        <is>
          <t>ÖVERKALIX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19107-2026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46132</v>
      </c>
      <c r="E372" s="1" t="n">
        <v>46252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SCA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19410-2026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46252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45315</v>
      </c>
      <c r="E374" s="1" t="n">
        <v>46252</v>
      </c>
      <c r="F374" t="inlineStr">
        <is>
          <t>NORRBOTTENS LÄN</t>
        </is>
      </c>
      <c r="G374" t="inlineStr">
        <is>
          <t>ÖVERKALIX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55226-2024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45621</v>
      </c>
      <c r="E375" s="1" t="n">
        <v>46252</v>
      </c>
      <c r="F375" t="inlineStr">
        <is>
          <t>NORRBOTTENS LÄN</t>
        </is>
      </c>
      <c r="G375" t="inlineStr">
        <is>
          <t>ÖVERKALIX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15153-2025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45744</v>
      </c>
      <c r="E376" s="1" t="n">
        <v>46252</v>
      </c>
      <c r="F376" t="inlineStr">
        <is>
          <t>NORRBOTTENS LÄN</t>
        </is>
      </c>
      <c r="G376" t="inlineStr">
        <is>
          <t>ÖVERKALIX</t>
        </is>
      </c>
      <c r="I376" t="n">
        <v>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19616-2026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46134</v>
      </c>
      <c r="E377" s="1" t="n">
        <v>46252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15301-2022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44659</v>
      </c>
      <c r="E378" s="1" t="n">
        <v>46252</v>
      </c>
      <c r="F378" t="inlineStr">
        <is>
          <t>NORRBOTTENS LÄN</t>
        </is>
      </c>
      <c r="G378" t="inlineStr">
        <is>
          <t>ÖVERKALIX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28641-2026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46252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7.8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28644-2026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46198</v>
      </c>
      <c r="E380" s="1" t="n">
        <v>46252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46199</v>
      </c>
      <c r="E381" s="1" t="n">
        <v>46252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Sveaskog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58037-2024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46252</v>
      </c>
      <c r="F382" t="inlineStr">
        <is>
          <t>NORRBOTTENS LÄN</t>
        </is>
      </c>
      <c r="G382" t="inlineStr">
        <is>
          <t>ÖVERKALIX</t>
        </is>
      </c>
      <c r="I382" t="n">
        <v>7.4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19985-2025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45771</v>
      </c>
      <c r="E383" s="1" t="n">
        <v>46252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5.5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62561-2023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45268</v>
      </c>
      <c r="E384" s="1" t="n">
        <v>46252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32962-2026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46244</v>
      </c>
      <c r="E385" s="1" t="n">
        <v>46252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Sveaskog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48577-2023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45208</v>
      </c>
      <c r="E386" s="1" t="n">
        <v>46252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Sveaskog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38941-2024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45548</v>
      </c>
      <c r="E387" s="1" t="n">
        <v>46252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32933-2026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46244</v>
      </c>
      <c r="E388" s="1" t="n">
        <v>46252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40329-2023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46252</v>
      </c>
      <c r="F389" t="inlineStr">
        <is>
          <t>NORRBOTTENS LÄN</t>
        </is>
      </c>
      <c r="G389" t="inlineStr">
        <is>
          <t>ÖVERKALIX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36839-2023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45153</v>
      </c>
      <c r="E390" s="1" t="n">
        <v>46252</v>
      </c>
      <c r="F390" t="inlineStr">
        <is>
          <t>NORRBOTTENS LÄN</t>
        </is>
      </c>
      <c r="G390" t="inlineStr">
        <is>
          <t>ÖVERKALIX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52976-2024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45611</v>
      </c>
      <c r="E391" s="1" t="n">
        <v>46252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45107</v>
      </c>
      <c r="E392" s="1" t="n">
        <v>46252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33284-2026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46246</v>
      </c>
      <c r="E393" s="1" t="n">
        <v>46252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23324-2023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46252</v>
      </c>
      <c r="F394" t="inlineStr">
        <is>
          <t>NORRBOTTENS LÄN</t>
        </is>
      </c>
      <c r="G394" t="inlineStr">
        <is>
          <t>ÖVERKALIX</t>
        </is>
      </c>
      <c r="H394" t="inlineStr">
        <is>
          <t>Övriga statliga verk och myndigheter</t>
        </is>
      </c>
      <c r="I394" t="n">
        <v>38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46252</v>
      </c>
      <c r="F395" t="inlineStr">
        <is>
          <t>NORRBOTTENS LÄN</t>
        </is>
      </c>
      <c r="G395" t="inlineStr">
        <is>
          <t>ÖVERKALIX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46252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19529-2024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45429</v>
      </c>
      <c r="E397" s="1" t="n">
        <v>46252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Sveaskog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48561-2024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45593</v>
      </c>
      <c r="E398" s="1" t="n">
        <v>46252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8.199999999999999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5382-2025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45692</v>
      </c>
      <c r="E399" s="1" t="n">
        <v>46252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10.1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20505-2026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46252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30027-2026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46252</v>
      </c>
      <c r="F401" t="inlineStr">
        <is>
          <t>NORRBOTTENS LÄN</t>
        </is>
      </c>
      <c r="G401" t="inlineStr">
        <is>
          <t>ÖVERKALIX</t>
        </is>
      </c>
      <c r="I401" t="n">
        <v>22.3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46252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13717-2022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44648</v>
      </c>
      <c r="E403" s="1" t="n">
        <v>46252</v>
      </c>
      <c r="F403" t="inlineStr">
        <is>
          <t>NORRBOTTENS LÄN</t>
        </is>
      </c>
      <c r="G403" t="inlineStr">
        <is>
          <t>ÖVERKALIX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43042-2025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45909</v>
      </c>
      <c r="E404" s="1" t="n">
        <v>46252</v>
      </c>
      <c r="F404" t="inlineStr">
        <is>
          <t>NORRBOTTENS LÄN</t>
        </is>
      </c>
      <c r="G404" t="inlineStr">
        <is>
          <t>ÖVERKALIX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46205</v>
      </c>
      <c r="E405" s="1" t="n">
        <v>46252</v>
      </c>
      <c r="F405" t="inlineStr">
        <is>
          <t>NORRBOTTENS LÄN</t>
        </is>
      </c>
      <c r="G405" t="inlineStr">
        <is>
          <t>ÖVERKALIX</t>
        </is>
      </c>
      <c r="I405" t="n">
        <v>6.1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28208-2025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45818</v>
      </c>
      <c r="E406" s="1" t="n">
        <v>46252</v>
      </c>
      <c r="F406" t="inlineStr">
        <is>
          <t>NORRBOTTENS LÄN</t>
        </is>
      </c>
      <c r="G406" t="inlineStr">
        <is>
          <t>ÖVERKALIX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21299-2024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45440</v>
      </c>
      <c r="E407" s="1" t="n">
        <v>46252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5570-2025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46252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33761-2024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45520</v>
      </c>
      <c r="E409" s="1" t="n">
        <v>46252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21417-2026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46148</v>
      </c>
      <c r="E410" s="1" t="n">
        <v>46252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Sveaskog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21427-2026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46148</v>
      </c>
      <c r="E411" s="1" t="n">
        <v>46252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46252</v>
      </c>
      <c r="F412" t="inlineStr">
        <is>
          <t>NORRBOTTENS LÄN</t>
        </is>
      </c>
      <c r="G412" t="inlineStr">
        <is>
          <t>ÖVERKALIX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29927-2026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46205</v>
      </c>
      <c r="E413" s="1" t="n">
        <v>46252</v>
      </c>
      <c r="F413" t="inlineStr">
        <is>
          <t>NORRBOTTENS LÄN</t>
        </is>
      </c>
      <c r="G413" t="inlineStr">
        <is>
          <t>ÖVERKALIX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29937-2026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46205</v>
      </c>
      <c r="E414" s="1" t="n">
        <v>46252</v>
      </c>
      <c r="F414" t="inlineStr">
        <is>
          <t>NORRBOTTENS LÄN</t>
        </is>
      </c>
      <c r="G414" t="inlineStr">
        <is>
          <t>ÖVERKALIX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21411-2026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46148</v>
      </c>
      <c r="E415" s="1" t="n">
        <v>46252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21419-2026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46148</v>
      </c>
      <c r="E416" s="1" t="n">
        <v>46252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21423-2026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46148</v>
      </c>
      <c r="E417" s="1" t="n">
        <v>46252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21424-2026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46148</v>
      </c>
      <c r="E418" s="1" t="n">
        <v>46252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21425-2026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46148</v>
      </c>
      <c r="E419" s="1" t="n">
        <v>46252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30326-2026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46207</v>
      </c>
      <c r="E420" s="1" t="n">
        <v>46252</v>
      </c>
      <c r="F420" t="inlineStr">
        <is>
          <t>NORRBOTTENS LÄN</t>
        </is>
      </c>
      <c r="G420" t="inlineStr">
        <is>
          <t>ÖVERKALIX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30327-2026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46207</v>
      </c>
      <c r="E421" s="1" t="n">
        <v>46252</v>
      </c>
      <c r="F421" t="inlineStr">
        <is>
          <t>NORRBOTTENS LÄN</t>
        </is>
      </c>
      <c r="G421" t="inlineStr">
        <is>
          <t>ÖVERKALIX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21429-2026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46148</v>
      </c>
      <c r="E422" s="1" t="n">
        <v>46252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18.8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46048</v>
      </c>
      <c r="E423" s="1" t="n">
        <v>46252</v>
      </c>
      <c r="F423" t="inlineStr">
        <is>
          <t>NORRBOTTENS LÄN</t>
        </is>
      </c>
      <c r="G423" t="inlineStr">
        <is>
          <t>ÖVERKALIX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21422-2026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46148</v>
      </c>
      <c r="E424" s="1" t="n">
        <v>46252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11.5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22163-2026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46153</v>
      </c>
      <c r="E425" s="1" t="n">
        <v>46252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23.2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21520-2025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45782</v>
      </c>
      <c r="E426" s="1" t="n">
        <v>46252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22108-2025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45785</v>
      </c>
      <c r="E427" s="1" t="n">
        <v>46252</v>
      </c>
      <c r="F427" t="inlineStr">
        <is>
          <t>NORRBOTTENS LÄN</t>
        </is>
      </c>
      <c r="G427" t="inlineStr">
        <is>
          <t>ÖVERKALIX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30328-2026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46207</v>
      </c>
      <c r="E428" s="1" t="n">
        <v>46252</v>
      </c>
      <c r="F428" t="inlineStr">
        <is>
          <t>NORRBOTTENS LÄN</t>
        </is>
      </c>
      <c r="G428" t="inlineStr">
        <is>
          <t>ÖVERKALIX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30019-2026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46252</v>
      </c>
      <c r="F429" t="inlineStr">
        <is>
          <t>NORRBOTTENS LÄN</t>
        </is>
      </c>
      <c r="G429" t="inlineStr">
        <is>
          <t>ÖVERKALIX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30037-2026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46206</v>
      </c>
      <c r="E430" s="1" t="n">
        <v>46252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30241-2026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46206</v>
      </c>
      <c r="E431" s="1" t="n">
        <v>46252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Sveaskog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48221-2025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45933</v>
      </c>
      <c r="E432" s="1" t="n">
        <v>46252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46157</v>
      </c>
      <c r="E433" s="1" t="n">
        <v>46252</v>
      </c>
      <c r="F433" t="inlineStr">
        <is>
          <t>NORRBOTTENS LÄN</t>
        </is>
      </c>
      <c r="G433" t="inlineStr">
        <is>
          <t>ÖVERKALIX</t>
        </is>
      </c>
      <c r="I433" t="n">
        <v>10.6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22955-2026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46160</v>
      </c>
      <c r="E434" s="1" t="n">
        <v>46252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22945-2026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46160</v>
      </c>
      <c r="E435" s="1" t="n">
        <v>46252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23353-2026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46162</v>
      </c>
      <c r="E436" s="1" t="n">
        <v>46252</v>
      </c>
      <c r="F436" t="inlineStr">
        <is>
          <t>NORRBOTTENS LÄN</t>
        </is>
      </c>
      <c r="G436" t="inlineStr">
        <is>
          <t>ÖVERKALIX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46162</v>
      </c>
      <c r="E437" s="1" t="n">
        <v>46252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Sveaskog</t>
        </is>
      </c>
      <c r="I437" t="n">
        <v>17.6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23588-2026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46163</v>
      </c>
      <c r="E438" s="1" t="n">
        <v>46252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9.9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23360-2026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46162</v>
      </c>
      <c r="E439" s="1" t="n">
        <v>46252</v>
      </c>
      <c r="F439" t="inlineStr">
        <is>
          <t>NORRBOTTENS LÄN</t>
        </is>
      </c>
      <c r="G439" t="inlineStr">
        <is>
          <t>ÖVERKALIX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23362-2026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46162</v>
      </c>
      <c r="E440" s="1" t="n">
        <v>46252</v>
      </c>
      <c r="F440" t="inlineStr">
        <is>
          <t>NORRBOTTENS LÄN</t>
        </is>
      </c>
      <c r="G440" t="inlineStr">
        <is>
          <t>ÖVERKALIX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23507-2026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46163</v>
      </c>
      <c r="E441" s="1" t="n">
        <v>46252</v>
      </c>
      <c r="F441" t="inlineStr">
        <is>
          <t>NORRBOTTENS LÄN</t>
        </is>
      </c>
      <c r="G441" t="inlineStr">
        <is>
          <t>ÖVERKALIX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23771-2026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46164</v>
      </c>
      <c r="E442" s="1" t="n">
        <v>46252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23938-2026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46167</v>
      </c>
      <c r="E443" s="1" t="n">
        <v>46252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Sveaskog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23935-2026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46252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28372-2025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45818</v>
      </c>
      <c r="E445" s="1" t="n">
        <v>46252</v>
      </c>
      <c r="F445" t="inlineStr">
        <is>
          <t>NORRBOTTENS LÄN</t>
        </is>
      </c>
      <c r="G445" t="inlineStr">
        <is>
          <t>ÖVERKALIX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23942-2026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46167</v>
      </c>
      <c r="E446" s="1" t="n">
        <v>46252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45793</v>
      </c>
      <c r="E447" s="1" t="n">
        <v>46252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Sveaskog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23873-2025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45793</v>
      </c>
      <c r="E448" s="1" t="n">
        <v>46252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23870-2025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45793</v>
      </c>
      <c r="E449" s="1" t="n">
        <v>46252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24141-2025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45796</v>
      </c>
      <c r="E450" s="1" t="n">
        <v>46252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51354-2025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45950</v>
      </c>
      <c r="E451" s="1" t="n">
        <v>46252</v>
      </c>
      <c r="F451" t="inlineStr">
        <is>
          <t>NORRBOTTENS LÄN</t>
        </is>
      </c>
      <c r="G451" t="inlineStr">
        <is>
          <t>ÖVERKALIX</t>
        </is>
      </c>
      <c r="I451" t="n">
        <v>8.199999999999999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23949-2026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46167</v>
      </c>
      <c r="E452" s="1" t="n">
        <v>46252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23953-2026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46252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45796</v>
      </c>
      <c r="E454" s="1" t="n">
        <v>46252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24128-2026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46168</v>
      </c>
      <c r="E455" s="1" t="n">
        <v>46252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18.6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24170-2026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46168</v>
      </c>
      <c r="E456" s="1" t="n">
        <v>46252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24129-2026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46168</v>
      </c>
      <c r="E457" s="1" t="n">
        <v>46252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14.2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4114-2024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46252</v>
      </c>
      <c r="F458" t="inlineStr">
        <is>
          <t>NORRBOTTENS LÄN</t>
        </is>
      </c>
      <c r="G458" t="inlineStr">
        <is>
          <t>ÖVERKALIX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25629-2025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45803</v>
      </c>
      <c r="E459" s="1" t="n">
        <v>46252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Sveaskog</t>
        </is>
      </c>
      <c r="I459" t="n">
        <v>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24587-2026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46170</v>
      </c>
      <c r="E460" s="1" t="n">
        <v>46252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12177-2024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45377</v>
      </c>
      <c r="E461" s="1" t="n">
        <v>46252</v>
      </c>
      <c r="F461" t="inlineStr">
        <is>
          <t>NORRBOTTENS LÄN</t>
        </is>
      </c>
      <c r="G461" t="inlineStr">
        <is>
          <t>ÖVERKALIX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45944</v>
      </c>
      <c r="E462" s="1" t="n">
        <v>46252</v>
      </c>
      <c r="F462" t="inlineStr">
        <is>
          <t>NORRBOTTENS LÄN</t>
        </is>
      </c>
      <c r="G462" t="inlineStr">
        <is>
          <t>ÖVERKALIX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45811</v>
      </c>
      <c r="E463" s="1" t="n">
        <v>46252</v>
      </c>
      <c r="F463" t="inlineStr">
        <is>
          <t>NORRBOTTENS LÄN</t>
        </is>
      </c>
      <c r="G463" t="inlineStr">
        <is>
          <t>ÖVERKALIX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25180-2026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46175</v>
      </c>
      <c r="E464" s="1" t="n">
        <v>46252</v>
      </c>
      <c r="F464" t="inlineStr">
        <is>
          <t>NORRBOTTENS LÄN</t>
        </is>
      </c>
      <c r="G464" t="inlineStr">
        <is>
          <t>ÖVERKALIX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3721-2022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44741</v>
      </c>
      <c r="E465" s="1" t="n">
        <v>46252</v>
      </c>
      <c r="F465" t="inlineStr">
        <is>
          <t>NORRBOTTENS LÄN</t>
        </is>
      </c>
      <c r="G465" t="inlineStr">
        <is>
          <t>ÖVERKALIX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2792-2024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45485</v>
      </c>
      <c r="E466" s="1" t="n">
        <v>46252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2700-2024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45482</v>
      </c>
      <c r="E467" s="1" t="n">
        <v>46252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4734-2024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45607</v>
      </c>
      <c r="E468" s="1" t="n">
        <v>46252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1178-2025</t>
        </is>
      </c>
      <c r="B469" t="inlineStr">
        <is>
          <t>samrådsanmälan</t>
        </is>
      </c>
      <c r="C469" t="inlineStr">
        <is>
          <t>Skogsgödsling</t>
        </is>
      </c>
      <c r="D469" s="1" t="n">
        <v>45756</v>
      </c>
      <c r="E469" s="1" t="n">
        <v>46252</v>
      </c>
      <c r="F469" t="inlineStr">
        <is>
          <t>NORRBOTTENS LÄN</t>
        </is>
      </c>
      <c r="G469" t="inlineStr">
        <is>
          <t>ÖVERKALIX</t>
        </is>
      </c>
      <c r="I469" t="n">
        <v>39.9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1667-2025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45800</v>
      </c>
      <c r="E470" s="1" t="n">
        <v>46252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50-2026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46030</v>
      </c>
      <c r="E471" s="1" t="n">
        <v>46252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9.800000000000001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2026-08-18T01:46:37Z</dcterms:created>
  <dcterms:modified xmlns:dcterms="http://purl.org/dc/terms/" xmlns:xsi="http://www.w3.org/2001/XMLSchema-instance" xsi:type="dcterms:W3CDTF">2026-08-18T01:46:38Z</dcterms:modified>
</cp:coreProperties>
</file>