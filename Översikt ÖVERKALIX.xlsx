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46231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46231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46231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46231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46231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46231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46231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46231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Tallgråticka
Blå taggsvamp
Dropptaggsvamp
Orange taggsvamp
Svartvit taggsvamp</t>
        </is>
      </c>
      <c r="W9">
        <f>HYPERLINK("https://klasma.github.io/Logging_2513/artfynd/A 49422-2023 artfynd.xlsx", "A 49422-2023")</f>
        <v/>
      </c>
      <c r="X9">
        <f>HYPERLINK("https://klasma.github.io/Logging_2513/kartor/A 49422-2023 karta.png", "A 49422-2023")</f>
        <v/>
      </c>
      <c r="Y9">
        <f>HYPERLINK("https://klasma.github.io/Logging_2513/kartor_geotiff/A 49422-2023 georefererad karta.tif", "A 49422-2023")</f>
        <v/>
      </c>
      <c r="AA9">
        <f>HYPERLINK("https://klasma.github.io/Logging_2513/klagomål/A 49422-2023 FSC-klagomål.docx", "A 49422-2023")</f>
        <v/>
      </c>
      <c r="AB9">
        <f>HYPERLINK("https://klasma.github.io/Logging_2513/klagomålsmail/A 49422-2023 FSC-klagomål mail.docx", "A 49422-2023")</f>
        <v/>
      </c>
      <c r="AC9">
        <f>HYPERLINK("https://klasma.github.io/Logging_2513/tillsyn/A 49422-2023 tillsynsbegäran.docx", "A 49422-2023")</f>
        <v/>
      </c>
      <c r="AD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45834</v>
      </c>
      <c r="E10" s="1" t="n">
        <v>46231</v>
      </c>
      <c r="F10" t="inlineStr">
        <is>
          <t>NORRBOTTENS LÄN</t>
        </is>
      </c>
      <c r="G10" t="inlineStr">
        <is>
          <t>ÖVERKALIX</t>
        </is>
      </c>
      <c r="I10" t="n">
        <v>0.9</v>
      </c>
      <c r="J10" t="n">
        <v>0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Blå taggsvamp
Orange taggsvamp
Skarp dropptaggsvamp
Tallfingersvamp
Vaxspindling</t>
        </is>
      </c>
      <c r="W10">
        <f>HYPERLINK("https://klasma.github.io/Logging_2513/artfynd/A 31751-2025 artfynd.xlsx", "A 31751-2025")</f>
        <v/>
      </c>
      <c r="X10">
        <f>HYPERLINK("https://klasma.github.io/Logging_2513/kartor/A 31751-2025 karta.png", "A 31751-2025")</f>
        <v/>
      </c>
      <c r="Y10">
        <f>HYPERLINK("https://klasma.github.io/Logging_2513/kartor_geotiff/A 31751-2025 georefererad karta.tif", "A 31751-2025")</f>
        <v/>
      </c>
      <c r="AA10">
        <f>HYPERLINK("https://klasma.github.io/Logging_2513/klagomål/A 31751-2025 FSC-klagomål.docx", "A 31751-2025")</f>
        <v/>
      </c>
      <c r="AB10">
        <f>HYPERLINK("https://klasma.github.io/Logging_2513/klagomålsmail/A 31751-2025 FSC-klagomål mail.docx", "A 31751-2025")</f>
        <v/>
      </c>
      <c r="AC10">
        <f>HYPERLINK("https://klasma.github.io/Logging_2513/tillsyn/A 31751-2025 tillsynsbegäran.docx", "A 31751-2025")</f>
        <v/>
      </c>
      <c r="AD10">
        <f>HYPERLINK("https://klasma.github.io/Logging_2513/tillsynsmail/A 31751-2025 tillsynsbegäran mail.docx", "A 31751-2025")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46231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Goliatmusseron
Blå taggsvamp
Dropptaggsvamp
Motaggsvamp
Orange taggsvamp</t>
        </is>
      </c>
      <c r="W11">
        <f>HYPERLINK("https://klasma.github.io/Logging_2513/artfynd/A 38989-2023 artfynd.xlsx", "A 38989-2023")</f>
        <v/>
      </c>
      <c r="X11">
        <f>HYPERLINK("https://klasma.github.io/Logging_2513/kartor/A 38989-2023 karta.png", "A 38989-2023")</f>
        <v/>
      </c>
      <c r="Y11">
        <f>HYPERLINK("https://klasma.github.io/Logging_2513/kartor_geotiff/A 38989-2023 georefererad karta.tif", "A 38989-2023")</f>
        <v/>
      </c>
      <c r="AA11">
        <f>HYPERLINK("https://klasma.github.io/Logging_2513/klagomål/A 38989-2023 FSC-klagomål.docx", "A 38989-2023")</f>
        <v/>
      </c>
      <c r="AB11">
        <f>HYPERLINK("https://klasma.github.io/Logging_2513/klagomålsmail/A 38989-2023 FSC-klagomål mail.docx", "A 38989-2023")</f>
        <v/>
      </c>
      <c r="AC11">
        <f>HYPERLINK("https://klasma.github.io/Logging_2513/tillsyn/A 38989-2023 tillsynsbegäran.docx", "A 38989-2023")</f>
        <v/>
      </c>
      <c r="AD11">
        <f>HYPERLINK("https://klasma.github.io/Logging_2513/tillsynsmail/A 38989-2023 tillsynsbegäran mail.docx", "A 38989-2023")</f>
        <v/>
      </c>
    </row>
    <row r="12" ht="15" customHeight="1">
      <c r="A12" t="inlineStr">
        <is>
          <t>A 23383-2026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46231</v>
      </c>
      <c r="F12" t="inlineStr">
        <is>
          <t>NORRBOTTENS LÄN</t>
        </is>
      </c>
      <c r="G12" t="inlineStr">
        <is>
          <t>ÖVERKALIX</t>
        </is>
      </c>
      <c r="I12" t="n">
        <v>2.6</v>
      </c>
      <c r="J12" t="n">
        <v>2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13</v>
      </c>
      <c r="U12" t="n">
        <v>13</v>
      </c>
      <c r="V12" s="2" t="inlineStr">
        <is>
          <t>Garnlav
Knärot
Myskmåra
Tretåig hackspett</t>
        </is>
      </c>
      <c r="W12">
        <f>HYPERLINK("https://klasma.github.io/Logging_2513/artfynd/A 23383-2026 artfynd.xlsx", "A 23383-2026")</f>
        <v/>
      </c>
      <c r="X12">
        <f>HYPERLINK("https://klasma.github.io/Logging_2513/kartor/A 23383-2026 karta.png", "A 23383-2026")</f>
        <v/>
      </c>
      <c r="Y12">
        <f>HYPERLINK("https://klasma.github.io/Logging_2513/kartor_geotiff/A 23383-2026 georefererad karta.tif", "A 23383-2026")</f>
        <v/>
      </c>
      <c r="Z12">
        <f>HYPERLINK("https://klasma.github.io/Logging_2513/knärot/A 23383-2026 karta knärot.png", "A 23383-2026")</f>
        <v/>
      </c>
      <c r="AA12">
        <f>HYPERLINK("https://klasma.github.io/Logging_2513/klagomål/A 23383-2026 FSC-klagomål.docx", "A 23383-2026")</f>
        <v/>
      </c>
      <c r="AB12">
        <f>HYPERLINK("https://klasma.github.io/Logging_2513/klagomålsmail/A 23383-2026 FSC-klagomål mail.docx", "A 23383-2026")</f>
        <v/>
      </c>
      <c r="AC12">
        <f>HYPERLINK("https://klasma.github.io/Logging_2513/tillsyn/A 23383-2026 tillsynsbegäran.docx", "A 23383-2026")</f>
        <v/>
      </c>
      <c r="AD12">
        <f>HYPERLINK("https://klasma.github.io/Logging_2513/tillsynsmail/A 23383-2026 tillsynsbegäran mail.docx", "A 23383-2026")</f>
        <v/>
      </c>
      <c r="AE12">
        <f>HYPERLINK("https://klasma.github.io/Logging_2513/fåglar/A 23383-2026 prioriterade fågelarter.docx", "A 23383-2026")</f>
        <v/>
      </c>
    </row>
    <row r="13" ht="15" customHeight="1">
      <c r="A13" t="inlineStr">
        <is>
          <t>A 23373-2026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46231</v>
      </c>
      <c r="F13" t="inlineStr">
        <is>
          <t>NORRBOTTENS LÄN</t>
        </is>
      </c>
      <c r="G13" t="inlineStr">
        <is>
          <t>ÖVERKALIX</t>
        </is>
      </c>
      <c r="I13" t="n">
        <v>2</v>
      </c>
      <c r="J13" t="n">
        <v>2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5</v>
      </c>
      <c r="U13" t="n">
        <v>5</v>
      </c>
      <c r="V13" s="2" t="inlineStr">
        <is>
          <t>Garnlav
Knärot
Tretåig hackspett
Sälg</t>
        </is>
      </c>
      <c r="W13">
        <f>HYPERLINK("https://klasma.github.io/Logging_2513/artfynd/A 23373-2026 artfynd.xlsx", "A 23373-2026")</f>
        <v/>
      </c>
      <c r="X13">
        <f>HYPERLINK("https://klasma.github.io/Logging_2513/kartor/A 23373-2026 karta.png", "A 23373-2026")</f>
        <v/>
      </c>
      <c r="Y13">
        <f>HYPERLINK("https://klasma.github.io/Logging_2513/kartor_geotiff/A 23373-2026 georefererad karta.tif", "A 23373-2026")</f>
        <v/>
      </c>
      <c r="Z13">
        <f>HYPERLINK("https://klasma.github.io/Logging_2513/knärot/A 23373-2026 karta knärot.png", "A 23373-2026")</f>
        <v/>
      </c>
      <c r="AA13">
        <f>HYPERLINK("https://klasma.github.io/Logging_2513/klagomål/A 23373-2026 FSC-klagomål.docx", "A 23373-2026")</f>
        <v/>
      </c>
      <c r="AB13">
        <f>HYPERLINK("https://klasma.github.io/Logging_2513/klagomålsmail/A 23373-2026 FSC-klagomål mail.docx", "A 23373-2026")</f>
        <v/>
      </c>
      <c r="AC13">
        <f>HYPERLINK("https://klasma.github.io/Logging_2513/tillsyn/A 23373-2026 tillsynsbegäran.docx", "A 23373-2026")</f>
        <v/>
      </c>
      <c r="AD13">
        <f>HYPERLINK("https://klasma.github.io/Logging_2513/tillsynsmail/A 23373-2026 tillsynsbegäran mail.docx", "A 23373-2026")</f>
        <v/>
      </c>
      <c r="AE13">
        <f>HYPERLINK("https://klasma.github.io/Logging_2513/fåglar/A 23373-2026 prioriterade fågelarter.docx", "A 23373-2026")</f>
        <v/>
      </c>
    </row>
    <row r="14" ht="15" customHeight="1">
      <c r="A14" t="inlineStr">
        <is>
          <t>A 1827-2025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46231</v>
      </c>
      <c r="F14" t="inlineStr">
        <is>
          <t>NORRBOTTENS LÄN</t>
        </is>
      </c>
      <c r="G14" t="inlineStr">
        <is>
          <t>ÖVERKALIX</t>
        </is>
      </c>
      <c r="I14" t="n">
        <v>7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Garnlav
Stuplav
Spillkråka
Tjäder</t>
        </is>
      </c>
      <c r="W14">
        <f>HYPERLINK("https://klasma.github.io/Logging_2513/artfynd/A 1827-2025 artfynd.xlsx", "A 1827-2025")</f>
        <v/>
      </c>
      <c r="X14">
        <f>HYPERLINK("https://klasma.github.io/Logging_2513/kartor/A 1827-2025 karta.png", "A 1827-2025")</f>
        <v/>
      </c>
      <c r="Y14">
        <f>HYPERLINK("https://klasma.github.io/Logging_2513/kartor_geotiff/A 1827-2025 georefererad karta.tif", "A 1827-2025")</f>
        <v/>
      </c>
      <c r="AA14">
        <f>HYPERLINK("https://klasma.github.io/Logging_2513/klagomål/A 1827-2025 FSC-klagomål.docx", "A 1827-2025")</f>
        <v/>
      </c>
      <c r="AB14">
        <f>HYPERLINK("https://klasma.github.io/Logging_2513/klagomålsmail/A 1827-2025 FSC-klagomål mail.docx", "A 1827-2025")</f>
        <v/>
      </c>
      <c r="AC14">
        <f>HYPERLINK("https://klasma.github.io/Logging_2513/tillsyn/A 1827-2025 tillsynsbegäran.docx", "A 1827-2025")</f>
        <v/>
      </c>
      <c r="AD14">
        <f>HYPERLINK("https://klasma.github.io/Logging_2513/tillsynsmail/A 1827-2025 tillsynsbegäran mail.docx", "A 1827-2025")</f>
        <v/>
      </c>
      <c r="AE14">
        <f>HYPERLINK("https://klasma.github.io/Logging_2513/fåglar/A 1827-2025 prioriterade fågelarter.docx", "A 1827-2025")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46231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46231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30525-2025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45831</v>
      </c>
      <c r="E17" s="1" t="n">
        <v>46231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5.3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Gammelgransskål
Bollvitmossa
Järpe</t>
        </is>
      </c>
      <c r="W17">
        <f>HYPERLINK("https://klasma.github.io/Logging_2513/artfynd/A 30525-2025 artfynd.xlsx", "A 30525-2025")</f>
        <v/>
      </c>
      <c r="X17">
        <f>HYPERLINK("https://klasma.github.io/Logging_2513/kartor/A 30525-2025 karta.png", "A 30525-2025")</f>
        <v/>
      </c>
      <c r="Y17">
        <f>HYPERLINK("https://klasma.github.io/Logging_2513/kartor_geotiff/A 30525-2025 georefererad karta.tif", "A 30525-2025")</f>
        <v/>
      </c>
      <c r="AA17">
        <f>HYPERLINK("https://klasma.github.io/Logging_2513/klagomål/A 30525-2025 FSC-klagomål.docx", "A 30525-2025")</f>
        <v/>
      </c>
      <c r="AB17">
        <f>HYPERLINK("https://klasma.github.io/Logging_2513/klagomålsmail/A 30525-2025 FSC-klagomål mail.docx", "A 30525-2025")</f>
        <v/>
      </c>
      <c r="AC17">
        <f>HYPERLINK("https://klasma.github.io/Logging_2513/tillsyn/A 30525-2025 tillsynsbegäran.docx", "A 30525-2025")</f>
        <v/>
      </c>
      <c r="AD17">
        <f>HYPERLINK("https://klasma.github.io/Logging_2513/tillsynsmail/A 30525-2025 tillsynsbegäran mail.docx", "A 30525-2025")</f>
        <v/>
      </c>
      <c r="AE17">
        <f>HYPERLINK("https://klasma.github.io/Logging_2513/fåglar/A 30525-2025 prioriterade fågelarter.docx", "A 30525-2025")</f>
        <v/>
      </c>
    </row>
    <row r="18" ht="15" customHeight="1">
      <c r="A18" t="inlineStr">
        <is>
          <t>A 19275-2025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46231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16.3</v>
      </c>
      <c r="J18" t="n">
        <v>2</v>
      </c>
      <c r="K18" t="n">
        <v>1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3</v>
      </c>
      <c r="V18" s="2" t="inlineStr">
        <is>
          <t>Fläckporing
Knärot
Plattlummer</t>
        </is>
      </c>
      <c r="W18">
        <f>HYPERLINK("https://klasma.github.io/Logging_2513/artfynd/A 19275-2025 artfynd.xlsx", "A 19275-2025")</f>
        <v/>
      </c>
      <c r="X18">
        <f>HYPERLINK("https://klasma.github.io/Logging_2513/kartor/A 19275-2025 karta.png", "A 19275-2025")</f>
        <v/>
      </c>
      <c r="Y18">
        <f>HYPERLINK("https://klasma.github.io/Logging_2513/kartor_geotiff/A 19275-2025 georefererad karta.tif", "A 19275-2025")</f>
        <v/>
      </c>
      <c r="Z18">
        <f>HYPERLINK("https://klasma.github.io/Logging_2513/knärot/A 19275-2025 karta knärot.png", "A 19275-2025")</f>
        <v/>
      </c>
      <c r="AA18">
        <f>HYPERLINK("https://klasma.github.io/Logging_2513/klagomål/A 19275-2025 FSC-klagomål.docx", "A 19275-2025")</f>
        <v/>
      </c>
      <c r="AB18">
        <f>HYPERLINK("https://klasma.github.io/Logging_2513/klagomålsmail/A 19275-2025 FSC-klagomål mail.docx", "A 19275-2025")</f>
        <v/>
      </c>
      <c r="AC18">
        <f>HYPERLINK("https://klasma.github.io/Logging_2513/tillsyn/A 19275-2025 tillsynsbegäran.docx", "A 19275-2025")</f>
        <v/>
      </c>
      <c r="AD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45478</v>
      </c>
      <c r="E19" s="1" t="n">
        <v>46231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0.8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12</v>
      </c>
      <c r="U19" t="n">
        <v>0</v>
      </c>
      <c r="V19" s="2" t="inlineStr">
        <is>
          <t>Månlåsbräken
Plattlummer
Fläcknycklar</t>
        </is>
      </c>
      <c r="W19">
        <f>HYPERLINK("https://klasma.github.io/Logging_2513/artfynd/A 28577-2024 artfynd.xlsx", "A 28577-2024")</f>
        <v/>
      </c>
      <c r="X19">
        <f>HYPERLINK("https://klasma.github.io/Logging_2513/kartor/A 28577-2024 karta.png", "A 28577-2024")</f>
        <v/>
      </c>
      <c r="Y19">
        <f>HYPERLINK("https://klasma.github.io/Logging_2513/kartor_geotiff/A 28577-2024 georefererad karta.tif", "A 28577-2024")</f>
        <v/>
      </c>
      <c r="AA19">
        <f>HYPERLINK("https://klasma.github.io/Logging_2513/klagomål/A 28577-2024 FSC-klagomål.docx", "A 28577-2024")</f>
        <v/>
      </c>
      <c r="AB19">
        <f>HYPERLINK("https://klasma.github.io/Logging_2513/klagomålsmail/A 28577-2024 FSC-klagomål mail.docx", "A 28577-2024")</f>
        <v/>
      </c>
      <c r="AC19">
        <f>HYPERLINK("https://klasma.github.io/Logging_2513/tillsyn/A 28577-2024 tillsynsbegäran.docx", "A 28577-2024")</f>
        <v/>
      </c>
      <c r="AD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46231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46231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46231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t="n">
        <v>2</v>
      </c>
      <c r="V22" s="2" t="inlineStr">
        <is>
          <t>Garnlav
Lunglav
Fläcknycklar</t>
        </is>
      </c>
      <c r="W22">
        <f>HYPERLINK("https://klasma.github.io/Logging_2513/artfynd/A 28998-2026 artfynd.xlsx", "A 28998-2026")</f>
        <v/>
      </c>
      <c r="X22">
        <f>HYPERLINK("https://klasma.github.io/Logging_2513/kartor/A 28998-2026 karta.png", "A 28998-2026")</f>
        <v/>
      </c>
      <c r="Y22">
        <f>HYPERLINK("https://klasma.github.io/Logging_2513/kartor_geotiff/A 28998-2026 georefererad karta.tif", "A 28998-2026")</f>
        <v/>
      </c>
      <c r="AA22">
        <f>HYPERLINK("https://klasma.github.io/Logging_2513/klagomål/A 28998-2026 FSC-klagomål.docx", "A 28998-2026")</f>
        <v/>
      </c>
      <c r="AB22">
        <f>HYPERLINK("https://klasma.github.io/Logging_2513/klagomålsmail/A 28998-2026 FSC-klagomål mail.docx", "A 28998-2026")</f>
        <v/>
      </c>
      <c r="AC22">
        <f>HYPERLINK("https://klasma.github.io/Logging_2513/tillsyn/A 28998-2026 tillsynsbegäran.docx", "A 28998-2026")</f>
        <v/>
      </c>
      <c r="AD22">
        <f>HYPERLINK("https://klasma.github.io/Logging_2513/tillsynsmail/A 28998-2026 tillsynsbegäran mail.docx", "A 28998-2026")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46231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25551-2026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46231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3.9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t="n">
        <v>0</v>
      </c>
      <c r="V24" s="2" t="inlineStr">
        <is>
          <t>Goliatmusseron
Blå taggsvamp
Orange taggsvamp</t>
        </is>
      </c>
      <c r="W24">
        <f>HYPERLINK("https://klasma.github.io/Logging_2513/artfynd/A 25551-2026 artfynd.xlsx", "A 25551-2026")</f>
        <v/>
      </c>
      <c r="X24">
        <f>HYPERLINK("https://klasma.github.io/Logging_2513/kartor/A 25551-2026 karta.png", "A 25551-2026")</f>
        <v/>
      </c>
      <c r="Y24">
        <f>HYPERLINK("https://klasma.github.io/Logging_2513/kartor_geotiff/A 25551-2026 georefererad karta.tif", "A 25551-2026")</f>
        <v/>
      </c>
      <c r="AA24">
        <f>HYPERLINK("https://klasma.github.io/Logging_2513/klagomål/A 25551-2026 FSC-klagomål.docx", "A 25551-2026")</f>
        <v/>
      </c>
      <c r="AB24">
        <f>HYPERLINK("https://klasma.github.io/Logging_2513/klagomålsmail/A 25551-2026 FSC-klagomål mail.docx", "A 25551-2026")</f>
        <v/>
      </c>
      <c r="AC24">
        <f>HYPERLINK("https://klasma.github.io/Logging_2513/tillsyn/A 25551-2026 tillsynsbegäran.docx", "A 25551-2026")</f>
        <v/>
      </c>
      <c r="AD24">
        <f>HYPERLINK("https://klasma.github.io/Logging_2513/tillsynsmail/A 25551-2026 tillsynsbegäran mail.docx", "A 25551-2026")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46231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17802-2025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46231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Hökuggla
Älg
Tjäder</t>
        </is>
      </c>
      <c r="W26">
        <f>HYPERLINK("https://klasma.github.io/Logging_2513/artfynd/A 17802-2025 artfynd.xlsx", "A 17802-2025")</f>
        <v/>
      </c>
      <c r="X26">
        <f>HYPERLINK("https://klasma.github.io/Logging_2513/kartor/A 17802-2025 karta.png", "A 17802-2025")</f>
        <v/>
      </c>
      <c r="Y26">
        <f>HYPERLINK("https://klasma.github.io/Logging_2513/kartor_geotiff/A 17802-2025 georefererad karta.tif", "A 17802-2025")</f>
        <v/>
      </c>
      <c r="AA26">
        <f>HYPERLINK("https://klasma.github.io/Logging_2513/klagomål/A 17802-2025 FSC-klagomål.docx", "A 17802-2025")</f>
        <v/>
      </c>
      <c r="AB26">
        <f>HYPERLINK("https://klasma.github.io/Logging_2513/klagomålsmail/A 17802-2025 FSC-klagomål mail.docx", "A 17802-2025")</f>
        <v/>
      </c>
      <c r="AC26">
        <f>HYPERLINK("https://klasma.github.io/Logging_2513/tillsyn/A 17802-2025 tillsynsbegäran.docx", "A 17802-2025")</f>
        <v/>
      </c>
      <c r="AD26">
        <f>HYPERLINK("https://klasma.github.io/Logging_2513/tillsynsmail/A 17802-2025 tillsynsbegäran mail.docx", "A 17802-2025")</f>
        <v/>
      </c>
      <c r="AE26">
        <f>HYPERLINK("https://klasma.github.io/Logging_2513/fåglar/A 17802-2025 prioriterade fågelarter.docx", "A 17802-2025")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46231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36378-2024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46231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Lunglav
Fläcknycklar</t>
        </is>
      </c>
      <c r="W28">
        <f>HYPERLINK("https://klasma.github.io/Logging_2513/artfynd/A 36378-2024 artfynd.xlsx", "A 36378-2024")</f>
        <v/>
      </c>
      <c r="X28">
        <f>HYPERLINK("https://klasma.github.io/Logging_2513/kartor/A 36378-2024 karta.png", "A 36378-2024")</f>
        <v/>
      </c>
      <c r="Y28">
        <f>HYPERLINK("https://klasma.github.io/Logging_2513/kartor_geotiff/A 36378-2024 georefererad karta.tif", "A 36378-2024")</f>
        <v/>
      </c>
      <c r="AA28">
        <f>HYPERLINK("https://klasma.github.io/Logging_2513/klagomål/A 36378-2024 FSC-klagomål.docx", "A 36378-2024")</f>
        <v/>
      </c>
      <c r="AB28">
        <f>HYPERLINK("https://klasma.github.io/Logging_2513/klagomålsmail/A 36378-2024 FSC-klagomål mail.docx", "A 36378-2024")</f>
        <v/>
      </c>
      <c r="AC28">
        <f>HYPERLINK("https://klasma.github.io/Logging_2513/tillsyn/A 36378-2024 tillsynsbegäran.docx", "A 36378-2024")</f>
        <v/>
      </c>
      <c r="AD28">
        <f>HYPERLINK("https://klasma.github.io/Logging_2513/tillsynsmail/A 36378-2024 tillsynsbegäran mail.docx", "A 36378-2024")</f>
        <v/>
      </c>
    </row>
    <row r="29" ht="15" customHeight="1">
      <c r="A29" t="inlineStr">
        <is>
          <t>A 36381-2024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46231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26.7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Gammelgransskål
Orre</t>
        </is>
      </c>
      <c r="W29">
        <f>HYPERLINK("https://klasma.github.io/Logging_2513/artfynd/A 36381-2024 artfynd.xlsx", "A 36381-2024")</f>
        <v/>
      </c>
      <c r="X29">
        <f>HYPERLINK("https://klasma.github.io/Logging_2513/kartor/A 36381-2024 karta.png", "A 36381-2024")</f>
        <v/>
      </c>
      <c r="Y29">
        <f>HYPERLINK("https://klasma.github.io/Logging_2513/kartor_geotiff/A 36381-2024 georefererad karta.tif", "A 36381-2024")</f>
        <v/>
      </c>
      <c r="AA29">
        <f>HYPERLINK("https://klasma.github.io/Logging_2513/klagomål/A 36381-2024 FSC-klagomål.docx", "A 36381-2024")</f>
        <v/>
      </c>
      <c r="AB29">
        <f>HYPERLINK("https://klasma.github.io/Logging_2513/klagomålsmail/A 36381-2024 FSC-klagomål mail.docx", "A 36381-2024")</f>
        <v/>
      </c>
      <c r="AC29">
        <f>HYPERLINK("https://klasma.github.io/Logging_2513/tillsyn/A 36381-2024 tillsynsbegäran.docx", "A 36381-2024")</f>
        <v/>
      </c>
      <c r="AD29">
        <f>HYPERLINK("https://klasma.github.io/Logging_2513/tillsynsmail/A 36381-2024 tillsynsbegäran mail.docx", "A 36381-2024")</f>
        <v/>
      </c>
      <c r="AE29">
        <f>HYPERLINK("https://klasma.github.io/Logging_2513/fåglar/A 36381-2024 prioriterade fågelarter.docx", "A 36381-2024")</f>
        <v/>
      </c>
    </row>
    <row r="30" ht="15" customHeight="1">
      <c r="A30" t="inlineStr">
        <is>
          <t>A 26452-2025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45807</v>
      </c>
      <c r="E30" s="1" t="n">
        <v>46231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1.2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Stor aspticka</t>
        </is>
      </c>
      <c r="W30">
        <f>HYPERLINK("https://klasma.github.io/Logging_2513/artfynd/A 26452-2025 artfynd.xlsx", "A 26452-2025")</f>
        <v/>
      </c>
      <c r="X30">
        <f>HYPERLINK("https://klasma.github.io/Logging_2513/kartor/A 26452-2025 karta.png", "A 26452-2025")</f>
        <v/>
      </c>
      <c r="Y30">
        <f>HYPERLINK("https://klasma.github.io/Logging_2513/kartor_geotiff/A 26452-2025 georefererad karta.tif", "A 26452-2025")</f>
        <v/>
      </c>
      <c r="AA30">
        <f>HYPERLINK("https://klasma.github.io/Logging_2513/klagomål/A 26452-2025 FSC-klagomål.docx", "A 26452-2025")</f>
        <v/>
      </c>
      <c r="AB30">
        <f>HYPERLINK("https://klasma.github.io/Logging_2513/klagomålsmail/A 26452-2025 FSC-klagomål mail.docx", "A 26452-2025")</f>
        <v/>
      </c>
      <c r="AC30">
        <f>HYPERLINK("https://klasma.github.io/Logging_2513/tillsyn/A 26452-2025 tillsynsbegäran.docx", "A 26452-2025")</f>
        <v/>
      </c>
      <c r="AD30">
        <f>HYPERLINK("https://klasma.github.io/Logging_2513/tillsynsmail/A 26452-2025 tillsynsbegäran mail.docx", "A 26452-2025")</f>
        <v/>
      </c>
    </row>
    <row r="31" ht="15" customHeight="1">
      <c r="A31" t="inlineStr">
        <is>
          <t>A 7477-2023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44966</v>
      </c>
      <c r="E31" s="1" t="n">
        <v>46231</v>
      </c>
      <c r="F31" t="inlineStr">
        <is>
          <t>NORRBOTTENS LÄN</t>
        </is>
      </c>
      <c r="G31" t="inlineStr">
        <is>
          <t>ÖVERKALIX</t>
        </is>
      </c>
      <c r="I31" t="n">
        <v>2.6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Motaggsvamp
Skarp dropptaggsvamp</t>
        </is>
      </c>
      <c r="W31">
        <f>HYPERLINK("https://klasma.github.io/Logging_2513/artfynd/A 7477-2023 artfynd.xlsx", "A 7477-2023")</f>
        <v/>
      </c>
      <c r="X31">
        <f>HYPERLINK("https://klasma.github.io/Logging_2513/kartor/A 7477-2023 karta.png", "A 7477-2023")</f>
        <v/>
      </c>
      <c r="Y31">
        <f>HYPERLINK("https://klasma.github.io/Logging_2513/kartor_geotiff/A 7477-2023 georefererad karta.tif", "A 7477-2023")</f>
        <v/>
      </c>
      <c r="AA31">
        <f>HYPERLINK("https://klasma.github.io/Logging_2513/klagomål/A 7477-2023 FSC-klagomål.docx", "A 7477-2023")</f>
        <v/>
      </c>
      <c r="AB31">
        <f>HYPERLINK("https://klasma.github.io/Logging_2513/klagomålsmail/A 7477-2023 FSC-klagomål mail.docx", "A 7477-2023")</f>
        <v/>
      </c>
      <c r="AC31">
        <f>HYPERLINK("https://klasma.github.io/Logging_2513/tillsyn/A 7477-2023 tillsynsbegäran.docx", "A 7477-2023")</f>
        <v/>
      </c>
      <c r="AD31">
        <f>HYPERLINK("https://klasma.github.io/Logging_2513/tillsynsmail/A 7477-2023 tillsynsbegäran mail.docx", "A 7477-2023")</f>
        <v/>
      </c>
    </row>
    <row r="32" ht="15" customHeight="1">
      <c r="A32" t="inlineStr">
        <is>
          <t>A 34921-2025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46231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16.4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Lunglav</t>
        </is>
      </c>
      <c r="W32">
        <f>HYPERLINK("https://klasma.github.io/Logging_2513/artfynd/A 34921-2025 artfynd.xlsx", "A 34921-2025")</f>
        <v/>
      </c>
      <c r="X32">
        <f>HYPERLINK("https://klasma.github.io/Logging_2513/kartor/A 34921-2025 karta.png", "A 34921-2025")</f>
        <v/>
      </c>
      <c r="Y32">
        <f>HYPERLINK("https://klasma.github.io/Logging_2513/kartor_geotiff/A 34921-2025 georefererad karta.tif", "A 34921-2025")</f>
        <v/>
      </c>
      <c r="AA32">
        <f>HYPERLINK("https://klasma.github.io/Logging_2513/klagomål/A 34921-2025 FSC-klagomål.docx", "A 34921-2025")</f>
        <v/>
      </c>
      <c r="AB32">
        <f>HYPERLINK("https://klasma.github.io/Logging_2513/klagomålsmail/A 34921-2025 FSC-klagomål mail.docx", "A 34921-2025")</f>
        <v/>
      </c>
      <c r="AC32">
        <f>HYPERLINK("https://klasma.github.io/Logging_2513/tillsyn/A 34921-2025 tillsynsbegäran.docx", "A 34921-2025")</f>
        <v/>
      </c>
      <c r="AD32">
        <f>HYPERLINK("https://klasma.github.io/Logging_2513/tillsynsmail/A 34921-2025 tillsynsbegäran mail.docx", "A 34921-2025")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46231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50691-2024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46231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4.2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HYPERLINK("https://klasma.github.io/Logging_2513/artfynd/A 50691-2024 artfynd.xlsx", "A 50691-2024")</f>
        <v/>
      </c>
      <c r="X34">
        <f>HYPERLINK("https://klasma.github.io/Logging_2513/kartor/A 50691-2024 karta.png", "A 50691-2024")</f>
        <v/>
      </c>
      <c r="Y34">
        <f>HYPERLINK("https://klasma.github.io/Logging_2513/kartor_geotiff/A 50691-2024 georefererad karta.tif", "A 50691-2024")</f>
        <v/>
      </c>
      <c r="AA34">
        <f>HYPERLINK("https://klasma.github.io/Logging_2513/klagomål/A 50691-2024 FSC-klagomål.docx", "A 50691-2024")</f>
        <v/>
      </c>
      <c r="AB34">
        <f>HYPERLINK("https://klasma.github.io/Logging_2513/klagomålsmail/A 50691-2024 FSC-klagomål mail.docx", "A 50691-2024")</f>
        <v/>
      </c>
      <c r="AC34">
        <f>HYPERLINK("https://klasma.github.io/Logging_2513/tillsyn/A 50691-2024 tillsynsbegäran.docx", "A 50691-2024")</f>
        <v/>
      </c>
      <c r="AD34">
        <f>HYPERLINK("https://klasma.github.io/Logging_2513/tillsynsmail/A 50691-2024 tillsynsbegäran mail.docx", "A 50691-2024")</f>
        <v/>
      </c>
    </row>
    <row r="35" ht="15" customHeight="1">
      <c r="A35" t="inlineStr">
        <is>
          <t>A 14152-2026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46099</v>
      </c>
      <c r="E35" s="1" t="n">
        <v>46231</v>
      </c>
      <c r="F35" t="inlineStr">
        <is>
          <t>NORRBOTTENS LÄN</t>
        </is>
      </c>
      <c r="G35" t="inlineStr">
        <is>
          <t>ÖVERKALIX</t>
        </is>
      </c>
      <c r="I35" t="n">
        <v>4.6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Källpraktmossa
Spädstarr</t>
        </is>
      </c>
      <c r="W35">
        <f>HYPERLINK("https://klasma.github.io/Logging_2513/artfynd/A 14152-2026 artfynd.xlsx", "A 14152-2026")</f>
        <v/>
      </c>
      <c r="X35">
        <f>HYPERLINK("https://klasma.github.io/Logging_2513/kartor/A 14152-2026 karta.png", "A 14152-2026")</f>
        <v/>
      </c>
      <c r="Y35">
        <f>HYPERLINK("https://klasma.github.io/Logging_2513/kartor_geotiff/A 14152-2026 georefererad karta.tif", "A 14152-2026")</f>
        <v/>
      </c>
      <c r="AA35">
        <f>HYPERLINK("https://klasma.github.io/Logging_2513/klagomål/A 14152-2026 FSC-klagomål.docx", "A 14152-2026")</f>
        <v/>
      </c>
      <c r="AB35">
        <f>HYPERLINK("https://klasma.github.io/Logging_2513/klagomålsmail/A 14152-2026 FSC-klagomål mail.docx", "A 14152-2026")</f>
        <v/>
      </c>
      <c r="AC35">
        <f>HYPERLINK("https://klasma.github.io/Logging_2513/tillsyn/A 14152-2026 tillsynsbegäran.docx", "A 14152-2026")</f>
        <v/>
      </c>
      <c r="AD35">
        <f>HYPERLINK("https://klasma.github.io/Logging_2513/tillsynsmail/A 14152-2026 tillsynsbegäran mail.docx", "A 14152-2026")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46231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40706-2023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45170</v>
      </c>
      <c r="E37" s="1" t="n">
        <v>46231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7.1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HYPERLINK("https://klasma.github.io/Logging_2513/artfynd/A 40706-2023 artfynd.xlsx", "A 40706-2023")</f>
        <v/>
      </c>
      <c r="X37">
        <f>HYPERLINK("https://klasma.github.io/Logging_2513/kartor/A 40706-2023 karta.png", "A 40706-2023")</f>
        <v/>
      </c>
      <c r="Y37">
        <f>HYPERLINK("https://klasma.github.io/Logging_2513/kartor_geotiff/A 40706-2023 georefererad karta.tif", "A 40706-2023")</f>
        <v/>
      </c>
      <c r="Z37">
        <f>HYPERLINK("https://klasma.github.io/Logging_2513/knärot/A 40706-2023 karta knärot.png", "A 40706-2023")</f>
        <v/>
      </c>
      <c r="AA37">
        <f>HYPERLINK("https://klasma.github.io/Logging_2513/klagomål/A 40706-2023 FSC-klagomål.docx", "A 40706-2023")</f>
        <v/>
      </c>
      <c r="AB37">
        <f>HYPERLINK("https://klasma.github.io/Logging_2513/klagomålsmail/A 40706-2023 FSC-klagomål mail.docx", "A 40706-2023")</f>
        <v/>
      </c>
      <c r="AC37">
        <f>HYPERLINK("https://klasma.github.io/Logging_2513/tillsyn/A 40706-2023 tillsynsbegäran.docx", "A 40706-2023")</f>
        <v/>
      </c>
      <c r="AD37">
        <f>HYPERLINK("https://klasma.github.io/Logging_2513/tillsynsmail/A 40706-2023 tillsynsbegäran mail.docx", "A 40706-2023")</f>
        <v/>
      </c>
    </row>
    <row r="38" ht="15" customHeight="1">
      <c r="A38" t="inlineStr">
        <is>
          <t>A 47680-2024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46231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2.1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Blå taggsvamp
Skarp dropptaggsvamp</t>
        </is>
      </c>
      <c r="W38">
        <f>HYPERLINK("https://klasma.github.io/Logging_2513/artfynd/A 47680-2024 artfynd.xlsx", "A 47680-2024")</f>
        <v/>
      </c>
      <c r="X38">
        <f>HYPERLINK("https://klasma.github.io/Logging_2513/kartor/A 47680-2024 karta.png", "A 47680-2024")</f>
        <v/>
      </c>
      <c r="Y38">
        <f>HYPERLINK("https://klasma.github.io/Logging_2513/kartor_geotiff/A 47680-2024 georefererad karta.tif", "A 47680-2024")</f>
        <v/>
      </c>
      <c r="AA38">
        <f>HYPERLINK("https://klasma.github.io/Logging_2513/klagomål/A 47680-2024 FSC-klagomål.docx", "A 47680-2024")</f>
        <v/>
      </c>
      <c r="AB38">
        <f>HYPERLINK("https://klasma.github.io/Logging_2513/klagomålsmail/A 47680-2024 FSC-klagomål mail.docx", "A 47680-2024")</f>
        <v/>
      </c>
      <c r="AC38">
        <f>HYPERLINK("https://klasma.github.io/Logging_2513/tillsyn/A 47680-2024 tillsynsbegäran.docx", "A 47680-2024")</f>
        <v/>
      </c>
      <c r="AD38">
        <f>HYPERLINK("https://klasma.github.io/Logging_2513/tillsynsmail/A 47680-2024 tillsynsbegäran mail.docx", "A 47680-2024")</f>
        <v/>
      </c>
    </row>
    <row r="39" ht="15" customHeight="1">
      <c r="A39" t="inlineStr">
        <is>
          <t>A 28029-2026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46231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Blå taggsvamp
Bollvitmossa</t>
        </is>
      </c>
      <c r="W39">
        <f>HYPERLINK("https://klasma.github.io/Logging_2513/artfynd/A 28029-2026 artfynd.xlsx", "A 28029-2026")</f>
        <v/>
      </c>
      <c r="X39">
        <f>HYPERLINK("https://klasma.github.io/Logging_2513/kartor/A 28029-2026 karta.png", "A 28029-2026")</f>
        <v/>
      </c>
      <c r="Y39">
        <f>HYPERLINK("https://klasma.github.io/Logging_2513/kartor_geotiff/A 28029-2026 georefererad karta.tif", "A 28029-2026")</f>
        <v/>
      </c>
      <c r="AA39">
        <f>HYPERLINK("https://klasma.github.io/Logging_2513/klagomål/A 28029-2026 FSC-klagomål.docx", "A 28029-2026")</f>
        <v/>
      </c>
      <c r="AB39">
        <f>HYPERLINK("https://klasma.github.io/Logging_2513/klagomålsmail/A 28029-2026 FSC-klagomål mail.docx", "A 28029-2026")</f>
        <v/>
      </c>
      <c r="AC39">
        <f>HYPERLINK("https://klasma.github.io/Logging_2513/tillsyn/A 28029-2026 tillsynsbegäran.docx", "A 28029-2026")</f>
        <v/>
      </c>
      <c r="AD39">
        <f>HYPERLINK("https://klasma.github.io/Logging_2513/tillsynsmail/A 28029-2026 tillsynsbegäran mail.docx", "A 28029-2026")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46231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36803-2023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45154</v>
      </c>
      <c r="E41" s="1" t="n">
        <v>46231</v>
      </c>
      <c r="F41" t="inlineStr">
        <is>
          <t>NORRBOTTENS LÄN</t>
        </is>
      </c>
      <c r="G41" t="inlineStr">
        <is>
          <t>ÖVERKALIX</t>
        </is>
      </c>
      <c r="I41" t="n">
        <v>3.1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6</v>
      </c>
      <c r="U41" t="n">
        <v>6</v>
      </c>
      <c r="V41" s="2" t="inlineStr">
        <is>
          <t>Knärot
Revlummer</t>
        </is>
      </c>
      <c r="W41">
        <f>HYPERLINK("https://klasma.github.io/Logging_2513/artfynd/A 36803-2023 artfynd.xlsx", "A 36803-2023")</f>
        <v/>
      </c>
      <c r="X41">
        <f>HYPERLINK("https://klasma.github.io/Logging_2513/kartor/A 36803-2023 karta.png", "A 36803-2023")</f>
        <v/>
      </c>
      <c r="Y41">
        <f>HYPERLINK("https://klasma.github.io/Logging_2513/kartor_geotiff/A 36803-2023 georefererad karta.tif", "A 36803-2023")</f>
        <v/>
      </c>
      <c r="Z41">
        <f>HYPERLINK("https://klasma.github.io/Logging_2513/knärot/A 36803-2023 karta knärot.png", "A 36803-2023")</f>
        <v/>
      </c>
      <c r="AA41">
        <f>HYPERLINK("https://klasma.github.io/Logging_2513/klagomål/A 36803-2023 FSC-klagomål.docx", "A 36803-2023")</f>
        <v/>
      </c>
      <c r="AB41">
        <f>HYPERLINK("https://klasma.github.io/Logging_2513/klagomålsmail/A 36803-2023 FSC-klagomål mail.docx", "A 36803-2023")</f>
        <v/>
      </c>
      <c r="AC41">
        <f>HYPERLINK("https://klasma.github.io/Logging_2513/tillsyn/A 36803-2023 tillsynsbegäran.docx", "A 36803-2023")</f>
        <v/>
      </c>
      <c r="AD41">
        <f>HYPERLINK("https://klasma.github.io/Logging_2513/tillsynsmail/A 36803-2023 tillsynsbegäran mail.docx", "A 36803-2023")</f>
        <v/>
      </c>
    </row>
    <row r="42" ht="15" customHeight="1">
      <c r="A42" t="inlineStr">
        <is>
          <t>A 62951-2025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46231</v>
      </c>
      <c r="F42" t="inlineStr">
        <is>
          <t>NORRBOTTENS LÄN</t>
        </is>
      </c>
      <c r="G42" t="inlineStr">
        <is>
          <t>ÖVERKALIX</t>
        </is>
      </c>
      <c r="H42" t="inlineStr">
        <is>
          <t>SCA</t>
        </is>
      </c>
      <c r="I42" t="n">
        <v>4.2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Ullticka</t>
        </is>
      </c>
      <c r="W42">
        <f>HYPERLINK("https://klasma.github.io/Logging_2513/artfynd/A 62951-2025 artfynd.xlsx", "A 62951-2025")</f>
        <v/>
      </c>
      <c r="X42">
        <f>HYPERLINK("https://klasma.github.io/Logging_2513/kartor/A 62951-2025 karta.png", "A 62951-2025")</f>
        <v/>
      </c>
      <c r="Y42">
        <f>HYPERLINK("https://klasma.github.io/Logging_2513/kartor_geotiff/A 62951-2025 georefererad karta.tif", "A 62951-2025")</f>
        <v/>
      </c>
      <c r="AA42">
        <f>HYPERLINK("https://klasma.github.io/Logging_2513/klagomål/A 62951-2025 FSC-klagomål.docx", "A 62951-2025")</f>
        <v/>
      </c>
      <c r="AB42">
        <f>HYPERLINK("https://klasma.github.io/Logging_2513/klagomålsmail/A 62951-2025 FSC-klagomål mail.docx", "A 62951-2025")</f>
        <v/>
      </c>
      <c r="AC42">
        <f>HYPERLINK("https://klasma.github.io/Logging_2513/tillsyn/A 62951-2025 tillsynsbegäran.docx", "A 62951-2025")</f>
        <v/>
      </c>
      <c r="AD42">
        <f>HYPERLINK("https://klasma.github.io/Logging_2513/tillsynsmail/A 62951-2025 tillsynsbegäran mail.docx", "A 62951-2025")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46231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Stor aspticka
Vedticka</t>
        </is>
      </c>
      <c r="W43">
        <f>HYPERLINK("https://klasma.github.io/Logging_2513/artfynd/A 60509-2021 artfynd.xlsx", "A 60509-2021")</f>
        <v/>
      </c>
      <c r="X43">
        <f>HYPERLINK("https://klasma.github.io/Logging_2513/kartor/A 60509-2021 karta.png", "A 60509-2021")</f>
        <v/>
      </c>
      <c r="Y43">
        <f>HYPERLINK("https://klasma.github.io/Logging_2513/kartor_geotiff/A 60509-2021 georefererad karta.tif", "A 60509-2021")</f>
        <v/>
      </c>
      <c r="AA43">
        <f>HYPERLINK("https://klasma.github.io/Logging_2513/klagomål/A 60509-2021 FSC-klagomål.docx", "A 60509-2021")</f>
        <v/>
      </c>
      <c r="AB43">
        <f>HYPERLINK("https://klasma.github.io/Logging_2513/klagomålsmail/A 60509-2021 FSC-klagomål mail.docx", "A 60509-2021")</f>
        <v/>
      </c>
      <c r="AC43">
        <f>HYPERLINK("https://klasma.github.io/Logging_2513/tillsyn/A 60509-2021 tillsynsbegäran.docx", "A 60509-2021")</f>
        <v/>
      </c>
      <c r="AD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46231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46231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21777-2024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46231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HYPERLINK("https://klasma.github.io/Logging_2513/artfynd/A 21777-2024 artfynd.xlsx", "A 21777-2024")</f>
        <v/>
      </c>
      <c r="X46">
        <f>HYPERLINK("https://klasma.github.io/Logging_2513/kartor/A 21777-2024 karta.png", "A 21777-2024")</f>
        <v/>
      </c>
      <c r="Y46">
        <f>HYPERLINK("https://klasma.github.io/Logging_2513/kartor_geotiff/A 21777-2024 georefererad karta.tif", "A 21777-2024")</f>
        <v/>
      </c>
      <c r="AA46">
        <f>HYPERLINK("https://klasma.github.io/Logging_2513/klagomål/A 21777-2024 FSC-klagomål.docx", "A 21777-2024")</f>
        <v/>
      </c>
      <c r="AB46">
        <f>HYPERLINK("https://klasma.github.io/Logging_2513/klagomålsmail/A 21777-2024 FSC-klagomål mail.docx", "A 21777-2024")</f>
        <v/>
      </c>
      <c r="AC46">
        <f>HYPERLINK("https://klasma.github.io/Logging_2513/tillsyn/A 21777-2024 tillsynsbegäran.docx", "A 21777-2024")</f>
        <v/>
      </c>
      <c r="AD46">
        <f>HYPERLINK("https://klasma.github.io/Logging_2513/tillsynsmail/A 21777-2024 tillsynsbegäran mail.docx", "A 21777-2024")</f>
        <v/>
      </c>
    </row>
    <row r="47" ht="15" customHeight="1">
      <c r="A47" t="inlineStr">
        <is>
          <t>A 26305-2025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46231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5.2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Luddlav</t>
        </is>
      </c>
      <c r="W47">
        <f>HYPERLINK("https://klasma.github.io/Logging_2513/artfynd/A 26305-2025 artfynd.xlsx", "A 26305-2025")</f>
        <v/>
      </c>
      <c r="X47">
        <f>HYPERLINK("https://klasma.github.io/Logging_2513/kartor/A 26305-2025 karta.png", "A 26305-2025")</f>
        <v/>
      </c>
      <c r="Y47">
        <f>HYPERLINK("https://klasma.github.io/Logging_2513/kartor_geotiff/A 26305-2025 georefererad karta.tif", "A 26305-2025")</f>
        <v/>
      </c>
      <c r="AA47">
        <f>HYPERLINK("https://klasma.github.io/Logging_2513/klagomål/A 26305-2025 FSC-klagomål.docx", "A 26305-2025")</f>
        <v/>
      </c>
      <c r="AB47">
        <f>HYPERLINK("https://klasma.github.io/Logging_2513/klagomålsmail/A 26305-2025 FSC-klagomål mail.docx", "A 26305-2025")</f>
        <v/>
      </c>
      <c r="AC47">
        <f>HYPERLINK("https://klasma.github.io/Logging_2513/tillsyn/A 26305-2025 tillsynsbegäran.docx", "A 26305-2025")</f>
        <v/>
      </c>
      <c r="AD47">
        <f>HYPERLINK("https://klasma.github.io/Logging_2513/tillsynsmail/A 26305-2025 tillsynsbegäran mail.docx", "A 26305-2025")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46231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HYPERLINK("https://klasma.github.io/Logging_2513/artfynd/A 27452-2025 artfynd.xlsx", "A 27452-2025")</f>
        <v/>
      </c>
      <c r="X48">
        <f>HYPERLINK("https://klasma.github.io/Logging_2513/kartor/A 27452-2025 karta.png", "A 27452-2025")</f>
        <v/>
      </c>
      <c r="Y48">
        <f>HYPERLINK("https://klasma.github.io/Logging_2513/kartor_geotiff/A 27452-2025 georefererad karta.tif", "A 27452-2025")</f>
        <v/>
      </c>
      <c r="AA48">
        <f>HYPERLINK("https://klasma.github.io/Logging_2513/klagomål/A 27452-2025 FSC-klagomål.docx", "A 27452-2025")</f>
        <v/>
      </c>
      <c r="AB48">
        <f>HYPERLINK("https://klasma.github.io/Logging_2513/klagomålsmail/A 27452-2025 FSC-klagomål mail.docx", "A 27452-2025")</f>
        <v/>
      </c>
      <c r="AC48">
        <f>HYPERLINK("https://klasma.github.io/Logging_2513/tillsyn/A 27452-2025 tillsynsbegäran.docx", "A 27452-2025")</f>
        <v/>
      </c>
      <c r="AD48">
        <f>HYPERLINK("https://klasma.github.io/Logging_2513/tillsynsmail/A 27452-2025 tillsynsbegäran mail.docx", "A 27452-2025")</f>
        <v/>
      </c>
      <c r="AE48">
        <f>HYPERLINK("https://klasma.github.io/Logging_2513/fåglar/A 27452-2025 prioriterade fågelarter.docx", "A 27452-2025")</f>
        <v/>
      </c>
    </row>
    <row r="49" ht="15" customHeight="1">
      <c r="A49" t="inlineStr">
        <is>
          <t>A 35602-2025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45859</v>
      </c>
      <c r="E49" s="1" t="n">
        <v>46231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HYPERLINK("https://klasma.github.io/Logging_2513/artfynd/A 35602-2025 artfynd.xlsx", "A 35602-2025")</f>
        <v/>
      </c>
      <c r="X49">
        <f>HYPERLINK("https://klasma.github.io/Logging_2513/kartor/A 35602-2025 karta.png", "A 35602-2025")</f>
        <v/>
      </c>
      <c r="Y49">
        <f>HYPERLINK("https://klasma.github.io/Logging_2513/kartor_geotiff/A 35602-2025 georefererad karta.tif", "A 35602-2025")</f>
        <v/>
      </c>
      <c r="AA49">
        <f>HYPERLINK("https://klasma.github.io/Logging_2513/klagomål/A 35602-2025 FSC-klagomål.docx", "A 35602-2025")</f>
        <v/>
      </c>
      <c r="AB49">
        <f>HYPERLINK("https://klasma.github.io/Logging_2513/klagomålsmail/A 35602-2025 FSC-klagomål mail.docx", "A 35602-2025")</f>
        <v/>
      </c>
      <c r="AC49">
        <f>HYPERLINK("https://klasma.github.io/Logging_2513/tillsyn/A 35602-2025 tillsynsbegäran.docx", "A 35602-2025")</f>
        <v/>
      </c>
      <c r="AD49">
        <f>HYPERLINK("https://klasma.github.io/Logging_2513/tillsynsmail/A 35602-2025 tillsynsbegäran mail.docx", "A 35602-2025")</f>
        <v/>
      </c>
    </row>
    <row r="50" ht="15" customHeight="1">
      <c r="A50" t="inlineStr">
        <is>
          <t>A 22977-2022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44717</v>
      </c>
      <c r="E50" s="1" t="n">
        <v>46231</v>
      </c>
      <c r="F50" t="inlineStr">
        <is>
          <t>NORRBOTTENS LÄN</t>
        </is>
      </c>
      <c r="G50" t="inlineStr">
        <is>
          <t>ÖVERKALIX</t>
        </is>
      </c>
      <c r="I50" t="n">
        <v>19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Bivråk</t>
        </is>
      </c>
      <c r="W50">
        <f>HYPERLINK("https://klasma.github.io/Logging_2513/artfynd/A 22977-2022 artfynd.xlsx", "A 22977-2022")</f>
        <v/>
      </c>
      <c r="X50">
        <f>HYPERLINK("https://klasma.github.io/Logging_2513/kartor/A 22977-2022 karta.png", "A 22977-2022")</f>
        <v/>
      </c>
      <c r="Y50">
        <f>HYPERLINK("https://klasma.github.io/Logging_2513/kartor_geotiff/A 22977-2022 georefererad karta.tif", "A 22977-2022")</f>
        <v/>
      </c>
      <c r="AA50">
        <f>HYPERLINK("https://klasma.github.io/Logging_2513/klagomål/A 22977-2022 FSC-klagomål.docx", "A 22977-2022")</f>
        <v/>
      </c>
      <c r="AB50">
        <f>HYPERLINK("https://klasma.github.io/Logging_2513/klagomålsmail/A 22977-2022 FSC-klagomål mail.docx", "A 22977-2022")</f>
        <v/>
      </c>
      <c r="AC50">
        <f>HYPERLINK("https://klasma.github.io/Logging_2513/tillsyn/A 22977-2022 tillsynsbegäran.docx", "A 22977-2022")</f>
        <v/>
      </c>
      <c r="AD50">
        <f>HYPERLINK("https://klasma.github.io/Logging_2513/tillsynsmail/A 22977-2022 tillsynsbegäran mail.docx", "A 22977-2022")</f>
        <v/>
      </c>
      <c r="AE50">
        <f>HYPERLINK("https://klasma.github.io/Logging_2513/fåglar/A 22977-2022 prioriterade fågelarter.docx", "A 22977-2022")</f>
        <v/>
      </c>
    </row>
    <row r="51" ht="15" customHeight="1">
      <c r="A51" t="inlineStr">
        <is>
          <t>A 71902-2021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46231</v>
      </c>
      <c r="F51" t="inlineStr">
        <is>
          <t>NORRBOTTENS LÄN</t>
        </is>
      </c>
      <c r="G51" t="inlineStr">
        <is>
          <t>ÖVERKALIX</t>
        </is>
      </c>
      <c r="I51" t="n">
        <v>24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HYPERLINK("https://klasma.github.io/Logging_2513/artfynd/A 71902-2021 artfynd.xlsx", "A 71902-2021")</f>
        <v/>
      </c>
      <c r="X51">
        <f>HYPERLINK("https://klasma.github.io/Logging_2513/kartor/A 71902-2021 karta.png", "A 71902-2021")</f>
        <v/>
      </c>
      <c r="Y51">
        <f>HYPERLINK("https://klasma.github.io/Logging_2513/kartor_geotiff/A 71902-2021 georefererad karta.tif", "A 71902-2021")</f>
        <v/>
      </c>
      <c r="AA51">
        <f>HYPERLINK("https://klasma.github.io/Logging_2513/klagomål/A 71902-2021 FSC-klagomål.docx", "A 71902-2021")</f>
        <v/>
      </c>
      <c r="AB51">
        <f>HYPERLINK("https://klasma.github.io/Logging_2513/klagomålsmail/A 71902-2021 FSC-klagomål mail.docx", "A 71902-2021")</f>
        <v/>
      </c>
      <c r="AC51">
        <f>HYPERLINK("https://klasma.github.io/Logging_2513/tillsyn/A 71902-2021 tillsynsbegäran.docx", "A 71902-2021")</f>
        <v/>
      </c>
      <c r="AD51">
        <f>HYPERLINK("https://klasma.github.io/Logging_2513/tillsynsmail/A 71902-2021 tillsynsbegäran mail.docx", "A 71902-2021")</f>
        <v/>
      </c>
      <c r="AE51">
        <f>HYPERLINK("https://klasma.github.io/Logging_2513/fåglar/A 71902-2021 prioriterade fågelarter.docx", "A 71902-2021")</f>
        <v/>
      </c>
    </row>
    <row r="52" ht="15" customHeight="1">
      <c r="A52" t="inlineStr">
        <is>
          <t>A 37532-2022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46231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 taggsvamp</t>
        </is>
      </c>
      <c r="W52">
        <f>HYPERLINK("https://klasma.github.io/Logging_2513/artfynd/A 37532-2022 artfynd.xlsx", "A 37532-2022")</f>
        <v/>
      </c>
      <c r="X52">
        <f>HYPERLINK("https://klasma.github.io/Logging_2513/kartor/A 37532-2022 karta.png", "A 37532-2022")</f>
        <v/>
      </c>
      <c r="Y52">
        <f>HYPERLINK("https://klasma.github.io/Logging_2513/kartor_geotiff/A 37532-2022 georefererad karta.tif", "A 37532-2022")</f>
        <v/>
      </c>
      <c r="AA52">
        <f>HYPERLINK("https://klasma.github.io/Logging_2513/klagomål/A 37532-2022 FSC-klagomål.docx", "A 37532-2022")</f>
        <v/>
      </c>
      <c r="AB52">
        <f>HYPERLINK("https://klasma.github.io/Logging_2513/klagomålsmail/A 37532-2022 FSC-klagomål mail.docx", "A 37532-2022")</f>
        <v/>
      </c>
      <c r="AC52">
        <f>HYPERLINK("https://klasma.github.io/Logging_2513/tillsyn/A 37532-2022 tillsynsbegäran.docx", "A 37532-2022")</f>
        <v/>
      </c>
      <c r="AD52">
        <f>HYPERLINK("https://klasma.github.io/Logging_2513/tillsynsmail/A 37532-2022 tillsynsbegäran mail.docx", "A 37532-2022")</f>
        <v/>
      </c>
    </row>
    <row r="53" ht="15" customHeight="1">
      <c r="A53" t="inlineStr">
        <is>
          <t>A 25335-2026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46231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46.9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Lunglav</t>
        </is>
      </c>
      <c r="W53">
        <f>HYPERLINK("https://klasma.github.io/Logging_2513/artfynd/A 25335-2026 artfynd.xlsx", "A 25335-2026")</f>
        <v/>
      </c>
      <c r="X53">
        <f>HYPERLINK("https://klasma.github.io/Logging_2513/kartor/A 25335-2026 karta.png", "A 25335-2026")</f>
        <v/>
      </c>
      <c r="Y53">
        <f>HYPERLINK("https://klasma.github.io/Logging_2513/kartor_geotiff/A 25335-2026 georefererad karta.tif", "A 25335-2026")</f>
        <v/>
      </c>
      <c r="AA53">
        <f>HYPERLINK("https://klasma.github.io/Logging_2513/klagomål/A 25335-2026 FSC-klagomål.docx", "A 25335-2026")</f>
        <v/>
      </c>
      <c r="AB53">
        <f>HYPERLINK("https://klasma.github.io/Logging_2513/klagomålsmail/A 25335-2026 FSC-klagomål mail.docx", "A 25335-2026")</f>
        <v/>
      </c>
      <c r="AC53">
        <f>HYPERLINK("https://klasma.github.io/Logging_2513/tillsyn/A 25335-2026 tillsynsbegäran.docx", "A 25335-2026")</f>
        <v/>
      </c>
      <c r="AD53">
        <f>HYPERLINK("https://klasma.github.io/Logging_2513/tillsynsmail/A 25335-2026 tillsynsbegäran mail.docx", "A 25335-2026")</f>
        <v/>
      </c>
    </row>
    <row r="54" ht="15" customHeight="1">
      <c r="A54" t="inlineStr">
        <is>
          <t>A 31704-2026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46226</v>
      </c>
      <c r="E54" s="1" t="n">
        <v>46231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31704-2026 artfynd.xlsx", "A 31704-2026")</f>
        <v/>
      </c>
      <c r="X54">
        <f>HYPERLINK("https://klasma.github.io/Logging_2513/kartor/A 31704-2026 karta.png", "A 31704-2026")</f>
        <v/>
      </c>
      <c r="Y54">
        <f>HYPERLINK("https://klasma.github.io/Logging_2513/kartor_geotiff/A 31704-2026 georefererad karta.tif", "A 31704-2026")</f>
        <v/>
      </c>
      <c r="AA54">
        <f>HYPERLINK("https://klasma.github.io/Logging_2513/klagomål/A 31704-2026 FSC-klagomål.docx", "A 31704-2026")</f>
        <v/>
      </c>
      <c r="AB54">
        <f>HYPERLINK("https://klasma.github.io/Logging_2513/klagomålsmail/A 31704-2026 FSC-klagomål mail.docx", "A 31704-2026")</f>
        <v/>
      </c>
      <c r="AC54">
        <f>HYPERLINK("https://klasma.github.io/Logging_2513/tillsyn/A 31704-2026 tillsynsbegäran.docx", "A 31704-2026")</f>
        <v/>
      </c>
      <c r="AD54">
        <f>HYPERLINK("https://klasma.github.io/Logging_2513/tillsynsmail/A 31704-2026 tillsynsbegäran mail.docx", "A 31704-2026")</f>
        <v/>
      </c>
    </row>
    <row r="55" ht="15" customHeight="1">
      <c r="A55" t="inlineStr">
        <is>
          <t>A 8407-2025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45709</v>
      </c>
      <c r="E55" s="1" t="n">
        <v>46231</v>
      </c>
      <c r="F55" t="inlineStr">
        <is>
          <t>NORRBOTTENS LÄN</t>
        </is>
      </c>
      <c r="G55" t="inlineStr">
        <is>
          <t>ÖVERKALIX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Tallbit</t>
        </is>
      </c>
      <c r="W55">
        <f>HYPERLINK("https://klasma.github.io/Logging_2513/artfynd/A 8407-2025 artfynd.xlsx", "A 8407-2025")</f>
        <v/>
      </c>
      <c r="X55">
        <f>HYPERLINK("https://klasma.github.io/Logging_2513/kartor/A 8407-2025 karta.png", "A 8407-2025")</f>
        <v/>
      </c>
      <c r="Y55">
        <f>HYPERLINK("https://klasma.github.io/Logging_2513/kartor_geotiff/A 8407-2025 georefererad karta.tif", "A 8407-2025")</f>
        <v/>
      </c>
      <c r="AA55">
        <f>HYPERLINK("https://klasma.github.io/Logging_2513/klagomål/A 8407-2025 FSC-klagomål.docx", "A 8407-2025")</f>
        <v/>
      </c>
      <c r="AB55">
        <f>HYPERLINK("https://klasma.github.io/Logging_2513/klagomålsmail/A 8407-2025 FSC-klagomål mail.docx", "A 8407-2025")</f>
        <v/>
      </c>
      <c r="AC55">
        <f>HYPERLINK("https://klasma.github.io/Logging_2513/tillsyn/A 8407-2025 tillsynsbegäran.docx", "A 8407-2025")</f>
        <v/>
      </c>
      <c r="AD55">
        <f>HYPERLINK("https://klasma.github.io/Logging_2513/tillsynsmail/A 8407-2025 tillsynsbegäran mail.docx", "A 8407-2025")</f>
        <v/>
      </c>
      <c r="AE55">
        <f>HYPERLINK("https://klasma.github.io/Logging_2513/fåglar/A 8407-2025 prioriterade fågelarter.docx", "A 8407-2025")</f>
        <v/>
      </c>
    </row>
    <row r="56" ht="15" customHeight="1">
      <c r="A56" t="inlineStr">
        <is>
          <t>A 7234-2023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46231</v>
      </c>
      <c r="F56" t="inlineStr">
        <is>
          <t>NORRBOTTENS LÄN</t>
        </is>
      </c>
      <c r="G56" t="inlineStr">
        <is>
          <t>ÖVERKALIX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HYPERLINK("https://klasma.github.io/Logging_2513/artfynd/A 7234-2023 artfynd.xlsx", "A 7234-2023")</f>
        <v/>
      </c>
      <c r="X56">
        <f>HYPERLINK("https://klasma.github.io/Logging_2513/kartor/A 7234-2023 karta.png", "A 7234-2023")</f>
        <v/>
      </c>
      <c r="Y56">
        <f>HYPERLINK("https://klasma.github.io/Logging_2513/kartor_geotiff/A 7234-2023 georefererad karta.tif", "A 7234-2023")</f>
        <v/>
      </c>
      <c r="AA56">
        <f>HYPERLINK("https://klasma.github.io/Logging_2513/klagomål/A 7234-2023 FSC-klagomål.docx", "A 7234-2023")</f>
        <v/>
      </c>
      <c r="AB56">
        <f>HYPERLINK("https://klasma.github.io/Logging_2513/klagomålsmail/A 7234-2023 FSC-klagomål mail.docx", "A 7234-2023")</f>
        <v/>
      </c>
      <c r="AC56">
        <f>HYPERLINK("https://klasma.github.io/Logging_2513/tillsyn/A 7234-2023 tillsynsbegäran.docx", "A 7234-2023")</f>
        <v/>
      </c>
      <c r="AD56">
        <f>HYPERLINK("https://klasma.github.io/Logging_2513/tillsynsmail/A 7234-2023 tillsynsbegäran mail.docx", "A 7234-2023")</f>
        <v/>
      </c>
      <c r="AE56">
        <f>HYPERLINK("https://klasma.github.io/Logging_2513/fåglar/A 7234-2023 prioriterade fågelarter.docx", "A 7234-2023")</f>
        <v/>
      </c>
    </row>
    <row r="57" ht="15" customHeight="1">
      <c r="A57" t="inlineStr">
        <is>
          <t>A 46280-2024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46231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HYPERLINK("https://klasma.github.io/Logging_2513/artfynd/A 46280-2024 artfynd.xlsx", "A 46280-2024")</f>
        <v/>
      </c>
      <c r="X57">
        <f>HYPERLINK("https://klasma.github.io/Logging_2513/kartor/A 46280-2024 karta.png", "A 46280-2024")</f>
        <v/>
      </c>
      <c r="Y57">
        <f>HYPERLINK("https://klasma.github.io/Logging_2513/kartor_geotiff/A 46280-2024 georefererad karta.tif", "A 46280-2024")</f>
        <v/>
      </c>
      <c r="AA57">
        <f>HYPERLINK("https://klasma.github.io/Logging_2513/klagomål/A 46280-2024 FSC-klagomål.docx", "A 46280-2024")</f>
        <v/>
      </c>
      <c r="AB57">
        <f>HYPERLINK("https://klasma.github.io/Logging_2513/klagomålsmail/A 46280-2024 FSC-klagomål mail.docx", "A 46280-2024")</f>
        <v/>
      </c>
      <c r="AC57">
        <f>HYPERLINK("https://klasma.github.io/Logging_2513/tillsyn/A 46280-2024 tillsynsbegäran.docx", "A 46280-2024")</f>
        <v/>
      </c>
      <c r="AD57">
        <f>HYPERLINK("https://klasma.github.io/Logging_2513/tillsynsmail/A 46280-2024 tillsynsbegäran mail.docx", "A 46280-2024")</f>
        <v/>
      </c>
      <c r="AE57">
        <f>HYPERLINK("https://klasma.github.io/Logging_2513/fåglar/A 46280-2024 prioriterade fågelarter.docx", "A 46280-2024")</f>
        <v/>
      </c>
    </row>
    <row r="58" ht="15" customHeight="1">
      <c r="A58" t="inlineStr">
        <is>
          <t>A 46281-2024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45581</v>
      </c>
      <c r="E58" s="1" t="n">
        <v>46231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1.2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HYPERLINK("https://klasma.github.io/Logging_2513/artfynd/A 46281-2024 artfynd.xlsx", "A 46281-2024")</f>
        <v/>
      </c>
      <c r="X58">
        <f>HYPERLINK("https://klasma.github.io/Logging_2513/kartor/A 46281-2024 karta.png", "A 46281-2024")</f>
        <v/>
      </c>
      <c r="Y58">
        <f>HYPERLINK("https://klasma.github.io/Logging_2513/kartor_geotiff/A 46281-2024 georefererad karta.tif", "A 46281-2024")</f>
        <v/>
      </c>
      <c r="AA58">
        <f>HYPERLINK("https://klasma.github.io/Logging_2513/klagomål/A 46281-2024 FSC-klagomål.docx", "A 46281-2024")</f>
        <v/>
      </c>
      <c r="AB58">
        <f>HYPERLINK("https://klasma.github.io/Logging_2513/klagomålsmail/A 46281-2024 FSC-klagomål mail.docx", "A 46281-2024")</f>
        <v/>
      </c>
      <c r="AC58">
        <f>HYPERLINK("https://klasma.github.io/Logging_2513/tillsyn/A 46281-2024 tillsynsbegäran.docx", "A 46281-2024")</f>
        <v/>
      </c>
      <c r="AD58">
        <f>HYPERLINK("https://klasma.github.io/Logging_2513/tillsynsmail/A 46281-2024 tillsynsbegäran mail.docx", "A 46281-2024")</f>
        <v/>
      </c>
    </row>
    <row r="59" ht="15" customHeight="1">
      <c r="A59" t="inlineStr">
        <is>
          <t>S 4190-2024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45579</v>
      </c>
      <c r="E59" s="1" t="n">
        <v>46231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14</v>
      </c>
      <c r="U59" t="n">
        <v>0</v>
      </c>
      <c r="V59" s="2" t="inlineStr">
        <is>
          <t>Lunglav</t>
        </is>
      </c>
      <c r="W59">
        <f>HYPERLINK("https://klasma.github.io/Logging_2513/artfynd/S 4190-2024 artfynd.xlsx", "S 4190-2024")</f>
        <v/>
      </c>
      <c r="X59">
        <f>HYPERLINK("https://klasma.github.io/Logging_2513/kartor/S 4190-2024 karta.png", "S 4190-2024")</f>
        <v/>
      </c>
      <c r="Y59">
        <f>HYPERLINK("https://klasma.github.io/Logging_2513/kartor_geotiff/S 4190-2024 georefererad karta.tif", "S 4190-2024")</f>
        <v/>
      </c>
      <c r="AA59">
        <f>HYPERLINK("https://klasma.github.io/Logging_2513/klagomål/S 4190-2024 FSC-klagomål.docx", "S 4190-2024")</f>
        <v/>
      </c>
      <c r="AB59">
        <f>HYPERLINK("https://klasma.github.io/Logging_2513/klagomålsmail/S 4190-2024 FSC-klagomål mail.docx", "S 4190-2024")</f>
        <v/>
      </c>
      <c r="AC59">
        <f>HYPERLINK("https://klasma.github.io/Logging_2513/tillsyn/S 4190-2024 tillsynsbegäran.docx", "S 4190-2024")</f>
        <v/>
      </c>
      <c r="AD59">
        <f>HYPERLINK("https://klasma.github.io/Logging_2513/tillsynsmail/S 4190-2024 tillsynsbegäran mail.docx", "S 4190-2024")</f>
        <v/>
      </c>
    </row>
    <row r="60" ht="15" customHeight="1">
      <c r="A60" t="inlineStr">
        <is>
          <t>S 1156-2024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45394</v>
      </c>
      <c r="E60" s="1" t="n">
        <v>46231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491.9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Sävsparv</t>
        </is>
      </c>
      <c r="W60">
        <f>HYPERLINK("https://klasma.github.io/Logging_2513/artfynd/S 1156-2024 artfynd.xlsx", "S 1156-2024")</f>
        <v/>
      </c>
      <c r="X60">
        <f>HYPERLINK("https://klasma.github.io/Logging_2513/kartor/S 1156-2024 karta.png", "S 1156-2024")</f>
        <v/>
      </c>
      <c r="Y60">
        <f>HYPERLINK("https://klasma.github.io/Logging_2513/kartor_geotiff/S 1156-2024 georefererad karta.tif", "S 1156-2024")</f>
        <v/>
      </c>
      <c r="AA60">
        <f>HYPERLINK("https://klasma.github.io/Logging_2513/klagomål/S 1156-2024 FSC-klagomål.docx", "S 1156-2024")</f>
        <v/>
      </c>
      <c r="AB60">
        <f>HYPERLINK("https://klasma.github.io/Logging_2513/klagomålsmail/S 1156-2024 FSC-klagomål mail.docx", "S 1156-2024")</f>
        <v/>
      </c>
      <c r="AC60">
        <f>HYPERLINK("https://klasma.github.io/Logging_2513/tillsyn/S 1156-2024 tillsynsbegäran.docx", "S 1156-2024")</f>
        <v/>
      </c>
      <c r="AD60">
        <f>HYPERLINK("https://klasma.github.io/Logging_2513/tillsynsmail/S 1156-2024 tillsynsbegäran mail.docx", "S 1156-2024")</f>
        <v/>
      </c>
      <c r="AE60">
        <f>HYPERLINK("https://klasma.github.io/Logging_2513/fåglar/S 1156-2024 prioriterade fågelarter.docx", "S 1156-2024")</f>
        <v/>
      </c>
    </row>
    <row r="61" ht="15" customHeight="1">
      <c r="A61" t="inlineStr">
        <is>
          <t>A 3174-2022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46231</v>
      </c>
      <c r="F61" t="inlineStr">
        <is>
          <t>NORRBOTTENS LÄN</t>
        </is>
      </c>
      <c r="G61" t="inlineStr">
        <is>
          <t>ÖVERKALIX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46231</v>
      </c>
      <c r="F62" t="inlineStr">
        <is>
          <t>NORRBOTTENS LÄN</t>
        </is>
      </c>
      <c r="G62" t="inlineStr">
        <is>
          <t>ÖVERKALIX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46231</v>
      </c>
      <c r="F63" t="inlineStr">
        <is>
          <t>NORRBOTTENS LÄN</t>
        </is>
      </c>
      <c r="G63" t="inlineStr">
        <is>
          <t>ÖVERKALIX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44718</v>
      </c>
      <c r="E64" s="1" t="n">
        <v>46231</v>
      </c>
      <c r="F64" t="inlineStr">
        <is>
          <t>NORRBOTTENS LÄN</t>
        </is>
      </c>
      <c r="G64" t="inlineStr">
        <is>
          <t>ÖVERKALIX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46231</v>
      </c>
      <c r="F65" t="inlineStr">
        <is>
          <t>NORRBOTTENS LÄN</t>
        </is>
      </c>
      <c r="G65" t="inlineStr">
        <is>
          <t>ÖVERKALIX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21847-2022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44711</v>
      </c>
      <c r="E66" s="1" t="n">
        <v>46231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44717</v>
      </c>
      <c r="E67" s="1" t="n">
        <v>46231</v>
      </c>
      <c r="F67" t="inlineStr">
        <is>
          <t>NORRBOTTENS LÄN</t>
        </is>
      </c>
      <c r="G67" t="inlineStr">
        <is>
          <t>ÖVERKALIX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46231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HYPERLINK("https://klasma.github.io/Logging_2513/knärot/A 29706-2022 karta knärot.png", "A 29706-2022")</f>
        <v/>
      </c>
      <c r="AA68">
        <f>HYPERLINK("https://klasma.github.io/Logging_2513/klagomål/A 29706-2022 FSC-klagomål.docx", "A 29706-2022")</f>
        <v/>
      </c>
      <c r="AB68">
        <f>HYPERLINK("https://klasma.github.io/Logging_2513/klagomålsmail/A 29706-2022 FSC-klagomål mail.docx", "A 29706-2022")</f>
        <v/>
      </c>
      <c r="AC68">
        <f>HYPERLINK("https://klasma.github.io/Logging_2513/tillsyn/A 29706-2022 tillsynsbegäran.docx", "A 29706-2022")</f>
        <v/>
      </c>
      <c r="AD68">
        <f>HYPERLINK("https://klasma.github.io/Logging_2513/tillsynsmail/A 29706-2022 tillsynsbegäran mail.docx", "A 29706-2022")</f>
        <v/>
      </c>
    </row>
    <row r="69" ht="15" customHeight="1">
      <c r="A69" t="inlineStr">
        <is>
          <t>A 6907-2022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46231</v>
      </c>
      <c r="F69" t="inlineStr">
        <is>
          <t>NORRBOTTENS LÄN</t>
        </is>
      </c>
      <c r="G69" t="inlineStr">
        <is>
          <t>ÖVERKALIX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41691-2021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46231</v>
      </c>
      <c r="F70" t="inlineStr">
        <is>
          <t>NORRBOTTENS LÄN</t>
        </is>
      </c>
      <c r="G70" t="inlineStr">
        <is>
          <t>ÖVERKALIX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46231</v>
      </c>
      <c r="F71" t="inlineStr">
        <is>
          <t>NORRBOTTENS LÄN</t>
        </is>
      </c>
      <c r="G71" t="inlineStr">
        <is>
          <t>ÖVERKALIX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47629-2021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44448</v>
      </c>
      <c r="E72" s="1" t="n">
        <v>46231</v>
      </c>
      <c r="F72" t="inlineStr">
        <is>
          <t>NORRBOTTENS LÄN</t>
        </is>
      </c>
      <c r="G72" t="inlineStr">
        <is>
          <t>ÖVERKALIX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44862</v>
      </c>
      <c r="E73" s="1" t="n">
        <v>46231</v>
      </c>
      <c r="F73" t="inlineStr">
        <is>
          <t>NORRBOTTENS LÄN</t>
        </is>
      </c>
      <c r="G73" t="inlineStr">
        <is>
          <t>ÖVERKALIX</t>
        </is>
      </c>
      <c r="I73" t="n">
        <v>9.699999999999999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44435</v>
      </c>
      <c r="E74" s="1" t="n">
        <v>46231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46231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46231</v>
      </c>
      <c r="F76" t="inlineStr">
        <is>
          <t>NORRBOTTENS LÄN</t>
        </is>
      </c>
      <c r="G76" t="inlineStr">
        <is>
          <t>ÖVERKALIX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46231</v>
      </c>
      <c r="F77" t="inlineStr">
        <is>
          <t>NORRBOTTENS LÄN</t>
        </is>
      </c>
      <c r="G77" t="inlineStr">
        <is>
          <t>ÖVERKALIX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46231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46231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46231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46231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46231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46231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46231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46231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46231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46231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46231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46231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46231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46231</v>
      </c>
      <c r="F91" t="inlineStr">
        <is>
          <t>NORRBOTTENS LÄN</t>
        </is>
      </c>
      <c r="G91" t="inlineStr">
        <is>
          <t>ÖVERKALIX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46231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45709</v>
      </c>
      <c r="E93" s="1" t="n">
        <v>46231</v>
      </c>
      <c r="F93" t="inlineStr">
        <is>
          <t>NORRBOTTENS LÄN</t>
        </is>
      </c>
      <c r="G93" t="inlineStr">
        <is>
          <t>ÖVERKALIX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46231</v>
      </c>
      <c r="F94" t="inlineStr">
        <is>
          <t>NORRBOTTENS LÄN</t>
        </is>
      </c>
      <c r="G94" t="inlineStr">
        <is>
          <t>ÖVERKALIX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46231</v>
      </c>
      <c r="F95" t="inlineStr">
        <is>
          <t>NORRBOTTENS LÄN</t>
        </is>
      </c>
      <c r="G95" t="inlineStr">
        <is>
          <t>ÖVERKALIX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46231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19541-2024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46231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22.7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45372</v>
      </c>
      <c r="E98" s="1" t="n">
        <v>46231</v>
      </c>
      <c r="F98" t="inlineStr">
        <is>
          <t>NORRBOTTENS LÄN</t>
        </is>
      </c>
      <c r="G98" t="inlineStr">
        <is>
          <t>ÖVERKALIX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45379</v>
      </c>
      <c r="E99" s="1" t="n">
        <v>46231</v>
      </c>
      <c r="F99" t="inlineStr">
        <is>
          <t>NORRBOTTENS LÄN</t>
        </is>
      </c>
      <c r="G99" t="inlineStr">
        <is>
          <t>ÖVERKALIX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46945-2021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46231</v>
      </c>
      <c r="F100" t="inlineStr">
        <is>
          <t>NORRBOTTENS LÄN</t>
        </is>
      </c>
      <c r="G100" t="inlineStr">
        <is>
          <t>ÖVERKALIX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46231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45463</v>
      </c>
      <c r="E102" s="1" t="n">
        <v>46231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44886</v>
      </c>
      <c r="E103" s="1" t="n">
        <v>46231</v>
      </c>
      <c r="F103" t="inlineStr">
        <is>
          <t>NORRBOTTENS LÄN</t>
        </is>
      </c>
      <c r="G103" t="inlineStr">
        <is>
          <t>ÖVERKALIX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46231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45075</v>
      </c>
      <c r="E105" s="1" t="n">
        <v>46231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46231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72809-2021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46231</v>
      </c>
      <c r="F107" t="inlineStr">
        <is>
          <t>NORRBOTTENS LÄN</t>
        </is>
      </c>
      <c r="G107" t="inlineStr">
        <is>
          <t>ÖVERKALIX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45463</v>
      </c>
      <c r="E108" s="1" t="n">
        <v>46231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46231</v>
      </c>
      <c r="F109" t="inlineStr">
        <is>
          <t>NORRBOTTENS LÄN</t>
        </is>
      </c>
      <c r="G109" t="inlineStr">
        <is>
          <t>ÖVERKALIX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46231</v>
      </c>
      <c r="F110" t="inlineStr">
        <is>
          <t>NORRBOTTENS LÄN</t>
        </is>
      </c>
      <c r="G110" t="inlineStr">
        <is>
          <t>ÖVERKALIX</t>
        </is>
      </c>
      <c r="I110" t="n">
        <v>21.7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46231</v>
      </c>
      <c r="F111" t="inlineStr">
        <is>
          <t>NORRBOTTENS LÄN</t>
        </is>
      </c>
      <c r="G111" t="inlineStr">
        <is>
          <t>ÖVERKALIX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46231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46231</v>
      </c>
      <c r="F113" t="inlineStr">
        <is>
          <t>NORRBOTTENS LÄN</t>
        </is>
      </c>
      <c r="G113" t="inlineStr">
        <is>
          <t>ÖVERKALIX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46231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45086</v>
      </c>
      <c r="E115" s="1" t="n">
        <v>46231</v>
      </c>
      <c r="F115" t="inlineStr">
        <is>
          <t>NORRBOTTENS LÄN</t>
        </is>
      </c>
      <c r="G115" t="inlineStr">
        <is>
          <t>ÖVERKALIX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45323</v>
      </c>
      <c r="E116" s="1" t="n">
        <v>46231</v>
      </c>
      <c r="F116" t="inlineStr">
        <is>
          <t>NORRBOTTENS LÄN</t>
        </is>
      </c>
      <c r="G116" t="inlineStr">
        <is>
          <t>ÖVERKALIX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46231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46231</v>
      </c>
      <c r="F118" t="inlineStr">
        <is>
          <t>NORRBOTTENS LÄN</t>
        </is>
      </c>
      <c r="G118" t="inlineStr">
        <is>
          <t>ÖVERKALIX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46231</v>
      </c>
      <c r="F119" t="inlineStr">
        <is>
          <t>NORRBOTTENS LÄN</t>
        </is>
      </c>
      <c r="G119" t="inlineStr">
        <is>
          <t>ÖVERKALIX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46029</v>
      </c>
      <c r="E120" s="1" t="n">
        <v>46231</v>
      </c>
      <c r="F120" t="inlineStr">
        <is>
          <t>NORRBOTTENS LÄN</t>
        </is>
      </c>
      <c r="G120" t="inlineStr">
        <is>
          <t>ÖVERKALIX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46231</v>
      </c>
      <c r="F121" t="inlineStr">
        <is>
          <t>NORRBOTTENS LÄN</t>
        </is>
      </c>
      <c r="G121" t="inlineStr">
        <is>
          <t>ÖVERKALIX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46231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44899</v>
      </c>
      <c r="E123" s="1" t="n">
        <v>46231</v>
      </c>
      <c r="F123" t="inlineStr">
        <is>
          <t>NORRBOTTENS LÄN</t>
        </is>
      </c>
      <c r="G123" t="inlineStr">
        <is>
          <t>ÖVERKALIX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46231</v>
      </c>
      <c r="F124" t="inlineStr">
        <is>
          <t>NORRBOTTENS LÄN</t>
        </is>
      </c>
      <c r="G124" t="inlineStr">
        <is>
          <t>ÖVERKALIX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46231</v>
      </c>
      <c r="F125" t="inlineStr">
        <is>
          <t>NORRBOTTENS LÄN</t>
        </is>
      </c>
      <c r="G125" t="inlineStr">
        <is>
          <t>ÖVERKALIX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46231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29.9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45460</v>
      </c>
      <c r="E127" s="1" t="n">
        <v>46231</v>
      </c>
      <c r="F127" t="inlineStr">
        <is>
          <t>NORRBOTTENS LÄN</t>
        </is>
      </c>
      <c r="G127" t="inlineStr">
        <is>
          <t>ÖVERKALIX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46231</v>
      </c>
      <c r="F128" t="inlineStr">
        <is>
          <t>NORRBOTTENS LÄN</t>
        </is>
      </c>
      <c r="G128" t="inlineStr">
        <is>
          <t>ÖVERKALIX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46231</v>
      </c>
      <c r="F129" t="inlineStr">
        <is>
          <t>NORRBOTTENS LÄN</t>
        </is>
      </c>
      <c r="G129" t="inlineStr">
        <is>
          <t>ÖVERKALIX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46231</v>
      </c>
      <c r="F130" t="inlineStr">
        <is>
          <t>NORRBOTTENS LÄN</t>
        </is>
      </c>
      <c r="G130" t="inlineStr">
        <is>
          <t>ÖVERKALIX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45712</v>
      </c>
      <c r="E131" s="1" t="n">
        <v>46231</v>
      </c>
      <c r="F131" t="inlineStr">
        <is>
          <t>NORRBOTTENS LÄN</t>
        </is>
      </c>
      <c r="G131" t="inlineStr">
        <is>
          <t>ÖVERKALIX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46231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27613-2025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46231</v>
      </c>
      <c r="F133" t="inlineStr">
        <is>
          <t>NORRBOTTENS LÄN</t>
        </is>
      </c>
      <c r="G133" t="inlineStr">
        <is>
          <t>ÖVERKALIX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45813</v>
      </c>
      <c r="E134" s="1" t="n">
        <v>46231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46231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45813</v>
      </c>
      <c r="E136" s="1" t="n">
        <v>46231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45813</v>
      </c>
      <c r="E137" s="1" t="n">
        <v>46231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45813</v>
      </c>
      <c r="E138" s="1" t="n">
        <v>46231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46231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46231</v>
      </c>
      <c r="F140" t="inlineStr">
        <is>
          <t>NORRBOTTENS LÄN</t>
        </is>
      </c>
      <c r="G140" t="inlineStr">
        <is>
          <t>ÖVERKALIX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46231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46231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46231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46231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46231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46231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29150-2025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46231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46231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46231</v>
      </c>
      <c r="F149" t="inlineStr">
        <is>
          <t>NORRBOTTENS LÄN</t>
        </is>
      </c>
      <c r="G149" t="inlineStr">
        <is>
          <t>ÖVERKALIX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46231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44306-2021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44435</v>
      </c>
      <c r="E151" s="1" t="n">
        <v>46231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46231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24.4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46231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46231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33301-2024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45518</v>
      </c>
      <c r="E155" s="1" t="n">
        <v>46231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45518</v>
      </c>
      <c r="E156" s="1" t="n">
        <v>46231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46231</v>
      </c>
      <c r="F157" t="inlineStr">
        <is>
          <t>NORRBOTTENS LÄN</t>
        </is>
      </c>
      <c r="G157" t="inlineStr">
        <is>
          <t>ÖVERKALIX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46231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46055</v>
      </c>
      <c r="E159" s="1" t="n">
        <v>46231</v>
      </c>
      <c r="F159" t="inlineStr">
        <is>
          <t>NORRBOTTENS LÄN</t>
        </is>
      </c>
      <c r="G159" t="inlineStr">
        <is>
          <t>ÖVERKALIX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46231</v>
      </c>
      <c r="F160" t="inlineStr">
        <is>
          <t>NORRBOTTENS LÄN</t>
        </is>
      </c>
      <c r="G160" t="inlineStr">
        <is>
          <t>ÖVERKALIX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45513</v>
      </c>
      <c r="E161" s="1" t="n">
        <v>46231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46231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46231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46231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31744-2025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45834</v>
      </c>
      <c r="E165" s="1" t="n">
        <v>46231</v>
      </c>
      <c r="F165" t="inlineStr">
        <is>
          <t>NORRBOTTENS LÄN</t>
        </is>
      </c>
      <c r="G165" t="inlineStr">
        <is>
          <t>ÖVERKALIX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46231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46231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46231</v>
      </c>
      <c r="F168" t="inlineStr">
        <is>
          <t>NORRBOTTENS LÄN</t>
        </is>
      </c>
      <c r="G168" t="inlineStr">
        <is>
          <t>ÖVERKALIX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46231</v>
      </c>
      <c r="F169" t="inlineStr">
        <is>
          <t>NORRBOTTENS LÄN</t>
        </is>
      </c>
      <c r="G169" t="inlineStr">
        <is>
          <t>ÖVERKALIX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46231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45837</v>
      </c>
      <c r="E171" s="1" t="n">
        <v>46231</v>
      </c>
      <c r="F171" t="inlineStr">
        <is>
          <t>NORRBOTTENS LÄN</t>
        </is>
      </c>
      <c r="G171" t="inlineStr">
        <is>
          <t>ÖVERKALIX</t>
        </is>
      </c>
      <c r="I171" t="n">
        <v>9.800000000000001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45837</v>
      </c>
      <c r="E172" s="1" t="n">
        <v>46231</v>
      </c>
      <c r="F172" t="inlineStr">
        <is>
          <t>NORRBOTTENS LÄN</t>
        </is>
      </c>
      <c r="G172" t="inlineStr">
        <is>
          <t>ÖVERKALIX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46231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9.199999999999999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46231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46231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46231</v>
      </c>
      <c r="F176" t="inlineStr">
        <is>
          <t>NORRBOTTENS LÄN</t>
        </is>
      </c>
      <c r="G176" t="inlineStr">
        <is>
          <t>ÖVERKALIX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34128-2025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45845</v>
      </c>
      <c r="E177" s="1" t="n">
        <v>46231</v>
      </c>
      <c r="F177" t="inlineStr">
        <is>
          <t>NORRBOTTENS LÄN</t>
        </is>
      </c>
      <c r="G177" t="inlineStr">
        <is>
          <t>ÖVERKALIX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46231</v>
      </c>
      <c r="F178" t="inlineStr">
        <is>
          <t>NORRBOTTENS LÄN</t>
        </is>
      </c>
      <c r="G178" t="inlineStr">
        <is>
          <t>ÖVERKALIX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46231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46231</v>
      </c>
      <c r="F180" t="inlineStr">
        <is>
          <t>NORRBOTTENS LÄN</t>
        </is>
      </c>
      <c r="G180" t="inlineStr">
        <is>
          <t>ÖVERKALIX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46231</v>
      </c>
      <c r="F181" t="inlineStr">
        <is>
          <t>NORRBOTTENS LÄN</t>
        </is>
      </c>
      <c r="G181" t="inlineStr">
        <is>
          <t>ÖVERKALIX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46231</v>
      </c>
      <c r="F182" t="inlineStr">
        <is>
          <t>NORRBOTTENS LÄN</t>
        </is>
      </c>
      <c r="G182" t="inlineStr">
        <is>
          <t>ÖVERKALIX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28343-2025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45818</v>
      </c>
      <c r="E183" s="1" t="n">
        <v>46231</v>
      </c>
      <c r="F183" t="inlineStr">
        <is>
          <t>NORRBOTTENS LÄN</t>
        </is>
      </c>
      <c r="G183" t="inlineStr">
        <is>
          <t>ÖVERKALIX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11181-2026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46080</v>
      </c>
      <c r="E184" s="1" t="n">
        <v>46231</v>
      </c>
      <c r="F184" t="inlineStr">
        <is>
          <t>NORRBOTTENS LÄN</t>
        </is>
      </c>
      <c r="G184" t="inlineStr">
        <is>
          <t>ÖVERKALIX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46231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46080</v>
      </c>
      <c r="E186" s="1" t="n">
        <v>46231</v>
      </c>
      <c r="F186" t="inlineStr">
        <is>
          <t>NORRBOTTENS LÄN</t>
        </is>
      </c>
      <c r="G186" t="inlineStr">
        <is>
          <t>ÖVERKALIX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41706-2021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44424</v>
      </c>
      <c r="E187" s="1" t="n">
        <v>46231</v>
      </c>
      <c r="F187" t="inlineStr">
        <is>
          <t>NORRBOTTENS LÄN</t>
        </is>
      </c>
      <c r="G187" t="inlineStr">
        <is>
          <t>ÖVERKALIX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46231</v>
      </c>
      <c r="F188" t="inlineStr">
        <is>
          <t>NORRBOTTENS LÄN</t>
        </is>
      </c>
      <c r="G188" t="inlineStr">
        <is>
          <t>ÖVERKALIX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46231</v>
      </c>
      <c r="F189" t="inlineStr">
        <is>
          <t>NORRBOTTENS LÄN</t>
        </is>
      </c>
      <c r="G189" t="inlineStr">
        <is>
          <t>ÖVERKALIX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46231</v>
      </c>
      <c r="F190" t="inlineStr">
        <is>
          <t>NORRBOTTENS LÄN</t>
        </is>
      </c>
      <c r="G190" t="inlineStr">
        <is>
          <t>ÖVERKALIX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46231</v>
      </c>
      <c r="F191" t="inlineStr">
        <is>
          <t>NORRBOTTENS LÄN</t>
        </is>
      </c>
      <c r="G191" t="inlineStr">
        <is>
          <t>ÖVERKALIX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46231</v>
      </c>
      <c r="F192" t="inlineStr">
        <is>
          <t>NORRBOTTENS LÄN</t>
        </is>
      </c>
      <c r="G192" t="inlineStr">
        <is>
          <t>ÖVERKALIX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46231</v>
      </c>
      <c r="F193" t="inlineStr">
        <is>
          <t>NORRBOTTENS LÄN</t>
        </is>
      </c>
      <c r="G193" t="inlineStr">
        <is>
          <t>ÖVERKALIX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45429</v>
      </c>
      <c r="E194" s="1" t="n">
        <v>46231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46087</v>
      </c>
      <c r="E195" s="1" t="n">
        <v>46231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46231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36486-2025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45869</v>
      </c>
      <c r="E197" s="1" t="n">
        <v>46231</v>
      </c>
      <c r="F197" t="inlineStr">
        <is>
          <t>NORRBOTTENS LÄN</t>
        </is>
      </c>
      <c r="G197" t="inlineStr">
        <is>
          <t>ÖVERKALIX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45870</v>
      </c>
      <c r="E198" s="1" t="n">
        <v>46231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36621-2025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45870</v>
      </c>
      <c r="E199" s="1" t="n">
        <v>46231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45401</v>
      </c>
      <c r="E200" s="1" t="n">
        <v>46231</v>
      </c>
      <c r="F200" t="inlineStr">
        <is>
          <t>NORRBOTTENS LÄN</t>
        </is>
      </c>
      <c r="G200" t="inlineStr">
        <is>
          <t>ÖVERKALIX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45869</v>
      </c>
      <c r="E201" s="1" t="n">
        <v>46231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46231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13.4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46231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10.9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36715-2025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46231</v>
      </c>
      <c r="F204" t="inlineStr">
        <is>
          <t>NORRBOTTENS LÄN</t>
        </is>
      </c>
      <c r="G204" t="inlineStr">
        <is>
          <t>ÖVERKALIX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46231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46231</v>
      </c>
      <c r="F206" t="inlineStr">
        <is>
          <t>NORRBOTTENS LÄN</t>
        </is>
      </c>
      <c r="G206" t="inlineStr">
        <is>
          <t>ÖVERKALIX</t>
        </is>
      </c>
      <c r="I206" t="n">
        <v>12.5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46231</v>
      </c>
      <c r="F207" t="inlineStr">
        <is>
          <t>NORRBOTTENS LÄN</t>
        </is>
      </c>
      <c r="G207" t="inlineStr">
        <is>
          <t>ÖVERKALIX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45268</v>
      </c>
      <c r="E208" s="1" t="n">
        <v>46231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46231</v>
      </c>
      <c r="F209" t="inlineStr">
        <is>
          <t>NORRBOTTENS LÄN</t>
        </is>
      </c>
      <c r="G209" t="inlineStr">
        <is>
          <t>ÖVERKALIX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46231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46231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46231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Övriga statliga verk och myndigheter</t>
        </is>
      </c>
      <c r="I212" t="n">
        <v>38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46231</v>
      </c>
      <c r="F213" t="inlineStr">
        <is>
          <t>NORRBOTTENS LÄN</t>
        </is>
      </c>
      <c r="G213" t="inlineStr">
        <is>
          <t>ÖVERKALIX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45807</v>
      </c>
      <c r="E214" s="1" t="n">
        <v>46231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37.4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45611</v>
      </c>
      <c r="E215" s="1" t="n">
        <v>46231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25.9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15011-2026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46231</v>
      </c>
      <c r="F216" t="inlineStr">
        <is>
          <t>NORRBOTTENS LÄN</t>
        </is>
      </c>
      <c r="G216" t="inlineStr">
        <is>
          <t>ÖVERKALIX</t>
        </is>
      </c>
      <c r="I216" t="n">
        <v>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55853-2024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45622</v>
      </c>
      <c r="E217" s="1" t="n">
        <v>46231</v>
      </c>
      <c r="F217" t="inlineStr">
        <is>
          <t>NORRBOTTENS LÄN</t>
        </is>
      </c>
      <c r="G217" t="inlineStr">
        <is>
          <t>ÖVERKALIX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46231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22.8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45643</v>
      </c>
      <c r="E219" s="1" t="n">
        <v>46231</v>
      </c>
      <c r="F219" t="inlineStr">
        <is>
          <t>NORRBOTTENS LÄN</t>
        </is>
      </c>
      <c r="G219" t="inlineStr">
        <is>
          <t>ÖVERKALIX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46231</v>
      </c>
      <c r="F220" t="inlineStr">
        <is>
          <t>NORRBOTTENS LÄN</t>
        </is>
      </c>
      <c r="G220" t="inlineStr">
        <is>
          <t>ÖVERKALIX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46231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46231</v>
      </c>
      <c r="F222" t="inlineStr">
        <is>
          <t>NORRBOTTENS LÄN</t>
        </is>
      </c>
      <c r="G222" t="inlineStr">
        <is>
          <t>ÖVERKALIX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46112</v>
      </c>
      <c r="E223" s="1" t="n">
        <v>46231</v>
      </c>
      <c r="F223" t="inlineStr">
        <is>
          <t>NORRBOTTENS LÄN</t>
        </is>
      </c>
      <c r="G223" t="inlineStr">
        <is>
          <t>ÖVERKALIX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45575</v>
      </c>
      <c r="E224" s="1" t="n">
        <v>46231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46231</v>
      </c>
      <c r="F225" t="inlineStr">
        <is>
          <t>NORRBOTTENS LÄN</t>
        </is>
      </c>
      <c r="G225" t="inlineStr">
        <is>
          <t>ÖVERKALIX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46231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45904</v>
      </c>
      <c r="E227" s="1" t="n">
        <v>46231</v>
      </c>
      <c r="F227" t="inlineStr">
        <is>
          <t>NORRBOTTENS LÄN</t>
        </is>
      </c>
      <c r="G227" t="inlineStr">
        <is>
          <t>ÖVERKALIX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46231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46120</v>
      </c>
      <c r="E229" s="1" t="n">
        <v>46231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46120</v>
      </c>
      <c r="E230" s="1" t="n">
        <v>46231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45699</v>
      </c>
      <c r="E231" s="1" t="n">
        <v>46231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46231</v>
      </c>
      <c r="F232" t="inlineStr">
        <is>
          <t>NORRBOTTENS LÄN</t>
        </is>
      </c>
      <c r="G232" t="inlineStr">
        <is>
          <t>ÖVERKALIX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46231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46231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45699</v>
      </c>
      <c r="E235" s="1" t="n">
        <v>46231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28.8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45820</v>
      </c>
      <c r="E236" s="1" t="n">
        <v>46231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46231</v>
      </c>
      <c r="F237" t="inlineStr">
        <is>
          <t>NORRBOTTENS LÄN</t>
        </is>
      </c>
      <c r="G237" t="inlineStr">
        <is>
          <t>ÖVERKALIX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46231</v>
      </c>
      <c r="F238" t="inlineStr">
        <is>
          <t>NORRBOTTENS LÄN</t>
        </is>
      </c>
      <c r="G238" t="inlineStr">
        <is>
          <t>ÖVERKALIX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46231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46231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43626-2025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46231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46231</v>
      </c>
      <c r="F242" t="inlineStr">
        <is>
          <t>NORRBOTTENS LÄN</t>
        </is>
      </c>
      <c r="G242" t="inlineStr">
        <is>
          <t>ÖVERKALIX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46134</v>
      </c>
      <c r="E243" s="1" t="n">
        <v>46231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46231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Sveaskog</t>
        </is>
      </c>
      <c r="I244" t="n">
        <v>9.199999999999999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46231</v>
      </c>
      <c r="F245" t="inlineStr">
        <is>
          <t>NORRBOTTENS LÄN</t>
        </is>
      </c>
      <c r="G245" t="inlineStr">
        <is>
          <t>ÖVERKALIX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45689</v>
      </c>
      <c r="E246" s="1" t="n">
        <v>46231</v>
      </c>
      <c r="F246" t="inlineStr">
        <is>
          <t>NORRBOTTENS LÄN</t>
        </is>
      </c>
      <c r="G246" t="inlineStr">
        <is>
          <t>ÖVERKALIX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48577-2023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45208</v>
      </c>
      <c r="E247" s="1" t="n">
        <v>46231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Sveaskog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45691</v>
      </c>
      <c r="E248" s="1" t="n">
        <v>46231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20.3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44754-2025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45917</v>
      </c>
      <c r="E249" s="1" t="n">
        <v>46231</v>
      </c>
      <c r="F249" t="inlineStr">
        <is>
          <t>NORRBOTTENS LÄN</t>
        </is>
      </c>
      <c r="G249" t="inlineStr">
        <is>
          <t>ÖVERKALIX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46231</v>
      </c>
      <c r="F250" t="inlineStr">
        <is>
          <t>NORRBOTTENS LÄN</t>
        </is>
      </c>
      <c r="G250" t="inlineStr">
        <is>
          <t>ÖVERKALIX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45535-2025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45922</v>
      </c>
      <c r="E251" s="1" t="n">
        <v>46231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46231</v>
      </c>
      <c r="F252" t="inlineStr">
        <is>
          <t>NORRBOTTENS LÄN</t>
        </is>
      </c>
      <c r="G252" t="inlineStr">
        <is>
          <t>ÖVERKALIX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46231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43673-2021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44433</v>
      </c>
      <c r="E254" s="1" t="n">
        <v>46231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45747</v>
      </c>
      <c r="E255" s="1" t="n">
        <v>46231</v>
      </c>
      <c r="F255" t="inlineStr">
        <is>
          <t>NORRBOTTENS LÄN</t>
        </is>
      </c>
      <c r="G255" t="inlineStr">
        <is>
          <t>ÖVERKALIX</t>
        </is>
      </c>
      <c r="I255" t="n">
        <v>10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44659</v>
      </c>
      <c r="E256" s="1" t="n">
        <v>46231</v>
      </c>
      <c r="F256" t="inlineStr">
        <is>
          <t>NORRBOTTENS LÄN</t>
        </is>
      </c>
      <c r="G256" t="inlineStr">
        <is>
          <t>ÖVERKALIX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45818</v>
      </c>
      <c r="E257" s="1" t="n">
        <v>46231</v>
      </c>
      <c r="F257" t="inlineStr">
        <is>
          <t>NORRBOTTENS LÄN</t>
        </is>
      </c>
      <c r="G257" t="inlineStr">
        <is>
          <t>ÖVERKALIX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13717-2022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44648</v>
      </c>
      <c r="E258" s="1" t="n">
        <v>46231</v>
      </c>
      <c r="F258" t="inlineStr">
        <is>
          <t>NORRBOTTENS LÄN</t>
        </is>
      </c>
      <c r="G258" t="inlineStr">
        <is>
          <t>ÖVERKALIX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54143-2021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44469</v>
      </c>
      <c r="E259" s="1" t="n">
        <v>46231</v>
      </c>
      <c r="F259" t="inlineStr">
        <is>
          <t>NORRBOTTENS LÄN</t>
        </is>
      </c>
      <c r="G259" t="inlineStr">
        <is>
          <t>ÖVERKALIX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46231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46231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46231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49473-2023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46231</v>
      </c>
      <c r="F263" t="inlineStr">
        <is>
          <t>NORRBOTTENS LÄN</t>
        </is>
      </c>
      <c r="G263" t="inlineStr">
        <is>
          <t>ÖVERKALIX</t>
        </is>
      </c>
      <c r="I263" t="n">
        <v>9.300000000000001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46231</v>
      </c>
      <c r="F264" t="inlineStr">
        <is>
          <t>NORRBOTTENS LÄN</t>
        </is>
      </c>
      <c r="G264" t="inlineStr">
        <is>
          <t>ÖVERKALIX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46231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46231</v>
      </c>
      <c r="F266" t="inlineStr">
        <is>
          <t>NORRBOTTENS LÄN</t>
        </is>
      </c>
      <c r="G266" t="inlineStr">
        <is>
          <t>ÖVERKALIX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46231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46148</v>
      </c>
      <c r="E268" s="1" t="n">
        <v>46231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46231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46231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46231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46148</v>
      </c>
      <c r="E272" s="1" t="n">
        <v>46231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21427-2026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46148</v>
      </c>
      <c r="E273" s="1" t="n">
        <v>46231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Sveaskog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46231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21429-2026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46231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18.8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46231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46231</v>
      </c>
      <c r="F277" t="inlineStr">
        <is>
          <t>NORRBOTTENS LÄN</t>
        </is>
      </c>
      <c r="G277" t="inlineStr">
        <is>
          <t>ÖVERKALIX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46231</v>
      </c>
      <c r="F278" t="inlineStr">
        <is>
          <t>NORRBOTTENS LÄN</t>
        </is>
      </c>
      <c r="G278" t="inlineStr">
        <is>
          <t>ÖVERKALIX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46231</v>
      </c>
      <c r="F279" t="inlineStr">
        <is>
          <t>NORRBOTTENS LÄN</t>
        </is>
      </c>
      <c r="G279" t="inlineStr">
        <is>
          <t>ÖVERKALIX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46231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46231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23.2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46231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46231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11.8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73216-2021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44547</v>
      </c>
      <c r="E284" s="1" t="n">
        <v>46231</v>
      </c>
      <c r="F284" t="inlineStr">
        <is>
          <t>NORRBOTTENS LÄN</t>
        </is>
      </c>
      <c r="G284" t="inlineStr">
        <is>
          <t>ÖVERKALIX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28210-2026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46196</v>
      </c>
      <c r="E285" s="1" t="n">
        <v>46231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46231</v>
      </c>
      <c r="F286" t="inlineStr">
        <is>
          <t>NORRBOTTENS LÄN</t>
        </is>
      </c>
      <c r="G286" t="inlineStr">
        <is>
          <t>ÖVERKALIX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49756-2025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46231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46231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46198</v>
      </c>
      <c r="E289" s="1" t="n">
        <v>46231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46231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46231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46231</v>
      </c>
      <c r="F292" t="inlineStr">
        <is>
          <t>NORRBOTTENS LÄN</t>
        </is>
      </c>
      <c r="G292" t="inlineStr">
        <is>
          <t>ÖVERKALIX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46231</v>
      </c>
      <c r="F293" t="inlineStr">
        <is>
          <t>NORRBOTTENS LÄN</t>
        </is>
      </c>
      <c r="G293" t="inlineStr">
        <is>
          <t>ÖVERKALIX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26366-2024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45469</v>
      </c>
      <c r="E294" s="1" t="n">
        <v>46231</v>
      </c>
      <c r="F294" t="inlineStr">
        <is>
          <t>NORRBOTTENS LÄN</t>
        </is>
      </c>
      <c r="G294" t="inlineStr">
        <is>
          <t>ÖVERKALIX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22945-2026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46160</v>
      </c>
      <c r="E295" s="1" t="n">
        <v>46231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45404</v>
      </c>
      <c r="E296" s="1" t="n">
        <v>46231</v>
      </c>
      <c r="F296" t="inlineStr">
        <is>
          <t>NORRBOTTENS LÄN</t>
        </is>
      </c>
      <c r="G296" t="inlineStr">
        <is>
          <t>ÖVERKALIX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46231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46160</v>
      </c>
      <c r="E298" s="1" t="n">
        <v>46231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46231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46157</v>
      </c>
      <c r="E300" s="1" t="n">
        <v>46231</v>
      </c>
      <c r="F300" t="inlineStr">
        <is>
          <t>NORRBOTTENS LÄN</t>
        </is>
      </c>
      <c r="G300" t="inlineStr">
        <is>
          <t>ÖVERKALIX</t>
        </is>
      </c>
      <c r="I300" t="n">
        <v>10.6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46231</v>
      </c>
      <c r="F301" t="inlineStr">
        <is>
          <t>NORRBOTTENS LÄN</t>
        </is>
      </c>
      <c r="G301" t="inlineStr">
        <is>
          <t>ÖVERKALIX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45947</v>
      </c>
      <c r="E302" s="1" t="n">
        <v>46231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45947</v>
      </c>
      <c r="E303" s="1" t="n">
        <v>46231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45949</v>
      </c>
      <c r="E304" s="1" t="n">
        <v>46231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46231</v>
      </c>
      <c r="F305" t="inlineStr">
        <is>
          <t>NORRBOTTENS LÄN</t>
        </is>
      </c>
      <c r="G305" t="inlineStr">
        <is>
          <t>ÖVERKALIX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46162</v>
      </c>
      <c r="E306" s="1" t="n">
        <v>46231</v>
      </c>
      <c r="F306" t="inlineStr">
        <is>
          <t>NORRBOTTENS LÄN</t>
        </is>
      </c>
      <c r="G306" t="inlineStr">
        <is>
          <t>ÖVERKALIX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46231</v>
      </c>
      <c r="F307" t="inlineStr">
        <is>
          <t>NORRBOTTENS LÄN</t>
        </is>
      </c>
      <c r="G307" t="inlineStr">
        <is>
          <t>ÖVERKALIX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19531-2024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46231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45009</v>
      </c>
      <c r="E309" s="1" t="n">
        <v>46231</v>
      </c>
      <c r="F309" t="inlineStr">
        <is>
          <t>NORRBOTTENS LÄN</t>
        </is>
      </c>
      <c r="G309" t="inlineStr">
        <is>
          <t>ÖVERKALIX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51634-2025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45951</v>
      </c>
      <c r="E310" s="1" t="n">
        <v>46231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46231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17.6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45951</v>
      </c>
      <c r="E312" s="1" t="n">
        <v>46231</v>
      </c>
      <c r="F312" t="inlineStr">
        <is>
          <t>NORRBOTTENS LÄN</t>
        </is>
      </c>
      <c r="G312" t="inlineStr">
        <is>
          <t>ÖVERKALIX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33865-2023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45133</v>
      </c>
      <c r="E313" s="1" t="n">
        <v>46231</v>
      </c>
      <c r="F313" t="inlineStr">
        <is>
          <t>NORRBOTTENS LÄN</t>
        </is>
      </c>
      <c r="G313" t="inlineStr">
        <is>
          <t>ÖVERKALIX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45771</v>
      </c>
      <c r="E314" s="1" t="n">
        <v>46231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46231</v>
      </c>
      <c r="F315" t="inlineStr">
        <is>
          <t>NORRBOTTENS LÄN</t>
        </is>
      </c>
      <c r="G315" t="inlineStr">
        <is>
          <t>ÖVERKALIX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52591-2025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45954</v>
      </c>
      <c r="E316" s="1" t="n">
        <v>46231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29927-2026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46205</v>
      </c>
      <c r="E317" s="1" t="n">
        <v>46231</v>
      </c>
      <c r="F317" t="inlineStr">
        <is>
          <t>NORRBOTTENS LÄN</t>
        </is>
      </c>
      <c r="G317" t="inlineStr">
        <is>
          <t>ÖVERKALIX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46231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46231</v>
      </c>
      <c r="F319" t="inlineStr">
        <is>
          <t>NORRBOTTENS LÄN</t>
        </is>
      </c>
      <c r="G319" t="inlineStr">
        <is>
          <t>ÖVERKALIX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46231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30241-2026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46206</v>
      </c>
      <c r="E321" s="1" t="n">
        <v>46231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46231</v>
      </c>
      <c r="F322" t="inlineStr">
        <is>
          <t>NORRBOTTENS LÄN</t>
        </is>
      </c>
      <c r="G322" t="inlineStr">
        <is>
          <t>ÖVERKALIX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46231</v>
      </c>
      <c r="F323" t="inlineStr">
        <is>
          <t>NORRBOTTENS LÄN</t>
        </is>
      </c>
      <c r="G323" t="inlineStr">
        <is>
          <t>ÖVERKALIX</t>
        </is>
      </c>
      <c r="I323" t="n">
        <v>22.3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29937-2026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46205</v>
      </c>
      <c r="E324" s="1" t="n">
        <v>46231</v>
      </c>
      <c r="F324" t="inlineStr">
        <is>
          <t>NORRBOTTENS LÄN</t>
        </is>
      </c>
      <c r="G324" t="inlineStr">
        <is>
          <t>ÖVERKALIX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45070</v>
      </c>
      <c r="E325" s="1" t="n">
        <v>46231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45141</v>
      </c>
      <c r="E326" s="1" t="n">
        <v>46231</v>
      </c>
      <c r="F326" t="inlineStr">
        <is>
          <t>NORRBOTTENS LÄN</t>
        </is>
      </c>
      <c r="G326" t="inlineStr">
        <is>
          <t>ÖVERKALIX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46231</v>
      </c>
      <c r="F327" t="inlineStr">
        <is>
          <t>NORRBOTTENS LÄN</t>
        </is>
      </c>
      <c r="G327" t="inlineStr">
        <is>
          <t>ÖVERKALIX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46231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9.9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72364-2021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44543</v>
      </c>
      <c r="E329" s="1" t="n">
        <v>46231</v>
      </c>
      <c r="F329" t="inlineStr">
        <is>
          <t>NORRBOTTENS LÄN</t>
        </is>
      </c>
      <c r="G329" t="inlineStr">
        <is>
          <t>ÖVERKALIX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46164</v>
      </c>
      <c r="E330" s="1" t="n">
        <v>46231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53091-2025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46231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5653-2022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44595</v>
      </c>
      <c r="E332" s="1" t="n">
        <v>46231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45950</v>
      </c>
      <c r="E333" s="1" t="n">
        <v>46231</v>
      </c>
      <c r="F333" t="inlineStr">
        <is>
          <t>NORRBOTTENS LÄN</t>
        </is>
      </c>
      <c r="G333" t="inlineStr">
        <is>
          <t>ÖVERKALIX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46231</v>
      </c>
      <c r="F334" t="inlineStr">
        <is>
          <t>NORRBOTTENS LÄN</t>
        </is>
      </c>
      <c r="G334" t="inlineStr">
        <is>
          <t>ÖVERKALIX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46231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28372-2025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45818</v>
      </c>
      <c r="E336" s="1" t="n">
        <v>46231</v>
      </c>
      <c r="F336" t="inlineStr">
        <is>
          <t>NORRBOTTENS LÄN</t>
        </is>
      </c>
      <c r="G336" t="inlineStr">
        <is>
          <t>ÖVERKALIX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46231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46231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46231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14.2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30328-2026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46207</v>
      </c>
      <c r="E340" s="1" t="n">
        <v>46231</v>
      </c>
      <c r="F340" t="inlineStr">
        <is>
          <t>NORRBOTTENS LÄN</t>
        </is>
      </c>
      <c r="G340" t="inlineStr">
        <is>
          <t>ÖVERKALIX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23949-2026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46231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46231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30326-2026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46207</v>
      </c>
      <c r="E343" s="1" t="n">
        <v>46231</v>
      </c>
      <c r="F343" t="inlineStr">
        <is>
          <t>NORRBOTTENS LÄN</t>
        </is>
      </c>
      <c r="G343" t="inlineStr">
        <is>
          <t>ÖVERKALIX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46231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32477-2024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45513</v>
      </c>
      <c r="E345" s="1" t="n">
        <v>46231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30327-2026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46207</v>
      </c>
      <c r="E346" s="1" t="n">
        <v>46231</v>
      </c>
      <c r="F346" t="inlineStr">
        <is>
          <t>NORRBOTTENS LÄN</t>
        </is>
      </c>
      <c r="G346" t="inlineStr">
        <is>
          <t>ÖVERKALIX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45622</v>
      </c>
      <c r="E347" s="1" t="n">
        <v>46231</v>
      </c>
      <c r="F347" t="inlineStr">
        <is>
          <t>NORRBOTTENS LÄN</t>
        </is>
      </c>
      <c r="G347" t="inlineStr">
        <is>
          <t>ÖVERKALIX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46231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30329-2026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46207</v>
      </c>
      <c r="E349" s="1" t="n">
        <v>46231</v>
      </c>
      <c r="F349" t="inlineStr">
        <is>
          <t>NORRBOTTENS LÄN</t>
        </is>
      </c>
      <c r="G349" t="inlineStr">
        <is>
          <t>ÖVERKALIX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46231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18.6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46231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44603</v>
      </c>
      <c r="E352" s="1" t="n">
        <v>46231</v>
      </c>
      <c r="F352" t="inlineStr">
        <is>
          <t>NORRBOTTENS LÄN</t>
        </is>
      </c>
      <c r="G352" t="inlineStr">
        <is>
          <t>ÖVERKALIX</t>
        </is>
      </c>
      <c r="H352" t="inlineStr">
        <is>
          <t>Övriga statliga verk och myndigheter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46231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46170</v>
      </c>
      <c r="E354" s="1" t="n">
        <v>46231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46231</v>
      </c>
      <c r="F355" t="inlineStr">
        <is>
          <t>NORRBOTTENS LÄN</t>
        </is>
      </c>
      <c r="G355" t="inlineStr">
        <is>
          <t>ÖVERKALIX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45677</v>
      </c>
      <c r="E356" s="1" t="n">
        <v>46231</v>
      </c>
      <c r="F356" t="inlineStr">
        <is>
          <t>NORRBOTTENS LÄN</t>
        </is>
      </c>
      <c r="G356" t="inlineStr">
        <is>
          <t>ÖVERKALIX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46231</v>
      </c>
      <c r="F357" t="inlineStr">
        <is>
          <t>NORRBOTTENS LÄN</t>
        </is>
      </c>
      <c r="G357" t="inlineStr">
        <is>
          <t>ÖVERKALIX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25180-2026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46231</v>
      </c>
      <c r="F358" t="inlineStr">
        <is>
          <t>NORRBOTTENS LÄN</t>
        </is>
      </c>
      <c r="G358" t="inlineStr">
        <is>
          <t>ÖVERKALIX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45189</v>
      </c>
      <c r="E359" s="1" t="n">
        <v>46231</v>
      </c>
      <c r="F359" t="inlineStr">
        <is>
          <t>NORRBOTTENS LÄN</t>
        </is>
      </c>
      <c r="G359" t="inlineStr">
        <is>
          <t>ÖVERKALIX</t>
        </is>
      </c>
      <c r="I359" t="n">
        <v>8.6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45097</v>
      </c>
      <c r="E360" s="1" t="n">
        <v>46231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45967</v>
      </c>
      <c r="E361" s="1" t="n">
        <v>46231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46177</v>
      </c>
      <c r="E362" s="1" t="n">
        <v>46231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46177</v>
      </c>
      <c r="E363" s="1" t="n">
        <v>46231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45748-2023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45189</v>
      </c>
      <c r="E364" s="1" t="n">
        <v>46231</v>
      </c>
      <c r="F364" t="inlineStr">
        <is>
          <t>NORRBOTTENS LÄN</t>
        </is>
      </c>
      <c r="G364" t="inlineStr">
        <is>
          <t>ÖVERKALIX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45622</v>
      </c>
      <c r="E365" s="1" t="n">
        <v>46231</v>
      </c>
      <c r="F365" t="inlineStr">
        <is>
          <t>NORRBOTTENS LÄN</t>
        </is>
      </c>
      <c r="G365" t="inlineStr">
        <is>
          <t>ÖVERKALIX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45622</v>
      </c>
      <c r="E366" s="1" t="n">
        <v>46231</v>
      </c>
      <c r="F366" t="inlineStr">
        <is>
          <t>NORRBOTTENS LÄN</t>
        </is>
      </c>
      <c r="G366" t="inlineStr">
        <is>
          <t>ÖVERKALIX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46231</v>
      </c>
      <c r="F367" t="inlineStr">
        <is>
          <t>NORRBOTTENS LÄN</t>
        </is>
      </c>
      <c r="G367" t="inlineStr">
        <is>
          <t>ÖVERKALIX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46231</v>
      </c>
      <c r="F368" t="inlineStr">
        <is>
          <t>NORRBOTTENS LÄN</t>
        </is>
      </c>
      <c r="G368" t="inlineStr">
        <is>
          <t>ÖVERKALIX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45621</v>
      </c>
      <c r="E369" s="1" t="n">
        <v>46231</v>
      </c>
      <c r="F369" t="inlineStr">
        <is>
          <t>NORRBOTTENS LÄN</t>
        </is>
      </c>
      <c r="G369" t="inlineStr">
        <is>
          <t>ÖVERKALIX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41830-2024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45561</v>
      </c>
      <c r="E370" s="1" t="n">
        <v>46231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45709</v>
      </c>
      <c r="E371" s="1" t="n">
        <v>46231</v>
      </c>
      <c r="F371" t="inlineStr">
        <is>
          <t>NORRBOTTENS LÄN</t>
        </is>
      </c>
      <c r="G371" t="inlineStr">
        <is>
          <t>ÖVERKALIX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46231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46231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46231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46231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8.5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46231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13.8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46231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46225</v>
      </c>
      <c r="E378" s="1" t="n">
        <v>46231</v>
      </c>
      <c r="F378" t="inlineStr">
        <is>
          <t>NORRBOTTENS LÄN</t>
        </is>
      </c>
      <c r="G378" t="inlineStr">
        <is>
          <t>ÖVERKALIX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46231</v>
      </c>
      <c r="F379" t="inlineStr">
        <is>
          <t>NORRBOTTENS LÄN</t>
        </is>
      </c>
      <c r="G379" t="inlineStr">
        <is>
          <t>ÖVERKALIX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58764-2023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45251</v>
      </c>
      <c r="E380" s="1" t="n">
        <v>46231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57744-2025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45981</v>
      </c>
      <c r="E381" s="1" t="n">
        <v>46231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25506-2024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45463</v>
      </c>
      <c r="E382" s="1" t="n">
        <v>46231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46231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46231</v>
      </c>
      <c r="F384" t="inlineStr">
        <is>
          <t>NORRBOTTENS LÄN</t>
        </is>
      </c>
      <c r="G384" t="inlineStr">
        <is>
          <t>ÖVERKALIX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31832-2026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46231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46187</v>
      </c>
      <c r="E386" s="1" t="n">
        <v>46231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58641-2025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45986</v>
      </c>
      <c r="E387" s="1" t="n">
        <v>46231</v>
      </c>
      <c r="F387" t="inlineStr">
        <is>
          <t>NORRBOTTENS LÄN</t>
        </is>
      </c>
      <c r="G387" t="inlineStr">
        <is>
          <t>ÖVERKALIX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58646-2025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45986</v>
      </c>
      <c r="E388" s="1" t="n">
        <v>46231</v>
      </c>
      <c r="F388" t="inlineStr">
        <is>
          <t>NORRBOTTENS LÄN</t>
        </is>
      </c>
      <c r="G388" t="inlineStr">
        <is>
          <t>ÖVERKALIX</t>
        </is>
      </c>
      <c r="I388" t="n">
        <v>16.1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42721-2023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45181</v>
      </c>
      <c r="E389" s="1" t="n">
        <v>46231</v>
      </c>
      <c r="F389" t="inlineStr">
        <is>
          <t>NORRBOTTENS LÄN</t>
        </is>
      </c>
      <c r="G389" t="inlineStr">
        <is>
          <t>ÖVERKALIX</t>
        </is>
      </c>
      <c r="I389" t="n">
        <v>13.1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46231</v>
      </c>
      <c r="F390" t="inlineStr">
        <is>
          <t>NORRBOTTENS LÄN</t>
        </is>
      </c>
      <c r="G390" t="inlineStr">
        <is>
          <t>ÖVERKALIX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64524-2023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45281</v>
      </c>
      <c r="E391" s="1" t="n">
        <v>46231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59829-2025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46231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44820</v>
      </c>
      <c r="E393" s="1" t="n">
        <v>46231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40619-2022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44823</v>
      </c>
      <c r="E394" s="1" t="n">
        <v>46231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45994</v>
      </c>
      <c r="E395" s="1" t="n">
        <v>46231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45994</v>
      </c>
      <c r="E396" s="1" t="n">
        <v>46231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45993</v>
      </c>
      <c r="E397" s="1" t="n">
        <v>46231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60215-2025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45994</v>
      </c>
      <c r="E398" s="1" t="n">
        <v>46231</v>
      </c>
      <c r="F398" t="inlineStr">
        <is>
          <t>NORRBOTTENS LÄN</t>
        </is>
      </c>
      <c r="G398" t="inlineStr">
        <is>
          <t>ÖVERKALIX</t>
        </is>
      </c>
      <c r="I398" t="n">
        <v>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45996</v>
      </c>
      <c r="E399" s="1" t="n">
        <v>46231</v>
      </c>
      <c r="F399" t="inlineStr">
        <is>
          <t>NORRBOTTENS LÄN</t>
        </is>
      </c>
      <c r="G399" t="inlineStr">
        <is>
          <t>ÖVERKALIX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60815-2025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46231</v>
      </c>
      <c r="F400" t="inlineStr">
        <is>
          <t>NORRBOTTENS LÄN</t>
        </is>
      </c>
      <c r="G400" t="inlineStr">
        <is>
          <t>ÖVERKALIX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60834-2025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46231</v>
      </c>
      <c r="F401" t="inlineStr">
        <is>
          <t>NORRBOTTENS LÄN</t>
        </is>
      </c>
      <c r="G401" t="inlineStr">
        <is>
          <t>ÖVERKALIX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46231</v>
      </c>
      <c r="F402" t="inlineStr">
        <is>
          <t>NORRBOTTENS LÄN</t>
        </is>
      </c>
      <c r="G402" t="inlineStr">
        <is>
          <t>ÖVERKALIX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46231</v>
      </c>
      <c r="F403" t="inlineStr">
        <is>
          <t>NORRBOTTENS LÄN</t>
        </is>
      </c>
      <c r="G403" t="inlineStr">
        <is>
          <t>ÖVERKALIX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60809-2025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46231</v>
      </c>
      <c r="F404" t="inlineStr">
        <is>
          <t>NORRBOTTENS LÄN</t>
        </is>
      </c>
      <c r="G404" t="inlineStr">
        <is>
          <t>ÖVERKALIX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46001</v>
      </c>
      <c r="E405" s="1" t="n">
        <v>46231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46002</v>
      </c>
      <c r="E406" s="1" t="n">
        <v>46231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26554-2023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45092</v>
      </c>
      <c r="E407" s="1" t="n">
        <v>46231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26450-2025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45807</v>
      </c>
      <c r="E408" s="1" t="n">
        <v>46231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44575</v>
      </c>
      <c r="E409" s="1" t="n">
        <v>46231</v>
      </c>
      <c r="F409" t="inlineStr">
        <is>
          <t>NORRBOTTENS LÄN</t>
        </is>
      </c>
      <c r="G409" t="inlineStr">
        <is>
          <t>ÖVERKALIX</t>
        </is>
      </c>
      <c r="I409" t="n">
        <v>10.4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45693</v>
      </c>
      <c r="E410" s="1" t="n">
        <v>46231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45631</v>
      </c>
      <c r="E411" s="1" t="n">
        <v>46231</v>
      </c>
      <c r="F411" t="inlineStr">
        <is>
          <t>NORRBOTTENS LÄN</t>
        </is>
      </c>
      <c r="G411" t="inlineStr">
        <is>
          <t>ÖVERKALIX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38975-2024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45548</v>
      </c>
      <c r="E412" s="1" t="n">
        <v>46231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63242-2025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46231</v>
      </c>
      <c r="F413" t="inlineStr">
        <is>
          <t>NORRBOTTENS LÄN</t>
        </is>
      </c>
      <c r="G413" t="inlineStr">
        <is>
          <t>ÖVERKALIX</t>
        </is>
      </c>
      <c r="I413" t="n">
        <v>9.5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46231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63023-2025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46231</v>
      </c>
      <c r="F415" t="inlineStr">
        <is>
          <t>NORRBOTTENS LÄN</t>
        </is>
      </c>
      <c r="G415" t="inlineStr">
        <is>
          <t>ÖVERKALIX</t>
        </is>
      </c>
      <c r="I415" t="n">
        <v>9.800000000000001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54026-2023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46231</v>
      </c>
      <c r="F416" t="inlineStr">
        <is>
          <t>NORRBOTTENS LÄN</t>
        </is>
      </c>
      <c r="G416" t="inlineStr">
        <is>
          <t>ÖVERKALIX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46013</v>
      </c>
      <c r="E417" s="1" t="n">
        <v>46231</v>
      </c>
      <c r="F417" t="inlineStr">
        <is>
          <t>NORRBOTTENS LÄN</t>
        </is>
      </c>
      <c r="G417" t="inlineStr">
        <is>
          <t>ÖVERKALIX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46231</v>
      </c>
      <c r="F418" t="inlineStr">
        <is>
          <t>NORRBOTTENS LÄN</t>
        </is>
      </c>
      <c r="G418" t="inlineStr">
        <is>
          <t>ÖVERKALIX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72212-2021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44543</v>
      </c>
      <c r="E419" s="1" t="n">
        <v>46231</v>
      </c>
      <c r="F419" t="inlineStr">
        <is>
          <t>NORRBOTTENS LÄN</t>
        </is>
      </c>
      <c r="G419" t="inlineStr">
        <is>
          <t>ÖVERKALIX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63545-2025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46231</v>
      </c>
      <c r="F420" t="inlineStr">
        <is>
          <t>NORRBOTTENS LÄN</t>
        </is>
      </c>
      <c r="G420" t="inlineStr">
        <is>
          <t>ÖVERKALIX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27054-2024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46231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27057-2024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45471</v>
      </c>
      <c r="E422" s="1" t="n">
        <v>46231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32.6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44880</v>
      </c>
      <c r="E423" s="1" t="n">
        <v>46231</v>
      </c>
      <c r="F423" t="inlineStr">
        <is>
          <t>NORRBOTTENS LÄN</t>
        </is>
      </c>
      <c r="G423" t="inlineStr">
        <is>
          <t>ÖVERKALIX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42407-2022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44830</v>
      </c>
      <c r="E424" s="1" t="n">
        <v>46231</v>
      </c>
      <c r="F424" t="inlineStr">
        <is>
          <t>NORRBOTTENS LÄN</t>
        </is>
      </c>
      <c r="G424" t="inlineStr">
        <is>
          <t>ÖVERKALIX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44960</v>
      </c>
      <c r="E425" s="1" t="n">
        <v>46231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46231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40329-2023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46231</v>
      </c>
      <c r="F427" t="inlineStr">
        <is>
          <t>NORRBOTTENS LÄN</t>
        </is>
      </c>
      <c r="G427" t="inlineStr">
        <is>
          <t>ÖVERKALIX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45308</v>
      </c>
      <c r="E428" s="1" t="n">
        <v>46231</v>
      </c>
      <c r="F428" t="inlineStr">
        <is>
          <t>NORRBOTTENS LÄN</t>
        </is>
      </c>
      <c r="G428" t="inlineStr">
        <is>
          <t>ÖVERKALIX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45308</v>
      </c>
      <c r="E429" s="1" t="n">
        <v>46231</v>
      </c>
      <c r="F429" t="inlineStr">
        <is>
          <t>NORRBOTTENS LÄN</t>
        </is>
      </c>
      <c r="G429" t="inlineStr">
        <is>
          <t>ÖVERKALIX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9849-2024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45363</v>
      </c>
      <c r="E430" s="1" t="n">
        <v>46231</v>
      </c>
      <c r="F430" t="inlineStr">
        <is>
          <t>NORRBOTTENS LÄN</t>
        </is>
      </c>
      <c r="G430" t="inlineStr">
        <is>
          <t>ÖVERKALIX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51058-2024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46231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43314-2022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44834</v>
      </c>
      <c r="E432" s="1" t="n">
        <v>46231</v>
      </c>
      <c r="F432" t="inlineStr">
        <is>
          <t>NORRBOTTENS LÄN</t>
        </is>
      </c>
      <c r="G432" t="inlineStr">
        <is>
          <t>ÖVERKALIX</t>
        </is>
      </c>
      <c r="I432" t="n">
        <v>13.1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30881-2024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45498</v>
      </c>
      <c r="E433" s="1" t="n">
        <v>46231</v>
      </c>
      <c r="F433" t="inlineStr">
        <is>
          <t>NORRBOTTENS LÄN</t>
        </is>
      </c>
      <c r="G433" t="inlineStr">
        <is>
          <t>ÖVERKALIX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44930</v>
      </c>
      <c r="E434" s="1" t="n">
        <v>46231</v>
      </c>
      <c r="F434" t="inlineStr">
        <is>
          <t>NORRBOTTENS LÄN</t>
        </is>
      </c>
      <c r="G434" t="inlineStr">
        <is>
          <t>ÖVERKALIX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62269-2021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44502</v>
      </c>
      <c r="E435" s="1" t="n">
        <v>46231</v>
      </c>
      <c r="F435" t="inlineStr">
        <is>
          <t>NORRBOTTENS LÄN</t>
        </is>
      </c>
      <c r="G435" t="inlineStr">
        <is>
          <t>ÖVERKALIX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45005</v>
      </c>
      <c r="E436" s="1" t="n">
        <v>46231</v>
      </c>
      <c r="F436" t="inlineStr">
        <is>
          <t>NORRBOTTENS LÄN</t>
        </is>
      </c>
      <c r="G436" t="inlineStr">
        <is>
          <t>ÖVERKALIX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46231</v>
      </c>
      <c r="F437" t="inlineStr">
        <is>
          <t>NORRBOTTENS LÄN</t>
        </is>
      </c>
      <c r="G437" t="inlineStr">
        <is>
          <t>ÖVERKALIX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59832-2024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45639</v>
      </c>
      <c r="E438" s="1" t="n">
        <v>46231</v>
      </c>
      <c r="F438" t="inlineStr">
        <is>
          <t>NORRBOTTENS LÄN</t>
        </is>
      </c>
      <c r="G438" t="inlineStr">
        <is>
          <t>ÖVERKALIX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44601</v>
      </c>
      <c r="E439" s="1" t="n">
        <v>46231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49091-2024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45594</v>
      </c>
      <c r="E440" s="1" t="n">
        <v>46231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44973</v>
      </c>
      <c r="E441" s="1" t="n">
        <v>46231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36797-2023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45154</v>
      </c>
      <c r="E442" s="1" t="n">
        <v>46231</v>
      </c>
      <c r="F442" t="inlineStr">
        <is>
          <t>NORRBOTTENS LÄN</t>
        </is>
      </c>
      <c r="G442" t="inlineStr">
        <is>
          <t>ÖVERKALIX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45692</v>
      </c>
      <c r="E443" s="1" t="n">
        <v>46231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32616-2024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45513</v>
      </c>
      <c r="E444" s="1" t="n">
        <v>46231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60400-2022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44910</v>
      </c>
      <c r="E445" s="1" t="n">
        <v>46231</v>
      </c>
      <c r="F445" t="inlineStr">
        <is>
          <t>NORRBOTTENS LÄN</t>
        </is>
      </c>
      <c r="G445" t="inlineStr">
        <is>
          <t>ÖVERKALIX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59911-2024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45641</v>
      </c>
      <c r="E446" s="1" t="n">
        <v>46231</v>
      </c>
      <c r="F446" t="inlineStr">
        <is>
          <t>NORRBOTTENS LÄN</t>
        </is>
      </c>
      <c r="G446" t="inlineStr">
        <is>
          <t>ÖVERKALIX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38088-2023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45160</v>
      </c>
      <c r="E447" s="1" t="n">
        <v>46231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45621</v>
      </c>
      <c r="E448" s="1" t="n">
        <v>46231</v>
      </c>
      <c r="F448" t="inlineStr">
        <is>
          <t>NORRBOTTENS LÄN</t>
        </is>
      </c>
      <c r="G448" t="inlineStr">
        <is>
          <t>ÖVERKALIX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48561-2024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45593</v>
      </c>
      <c r="E449" s="1" t="n">
        <v>46231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50862-2023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45218</v>
      </c>
      <c r="E450" s="1" t="n">
        <v>46231</v>
      </c>
      <c r="F450" t="inlineStr">
        <is>
          <t>NORRBOTTENS LÄN</t>
        </is>
      </c>
      <c r="G450" t="inlineStr">
        <is>
          <t>ÖVERKALIX</t>
        </is>
      </c>
      <c r="I450" t="n">
        <v>8.199999999999999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46231</v>
      </c>
      <c r="F451" t="inlineStr">
        <is>
          <t>NORRBOTTENS LÄN</t>
        </is>
      </c>
      <c r="G451" t="inlineStr">
        <is>
          <t>ÖVERKALIX</t>
        </is>
      </c>
      <c r="I451" t="n">
        <v>8.6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45180</v>
      </c>
      <c r="E452" s="1" t="n">
        <v>46231</v>
      </c>
      <c r="F452" t="inlineStr">
        <is>
          <t>NORRBOTTENS LÄN</t>
        </is>
      </c>
      <c r="G452" t="inlineStr">
        <is>
          <t>ÖVERKALIX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45315</v>
      </c>
      <c r="E453" s="1" t="n">
        <v>46231</v>
      </c>
      <c r="F453" t="inlineStr">
        <is>
          <t>NORRBOTTENS LÄN</t>
        </is>
      </c>
      <c r="G453" t="inlineStr">
        <is>
          <t>ÖVERKALIX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45321</v>
      </c>
      <c r="E454" s="1" t="n">
        <v>46231</v>
      </c>
      <c r="F454" t="inlineStr">
        <is>
          <t>NORRBOTTENS LÄN</t>
        </is>
      </c>
      <c r="G454" t="inlineStr">
        <is>
          <t>ÖVERKALIX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45610</v>
      </c>
      <c r="E455" s="1" t="n">
        <v>46231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45667</v>
      </c>
      <c r="E456" s="1" t="n">
        <v>46231</v>
      </c>
      <c r="F456" t="inlineStr">
        <is>
          <t>NORRBOTTENS LÄN</t>
        </is>
      </c>
      <c r="G456" t="inlineStr">
        <is>
          <t>ÖVERKALIX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45463</v>
      </c>
      <c r="E457" s="1" t="n">
        <v>46231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46231</v>
      </c>
      <c r="F458" t="inlineStr">
        <is>
          <t>NORRBOTTENS LÄN</t>
        </is>
      </c>
      <c r="G458" t="inlineStr">
        <is>
          <t>ÖVERKALIX</t>
        </is>
      </c>
      <c r="I458" t="n">
        <v>9.4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40155-2024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45554</v>
      </c>
      <c r="E459" s="1" t="n">
        <v>46231</v>
      </c>
      <c r="F459" t="inlineStr">
        <is>
          <t>NORRBOTTENS LÄN</t>
        </is>
      </c>
      <c r="G459" t="inlineStr">
        <is>
          <t>ÖVERKALIX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45548</v>
      </c>
      <c r="E460" s="1" t="n">
        <v>46231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21520-2025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45782</v>
      </c>
      <c r="E461" s="1" t="n">
        <v>46231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39974-2021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44417</v>
      </c>
      <c r="E462" s="1" t="n">
        <v>46231</v>
      </c>
      <c r="F462" t="inlineStr">
        <is>
          <t>NORRBOTTENS LÄN</t>
        </is>
      </c>
      <c r="G462" t="inlineStr">
        <is>
          <t>ÖVERKALIX</t>
        </is>
      </c>
      <c r="I462" t="n">
        <v>21.6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45785</v>
      </c>
      <c r="E463" s="1" t="n">
        <v>46231</v>
      </c>
      <c r="F463" t="inlineStr">
        <is>
          <t>NORRBOTTENS LÄN</t>
        </is>
      </c>
      <c r="G463" t="inlineStr">
        <is>
          <t>ÖVERKALIX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46231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45796</v>
      </c>
      <c r="E465" s="1" t="n">
        <v>46231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45796</v>
      </c>
      <c r="E466" s="1" t="n">
        <v>46231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23867-2025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45793</v>
      </c>
      <c r="E467" s="1" t="n">
        <v>46231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45793</v>
      </c>
      <c r="E468" s="1" t="n">
        <v>46231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3721-2022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44741</v>
      </c>
      <c r="E469" s="1" t="n">
        <v>46231</v>
      </c>
      <c r="F469" t="inlineStr">
        <is>
          <t>NORRBOTTENS LÄN</t>
        </is>
      </c>
      <c r="G469" t="inlineStr">
        <is>
          <t>ÖVERKALIX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2792-2024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45485</v>
      </c>
      <c r="E470" s="1" t="n">
        <v>46231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2700-2024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45482</v>
      </c>
      <c r="E471" s="1" t="n">
        <v>46231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4734-2024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45607</v>
      </c>
      <c r="E472" s="1" t="n">
        <v>46231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1178-2025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45756</v>
      </c>
      <c r="E473" s="1" t="n">
        <v>46231</v>
      </c>
      <c r="F473" t="inlineStr">
        <is>
          <t>NORRBOTTENS LÄN</t>
        </is>
      </c>
      <c r="G473" t="inlineStr">
        <is>
          <t>ÖVERKALIX</t>
        </is>
      </c>
      <c r="I473" t="n">
        <v>39.9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1667-2025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45800</v>
      </c>
      <c r="E474" s="1" t="n">
        <v>46231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50-2026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46030</v>
      </c>
      <c r="E475" s="1" t="n">
        <v>46231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9.800000000000001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2026-07-28T01:47:46Z</dcterms:created>
  <dcterms:modified xmlns:dcterms="http://purl.org/dc/terms/" xmlns:xsi="http://www.w3.org/2001/XMLSchema-instance" xsi:type="dcterms:W3CDTF">2026-07-28T01:47:46Z</dcterms:modified>
</cp:coreProperties>
</file>