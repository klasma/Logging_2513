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46320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46320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46320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46320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46320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46320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46320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46320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46320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46320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46320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46320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46320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46320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46320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46320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46320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46320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46320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25544-2026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46320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Tallgråticka
Blå taggsvamp
Skarp dropptaggsvamp</t>
        </is>
      </c>
      <c r="W21">
        <f>HYPERLINK("https://klasma.github.io/Logging_2513/artfynd/A 25544-2026 artfynd.xlsx", "A 25544-2026")</f>
        <v/>
      </c>
      <c r="X21">
        <f>HYPERLINK("https://klasma.github.io/Logging_2513/kartor/A 25544-2026 karta.png", "A 25544-2026")</f>
        <v/>
      </c>
      <c r="Y21">
        <f>HYPERLINK("https://klasma.github.io/Logging_2513/kartor_geotiff/A 25544-2026 georefererad karta.tif", "A 25544-2026")</f>
        <v/>
      </c>
      <c r="AA21">
        <f>HYPERLINK("https://klasma.github.io/Logging_2513/klagomål/A 25544-2026 FSC-klagomål.docx", "A 25544-2026")</f>
        <v/>
      </c>
      <c r="AB21">
        <f>HYPERLINK("https://klasma.github.io/Logging_2513/klagomålsmail/A 25544-2026 FSC-klagomål mail.docx", "A 25544-2026")</f>
        <v/>
      </c>
      <c r="AC21">
        <f>HYPERLINK("https://klasma.github.io/Logging_2513/tillsyn/A 25544-2026 tillsynsbegäran.docx", "A 25544-2026")</f>
        <v/>
      </c>
      <c r="AD21">
        <f>HYPERLINK("https://klasma.github.io/Logging_2513/tillsynsmail/A 25544-2026 tillsynsbegäran mail.docx", "A 25544-2026")</f>
        <v/>
      </c>
    </row>
    <row r="22" ht="15" customHeight="1">
      <c r="A22" t="inlineStr">
        <is>
          <t>A 25551-2026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46320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3.9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Goliatmusseron
Blå taggsvamp
Orange taggsvamp</t>
        </is>
      </c>
      <c r="W22">
        <f>HYPERLINK("https://klasma.github.io/Logging_2513/artfynd/A 25551-2026 artfynd.xlsx", "A 25551-2026")</f>
        <v/>
      </c>
      <c r="X22">
        <f>HYPERLINK("https://klasma.github.io/Logging_2513/kartor/A 25551-2026 karta.png", "A 25551-2026")</f>
        <v/>
      </c>
      <c r="Y22">
        <f>HYPERLINK("https://klasma.github.io/Logging_2513/kartor_geotiff/A 25551-2026 georefererad karta.tif", "A 25551-2026")</f>
        <v/>
      </c>
      <c r="AA22">
        <f>HYPERLINK("https://klasma.github.io/Logging_2513/klagomål/A 25551-2026 FSC-klagomål.docx", "A 25551-2026")</f>
        <v/>
      </c>
      <c r="AB22">
        <f>HYPERLINK("https://klasma.github.io/Logging_2513/klagomålsmail/A 25551-2026 FSC-klagomål mail.docx", "A 25551-2026")</f>
        <v/>
      </c>
      <c r="AC22">
        <f>HYPERLINK("https://klasma.github.io/Logging_2513/tillsyn/A 25551-2026 tillsynsbegäran.docx", "A 25551-2026")</f>
        <v/>
      </c>
      <c r="AD22">
        <f>HYPERLINK("https://klasma.github.io/Logging_2513/tillsynsmail/A 25551-2026 tillsynsbegäran mail.docx", "A 25551-2026")</f>
        <v/>
      </c>
    </row>
    <row r="23" ht="15" customHeight="1">
      <c r="A23" t="inlineStr">
        <is>
          <t>A 13467-2022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44645</v>
      </c>
      <c r="E23" s="1" t="n">
        <v>46320</v>
      </c>
      <c r="F23" t="inlineStr">
        <is>
          <t>NORRBOTTENS LÄN</t>
        </is>
      </c>
      <c r="G23" t="inlineStr">
        <is>
          <t>ÖVERKALIX</t>
        </is>
      </c>
      <c r="I23" t="n">
        <v>6.8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Jorduggla
Järpe
Revlummer</t>
        </is>
      </c>
      <c r="W23">
        <f>HYPERLINK("https://klasma.github.io/Logging_2513/artfynd/A 13467-2022 artfynd.xlsx", "A 13467-2022")</f>
        <v/>
      </c>
      <c r="X23">
        <f>HYPERLINK("https://klasma.github.io/Logging_2513/kartor/A 13467-2022 karta.png", "A 13467-2022")</f>
        <v/>
      </c>
      <c r="Y23">
        <f>HYPERLINK("https://klasma.github.io/Logging_2513/kartor_geotiff/A 13467-2022 georefererad karta.tif", "A 13467-2022")</f>
        <v/>
      </c>
      <c r="AA23">
        <f>HYPERLINK("https://klasma.github.io/Logging_2513/klagomål/A 13467-2022 FSC-klagomål.docx", "A 13467-2022")</f>
        <v/>
      </c>
      <c r="AB23">
        <f>HYPERLINK("https://klasma.github.io/Logging_2513/klagomålsmail/A 13467-2022 FSC-klagomål mail.docx", "A 13467-2022")</f>
        <v/>
      </c>
      <c r="AC23">
        <f>HYPERLINK("https://klasma.github.io/Logging_2513/tillsyn/A 13467-2022 tillsynsbegäran.docx", "A 13467-2022")</f>
        <v/>
      </c>
      <c r="AD23">
        <f>HYPERLINK("https://klasma.github.io/Logging_2513/tillsynsmail/A 13467-2022 tillsynsbegäran mail.docx", "A 13467-2022")</f>
        <v/>
      </c>
      <c r="AE23">
        <f>HYPERLINK("https://klasma.github.io/Logging_2513/fåglar/A 13467-2022 prioriterade fågelarter.docx", "A 13467-2022")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46320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t="n">
        <v>2</v>
      </c>
      <c r="V24" s="2" t="inlineStr">
        <is>
          <t>Garnlav
Lunglav
Fläcknycklar</t>
        </is>
      </c>
      <c r="W24">
        <f>HYPERLINK("https://klasma.github.io/Logging_2513/artfynd/A 28998-2026 artfynd.xlsx", "A 28998-2026")</f>
        <v/>
      </c>
      <c r="X24">
        <f>HYPERLINK("https://klasma.github.io/Logging_2513/kartor/A 28998-2026 karta.png", "A 28998-2026")</f>
        <v/>
      </c>
      <c r="Y24">
        <f>HYPERLINK("https://klasma.github.io/Logging_2513/kartor_geotiff/A 28998-2026 georefererad karta.tif", "A 28998-2026")</f>
        <v/>
      </c>
      <c r="AA24">
        <f>HYPERLINK("https://klasma.github.io/Logging_2513/klagomål/A 28998-2026 FSC-klagomål.docx", "A 28998-2026")</f>
        <v/>
      </c>
      <c r="AB24">
        <f>HYPERLINK("https://klasma.github.io/Logging_2513/klagomålsmail/A 28998-2026 FSC-klagomål mail.docx", "A 28998-2026")</f>
        <v/>
      </c>
      <c r="AC24">
        <f>HYPERLINK("https://klasma.github.io/Logging_2513/tillsyn/A 28998-2026 tillsynsbegäran.docx", "A 28998-2026")</f>
        <v/>
      </c>
      <c r="AD24">
        <f>HYPERLINK("https://klasma.github.io/Logging_2513/tillsynsmail/A 28998-2026 tillsynsbegäran mail.docx", "A 28998-2026")</f>
        <v/>
      </c>
    </row>
    <row r="25" ht="15" customHeight="1">
      <c r="A25" t="inlineStr">
        <is>
          <t>A 30525-2025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45831</v>
      </c>
      <c r="E25" s="1" t="n">
        <v>46320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5.3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Gammelgransskål
Bollvitmossa
Järpe</t>
        </is>
      </c>
      <c r="W25">
        <f>HYPERLINK("https://klasma.github.io/Logging_2513/artfynd/A 30525-2025 artfynd.xlsx", "A 30525-2025")</f>
        <v/>
      </c>
      <c r="X25">
        <f>HYPERLINK("https://klasma.github.io/Logging_2513/kartor/A 30525-2025 karta.png", "A 30525-2025")</f>
        <v/>
      </c>
      <c r="Y25">
        <f>HYPERLINK("https://klasma.github.io/Logging_2513/kartor_geotiff/A 30525-2025 georefererad karta.tif", "A 30525-2025")</f>
        <v/>
      </c>
      <c r="AA25">
        <f>HYPERLINK("https://klasma.github.io/Logging_2513/klagomål/A 30525-2025 FSC-klagomål.docx", "A 30525-2025")</f>
        <v/>
      </c>
      <c r="AB25">
        <f>HYPERLINK("https://klasma.github.io/Logging_2513/klagomålsmail/A 30525-2025 FSC-klagomål mail.docx", "A 30525-2025")</f>
        <v/>
      </c>
      <c r="AC25">
        <f>HYPERLINK("https://klasma.github.io/Logging_2513/tillsyn/A 30525-2025 tillsynsbegäran.docx", "A 30525-2025")</f>
        <v/>
      </c>
      <c r="AD25">
        <f>HYPERLINK("https://klasma.github.io/Logging_2513/tillsynsmail/A 30525-2025 tillsynsbegäran mail.docx", "A 30525-2025")</f>
        <v/>
      </c>
      <c r="AE25">
        <f>HYPERLINK("https://klasma.github.io/Logging_2513/fåglar/A 30525-2025 prioriterade fågelarter.docx", "A 30525-2025")</f>
        <v/>
      </c>
    </row>
    <row r="26" ht="15" customHeight="1">
      <c r="A26" t="inlineStr">
        <is>
          <t>A 34842-2026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46258</v>
      </c>
      <c r="E26" s="1" t="n">
        <v>46320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12.1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Dropptaggsvamp
Talltaggsvamp
Plattlummer</t>
        </is>
      </c>
      <c r="W26">
        <f>HYPERLINK("https://klasma.github.io/Logging_2513/artfynd/A 34842-2026 artfynd.xlsx", "A 34842-2026")</f>
        <v/>
      </c>
      <c r="X26">
        <f>HYPERLINK("https://klasma.github.io/Logging_2513/kartor/A 34842-2026 karta.png", "A 34842-2026")</f>
        <v/>
      </c>
      <c r="Y26">
        <f>HYPERLINK("https://klasma.github.io/Logging_2513/kartor_geotiff/A 34842-2026 georefererad karta.tif", "A 34842-2026")</f>
        <v/>
      </c>
      <c r="AA26">
        <f>HYPERLINK("https://klasma.github.io/Logging_2513/klagomål/A 34842-2026 FSC-klagomål.docx", "A 34842-2026")</f>
        <v/>
      </c>
      <c r="AB26">
        <f>HYPERLINK("https://klasma.github.io/Logging_2513/klagomålsmail/A 34842-2026 FSC-klagomål mail.docx", "A 34842-2026")</f>
        <v/>
      </c>
      <c r="AC26">
        <f>HYPERLINK("https://klasma.github.io/Logging_2513/tillsyn/A 34842-2026 tillsynsbegäran.docx", "A 34842-2026")</f>
        <v/>
      </c>
      <c r="AD26">
        <f>HYPERLINK("https://klasma.github.io/Logging_2513/tillsynsmail/A 34842-2026 tillsynsbegäran mail.docx", "A 34842-2026")</f>
        <v/>
      </c>
    </row>
    <row r="27" ht="15" customHeight="1">
      <c r="A27" t="inlineStr">
        <is>
          <t>A 19275-2025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46320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16.3</v>
      </c>
      <c r="J27" t="n">
        <v>2</v>
      </c>
      <c r="K27" t="n">
        <v>1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5</v>
      </c>
      <c r="U27" t="n">
        <v>3</v>
      </c>
      <c r="V27" s="2" t="inlineStr">
        <is>
          <t>Fläckporing
Knärot
Plattlummer</t>
        </is>
      </c>
      <c r="W27">
        <f>HYPERLINK("https://klasma.github.io/Logging_2513/artfynd/A 19275-2025 artfynd.xlsx", "A 19275-2025")</f>
        <v/>
      </c>
      <c r="X27">
        <f>HYPERLINK("https://klasma.github.io/Logging_2513/kartor/A 19275-2025 karta.png", "A 19275-2025")</f>
        <v/>
      </c>
      <c r="Y27">
        <f>HYPERLINK("https://klasma.github.io/Logging_2513/kartor_geotiff/A 19275-2025 georefererad karta.tif", "A 19275-2025")</f>
        <v/>
      </c>
      <c r="Z27">
        <f>HYPERLINK("https://klasma.github.io/Logging_2513/knärot/A 19275-2025 karta knärot.png", "A 19275-2025")</f>
        <v/>
      </c>
      <c r="AA27">
        <f>HYPERLINK("https://klasma.github.io/Logging_2513/klagomål/A 19275-2025 FSC-klagomål.docx", "A 19275-2025")</f>
        <v/>
      </c>
      <c r="AB27">
        <f>HYPERLINK("https://klasma.github.io/Logging_2513/klagomålsmail/A 19275-2025 FSC-klagomål mail.docx", "A 19275-2025")</f>
        <v/>
      </c>
      <c r="AC27">
        <f>HYPERLINK("https://klasma.github.io/Logging_2513/tillsyn/A 19275-2025 tillsynsbegäran.docx", "A 19275-2025")</f>
        <v/>
      </c>
      <c r="AD27">
        <f>HYPERLINK("https://klasma.github.io/Logging_2513/tillsynsmail/A 19275-2025 tillsynsbegäran mail.docx", "A 19275-2025")</f>
        <v/>
      </c>
    </row>
    <row r="28" ht="15" customHeight="1">
      <c r="A28" t="inlineStr">
        <is>
          <t>A 28577-2024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45478</v>
      </c>
      <c r="E28" s="1" t="n">
        <v>46320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0.8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12</v>
      </c>
      <c r="U28" t="n">
        <v>0</v>
      </c>
      <c r="V28" s="2" t="inlineStr">
        <is>
          <t>Månlåsbräken
Plattlummer
Fläcknycklar</t>
        </is>
      </c>
      <c r="W28">
        <f>HYPERLINK("https://klasma.github.io/Logging_2513/artfynd/A 28577-2024 artfynd.xlsx", "A 28577-2024")</f>
        <v/>
      </c>
      <c r="X28">
        <f>HYPERLINK("https://klasma.github.io/Logging_2513/kartor/A 28577-2024 karta.png", "A 28577-2024")</f>
        <v/>
      </c>
      <c r="Y28">
        <f>HYPERLINK("https://klasma.github.io/Logging_2513/kartor_geotiff/A 28577-2024 georefererad karta.tif", "A 28577-2024")</f>
        <v/>
      </c>
      <c r="AA28">
        <f>HYPERLINK("https://klasma.github.io/Logging_2513/klagomål/A 28577-2024 FSC-klagomål.docx", "A 28577-2024")</f>
        <v/>
      </c>
      <c r="AB28">
        <f>HYPERLINK("https://klasma.github.io/Logging_2513/klagomålsmail/A 28577-2024 FSC-klagomål mail.docx", "A 28577-2024")</f>
        <v/>
      </c>
      <c r="AC28">
        <f>HYPERLINK("https://klasma.github.io/Logging_2513/tillsyn/A 28577-2024 tillsynsbegäran.docx", "A 28577-2024")</f>
        <v/>
      </c>
      <c r="AD28">
        <f>HYPERLINK("https://klasma.github.io/Logging_2513/tillsynsmail/A 28577-2024 tillsynsbegäran mail.docx", "A 28577-2024")</f>
        <v/>
      </c>
    </row>
    <row r="29" ht="15" customHeight="1">
      <c r="A29" t="inlineStr">
        <is>
          <t>A 17802-2025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46320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1.6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Hökuggla
Älg
Tjäder</t>
        </is>
      </c>
      <c r="W29">
        <f>HYPERLINK("https://klasma.github.io/Logging_2513/artfynd/A 17802-2025 artfynd.xlsx", "A 17802-2025")</f>
        <v/>
      </c>
      <c r="X29">
        <f>HYPERLINK("https://klasma.github.io/Logging_2513/kartor/A 17802-2025 karta.png", "A 17802-2025")</f>
        <v/>
      </c>
      <c r="Y29">
        <f>HYPERLINK("https://klasma.github.io/Logging_2513/kartor_geotiff/A 17802-2025 georefererad karta.tif", "A 17802-2025")</f>
        <v/>
      </c>
      <c r="AA29">
        <f>HYPERLINK("https://klasma.github.io/Logging_2513/klagomål/A 17802-2025 FSC-klagomål.docx", "A 17802-2025")</f>
        <v/>
      </c>
      <c r="AB29">
        <f>HYPERLINK("https://klasma.github.io/Logging_2513/klagomålsmail/A 17802-2025 FSC-klagomål mail.docx", "A 17802-2025")</f>
        <v/>
      </c>
      <c r="AC29">
        <f>HYPERLINK("https://klasma.github.io/Logging_2513/tillsyn/A 17802-2025 tillsynsbegäran.docx", "A 17802-2025")</f>
        <v/>
      </c>
      <c r="AD29">
        <f>HYPERLINK("https://klasma.github.io/Logging_2513/tillsynsmail/A 17802-2025 tillsynsbegäran mail.docx", "A 17802-2025")</f>
        <v/>
      </c>
      <c r="AE29">
        <f>HYPERLINK("https://klasma.github.io/Logging_2513/fåglar/A 17802-2025 prioriterade fågelarter.docx", "A 17802-2025")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46320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46320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36378-2024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46320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21.5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Lunglav
Fläcknycklar</t>
        </is>
      </c>
      <c r="W32">
        <f>HYPERLINK("https://klasma.github.io/Logging_2513/artfynd/A 36378-2024 artfynd.xlsx", "A 36378-2024")</f>
        <v/>
      </c>
      <c r="X32">
        <f>HYPERLINK("https://klasma.github.io/Logging_2513/kartor/A 36378-2024 karta.png", "A 36378-2024")</f>
        <v/>
      </c>
      <c r="Y32">
        <f>HYPERLINK("https://klasma.github.io/Logging_2513/kartor_geotiff/A 36378-2024 georefererad karta.tif", "A 36378-2024")</f>
        <v/>
      </c>
      <c r="AA32">
        <f>HYPERLINK("https://klasma.github.io/Logging_2513/klagomål/A 36378-2024 FSC-klagomål.docx", "A 36378-2024")</f>
        <v/>
      </c>
      <c r="AB32">
        <f>HYPERLINK("https://klasma.github.io/Logging_2513/klagomålsmail/A 36378-2024 FSC-klagomål mail.docx", "A 36378-2024")</f>
        <v/>
      </c>
      <c r="AC32">
        <f>HYPERLINK("https://klasma.github.io/Logging_2513/tillsyn/A 36378-2024 tillsynsbegäran.docx", "A 36378-2024")</f>
        <v/>
      </c>
      <c r="AD32">
        <f>HYPERLINK("https://klasma.github.io/Logging_2513/tillsynsmail/A 36378-2024 tillsynsbegäran mail.docx", "A 36378-2024")</f>
        <v/>
      </c>
    </row>
    <row r="33" ht="15" customHeight="1">
      <c r="A33" t="inlineStr">
        <is>
          <t>A 36381-2024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46320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26.7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Gammelgransskål
Orre</t>
        </is>
      </c>
      <c r="W33">
        <f>HYPERLINK("https://klasma.github.io/Logging_2513/artfynd/A 36381-2024 artfynd.xlsx", "A 36381-2024")</f>
        <v/>
      </c>
      <c r="X33">
        <f>HYPERLINK("https://klasma.github.io/Logging_2513/kartor/A 36381-2024 karta.png", "A 36381-2024")</f>
        <v/>
      </c>
      <c r="Y33">
        <f>HYPERLINK("https://klasma.github.io/Logging_2513/kartor_geotiff/A 36381-2024 georefererad karta.tif", "A 36381-2024")</f>
        <v/>
      </c>
      <c r="AA33">
        <f>HYPERLINK("https://klasma.github.io/Logging_2513/klagomål/A 36381-2024 FSC-klagomål.docx", "A 36381-2024")</f>
        <v/>
      </c>
      <c r="AB33">
        <f>HYPERLINK("https://klasma.github.io/Logging_2513/klagomålsmail/A 36381-2024 FSC-klagomål mail.docx", "A 36381-2024")</f>
        <v/>
      </c>
      <c r="AC33">
        <f>HYPERLINK("https://klasma.github.io/Logging_2513/tillsyn/A 36381-2024 tillsynsbegäran.docx", "A 36381-2024")</f>
        <v/>
      </c>
      <c r="AD33">
        <f>HYPERLINK("https://klasma.github.io/Logging_2513/tillsynsmail/A 36381-2024 tillsynsbegäran mail.docx", "A 36381-2024")</f>
        <v/>
      </c>
      <c r="AE33">
        <f>HYPERLINK("https://klasma.github.io/Logging_2513/fåglar/A 36381-2024 prioriterade fågelarter.docx", "A 36381-2024")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46320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28029-2026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46320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 taggsvamp
Bollvitmossa</t>
        </is>
      </c>
      <c r="W35">
        <f>HYPERLINK("https://klasma.github.io/Logging_2513/artfynd/A 28029-2026 artfynd.xlsx", "A 28029-2026")</f>
        <v/>
      </c>
      <c r="X35">
        <f>HYPERLINK("https://klasma.github.io/Logging_2513/kartor/A 28029-2026 karta.png", "A 28029-2026")</f>
        <v/>
      </c>
      <c r="Y35">
        <f>HYPERLINK("https://klasma.github.io/Logging_2513/kartor_geotiff/A 28029-2026 georefererad karta.tif", "A 28029-2026")</f>
        <v/>
      </c>
      <c r="AA35">
        <f>HYPERLINK("https://klasma.github.io/Logging_2513/klagomål/A 28029-2026 FSC-klagomål.docx", "A 28029-2026")</f>
        <v/>
      </c>
      <c r="AB35">
        <f>HYPERLINK("https://klasma.github.io/Logging_2513/klagomålsmail/A 28029-2026 FSC-klagomål mail.docx", "A 28029-2026")</f>
        <v/>
      </c>
      <c r="AC35">
        <f>HYPERLINK("https://klasma.github.io/Logging_2513/tillsyn/A 28029-2026 tillsynsbegäran.docx", "A 28029-2026")</f>
        <v/>
      </c>
      <c r="AD35">
        <f>HYPERLINK("https://klasma.github.io/Logging_2513/tillsynsmail/A 28029-2026 tillsynsbegäran mail.docx", "A 28029-2026")</f>
        <v/>
      </c>
    </row>
    <row r="36" ht="15" customHeight="1">
      <c r="A36" t="inlineStr">
        <is>
          <t>A 28929-2026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46320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3.9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5</v>
      </c>
      <c r="V36" s="2" t="inlineStr">
        <is>
          <t>Knärot
Fläcknycklar</t>
        </is>
      </c>
      <c r="W36">
        <f>HYPERLINK("https://klasma.github.io/Logging_2513/artfynd/A 28929-2026 artfynd.xlsx", "A 28929-2026")</f>
        <v/>
      </c>
      <c r="X36">
        <f>HYPERLINK("https://klasma.github.io/Logging_2513/kartor/A 28929-2026 karta.png", "A 28929-2026")</f>
        <v/>
      </c>
      <c r="Y36">
        <f>HYPERLINK("https://klasma.github.io/Logging_2513/kartor_geotiff/A 28929-2026 georefererad karta.tif", "A 28929-2026")</f>
        <v/>
      </c>
      <c r="Z36">
        <f>HYPERLINK("https://klasma.github.io/Logging_2513/knärot/A 28929-2026 karta knärot.png", "A 28929-2026")</f>
        <v/>
      </c>
      <c r="AA36">
        <f>HYPERLINK("https://klasma.github.io/Logging_2513/klagomål/A 28929-2026 FSC-klagomål.docx", "A 28929-2026")</f>
        <v/>
      </c>
      <c r="AB36">
        <f>HYPERLINK("https://klasma.github.io/Logging_2513/klagomålsmail/A 28929-2026 FSC-klagomål mail.docx", "A 28929-2026")</f>
        <v/>
      </c>
      <c r="AC36">
        <f>HYPERLINK("https://klasma.github.io/Logging_2513/tillsyn/A 28929-2026 tillsynsbegäran.docx", "A 28929-2026")</f>
        <v/>
      </c>
      <c r="AD36">
        <f>HYPERLINK("https://klasma.github.io/Logging_2513/tillsynsmail/A 28929-2026 tillsynsbegäran mail.docx", "A 28929-2026")</f>
        <v/>
      </c>
    </row>
    <row r="37" ht="15" customHeight="1">
      <c r="A37" t="inlineStr">
        <is>
          <t>A 31704-2026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46226</v>
      </c>
      <c r="E37" s="1" t="n">
        <v>46320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Blå taggsvamp
Skarp dropptaggsvamp</t>
        </is>
      </c>
      <c r="W37">
        <f>HYPERLINK("https://klasma.github.io/Logging_2513/artfynd/A 31704-2026 artfynd.xlsx", "A 31704-2026")</f>
        <v/>
      </c>
      <c r="X37">
        <f>HYPERLINK("https://klasma.github.io/Logging_2513/kartor/A 31704-2026 karta.png", "A 31704-2026")</f>
        <v/>
      </c>
      <c r="Y37">
        <f>HYPERLINK("https://klasma.github.io/Logging_2513/kartor_geotiff/A 31704-2026 georefererad karta.tif", "A 31704-2026")</f>
        <v/>
      </c>
      <c r="AA37">
        <f>HYPERLINK("https://klasma.github.io/Logging_2513/klagomål/A 31704-2026 FSC-klagomål.docx", "A 31704-2026")</f>
        <v/>
      </c>
      <c r="AB37">
        <f>HYPERLINK("https://klasma.github.io/Logging_2513/klagomålsmail/A 31704-2026 FSC-klagomål mail.docx", "A 31704-2026")</f>
        <v/>
      </c>
      <c r="AC37">
        <f>HYPERLINK("https://klasma.github.io/Logging_2513/tillsyn/A 31704-2026 tillsynsbegäran.docx", "A 31704-2026")</f>
        <v/>
      </c>
      <c r="AD37">
        <f>HYPERLINK("https://klasma.github.io/Logging_2513/tillsynsmail/A 31704-2026 tillsynsbegäran mail.docx", "A 31704-2026")</f>
        <v/>
      </c>
    </row>
    <row r="38" ht="15" customHeight="1">
      <c r="A38" t="inlineStr">
        <is>
          <t>A 60509-2021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44496</v>
      </c>
      <c r="E38" s="1" t="n">
        <v>46320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13.5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Stor aspticka
Vedticka</t>
        </is>
      </c>
      <c r="W38">
        <f>HYPERLINK("https://klasma.github.io/Logging_2513/artfynd/A 60509-2021 artfynd.xlsx", "A 60509-2021")</f>
        <v/>
      </c>
      <c r="X38">
        <f>HYPERLINK("https://klasma.github.io/Logging_2513/kartor/A 60509-2021 karta.png", "A 60509-2021")</f>
        <v/>
      </c>
      <c r="Y38">
        <f>HYPERLINK("https://klasma.github.io/Logging_2513/kartor_geotiff/A 60509-2021 georefererad karta.tif", "A 60509-2021")</f>
        <v/>
      </c>
      <c r="AA38">
        <f>HYPERLINK("https://klasma.github.io/Logging_2513/klagomål/A 60509-2021 FSC-klagomål.docx", "A 60509-2021")</f>
        <v/>
      </c>
      <c r="AB38">
        <f>HYPERLINK("https://klasma.github.io/Logging_2513/klagomålsmail/A 60509-2021 FSC-klagomål mail.docx", "A 60509-2021")</f>
        <v/>
      </c>
      <c r="AC38">
        <f>HYPERLINK("https://klasma.github.io/Logging_2513/tillsyn/A 60509-2021 tillsynsbegäran.docx", "A 60509-2021")</f>
        <v/>
      </c>
      <c r="AD38">
        <f>HYPERLINK("https://klasma.github.io/Logging_2513/tillsynsmail/A 60509-2021 tillsynsbegäran mail.docx", "A 60509-2021")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46320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26452-2025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45807</v>
      </c>
      <c r="E40" s="1" t="n">
        <v>46320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Gammelgransskål
Stor aspticka</t>
        </is>
      </c>
      <c r="W40">
        <f>HYPERLINK("https://klasma.github.io/Logging_2513/artfynd/A 26452-2025 artfynd.xlsx", "A 26452-2025")</f>
        <v/>
      </c>
      <c r="X40">
        <f>HYPERLINK("https://klasma.github.io/Logging_2513/kartor/A 26452-2025 karta.png", "A 26452-2025")</f>
        <v/>
      </c>
      <c r="Y40">
        <f>HYPERLINK("https://klasma.github.io/Logging_2513/kartor_geotiff/A 26452-2025 georefererad karta.tif", "A 26452-2025")</f>
        <v/>
      </c>
      <c r="AA40">
        <f>HYPERLINK("https://klasma.github.io/Logging_2513/klagomål/A 26452-2025 FSC-klagomål.docx", "A 26452-2025")</f>
        <v/>
      </c>
      <c r="AB40">
        <f>HYPERLINK("https://klasma.github.io/Logging_2513/klagomålsmail/A 26452-2025 FSC-klagomål mail.docx", "A 26452-2025")</f>
        <v/>
      </c>
      <c r="AC40">
        <f>HYPERLINK("https://klasma.github.io/Logging_2513/tillsyn/A 26452-2025 tillsynsbegäran.docx", "A 26452-2025")</f>
        <v/>
      </c>
      <c r="AD40">
        <f>HYPERLINK("https://klasma.github.io/Logging_2513/tillsynsmail/A 26452-2025 tillsynsbegäran mail.docx", "A 26452-2025")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46320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34921-2025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46320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16.4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Lunglav</t>
        </is>
      </c>
      <c r="W42">
        <f>HYPERLINK("https://klasma.github.io/Logging_2513/artfynd/A 34921-2025 artfynd.xlsx", "A 34921-2025")</f>
        <v/>
      </c>
      <c r="X42">
        <f>HYPERLINK("https://klasma.github.io/Logging_2513/kartor/A 34921-2025 karta.png", "A 34921-2025")</f>
        <v/>
      </c>
      <c r="Y42">
        <f>HYPERLINK("https://klasma.github.io/Logging_2513/kartor_geotiff/A 34921-2025 georefererad karta.tif", "A 34921-2025")</f>
        <v/>
      </c>
      <c r="AA42">
        <f>HYPERLINK("https://klasma.github.io/Logging_2513/klagomål/A 34921-2025 FSC-klagomål.docx", "A 34921-2025")</f>
        <v/>
      </c>
      <c r="AB42">
        <f>HYPERLINK("https://klasma.github.io/Logging_2513/klagomålsmail/A 34921-2025 FSC-klagomål mail.docx", "A 34921-2025")</f>
        <v/>
      </c>
      <c r="AC42">
        <f>HYPERLINK("https://klasma.github.io/Logging_2513/tillsyn/A 34921-2025 tillsynsbegäran.docx", "A 34921-2025")</f>
        <v/>
      </c>
      <c r="AD42">
        <f>HYPERLINK("https://klasma.github.io/Logging_2513/tillsynsmail/A 34921-2025 tillsynsbegäran mail.docx", "A 34921-2025")</f>
        <v/>
      </c>
    </row>
    <row r="43" ht="15" customHeight="1">
      <c r="A43" t="inlineStr">
        <is>
          <t>A 41591-2026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46302</v>
      </c>
      <c r="E43" s="1" t="n">
        <v>46320</v>
      </c>
      <c r="F43" t="inlineStr">
        <is>
          <t>NORRBOTTENS LÄN</t>
        </is>
      </c>
      <c r="G43" t="inlineStr">
        <is>
          <t>ÖVERKALIX</t>
        </is>
      </c>
      <c r="H43" t="inlineStr">
        <is>
          <t>SCA</t>
        </is>
      </c>
      <c r="I43" t="n">
        <v>1.8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Tallticka</t>
        </is>
      </c>
      <c r="W43">
        <f>HYPERLINK("https://klasma.github.io/Logging_2513/artfynd/A 41591-2026 artfynd.xlsx", "A 41591-2026")</f>
        <v/>
      </c>
      <c r="X43">
        <f>HYPERLINK("https://klasma.github.io/Logging_2513/kartor/A 41591-2026 karta.png", "A 41591-2026")</f>
        <v/>
      </c>
      <c r="Y43">
        <f>HYPERLINK("https://klasma.github.io/Logging_2513/kartor_geotiff/A 41591-2026 georefererad karta.tif", "A 41591-2026")</f>
        <v/>
      </c>
      <c r="AA43">
        <f>HYPERLINK("https://klasma.github.io/Logging_2513/klagomål/A 41591-2026 FSC-klagomål.docx", "A 41591-2026")</f>
        <v/>
      </c>
      <c r="AB43">
        <f>HYPERLINK("https://klasma.github.io/Logging_2513/klagomålsmail/A 41591-2026 FSC-klagomål mail.docx", "A 41591-2026")</f>
        <v/>
      </c>
      <c r="AC43">
        <f>HYPERLINK("https://klasma.github.io/Logging_2513/tillsyn/A 41591-2026 tillsynsbegäran.docx", "A 41591-2026")</f>
        <v/>
      </c>
      <c r="AD43">
        <f>HYPERLINK("https://klasma.github.io/Logging_2513/tillsynsmail/A 41591-2026 tillsynsbegäran mail.docx", "A 41591-2026")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46320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7477-2023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44966</v>
      </c>
      <c r="E45" s="1" t="n">
        <v>46320</v>
      </c>
      <c r="F45" t="inlineStr">
        <is>
          <t>NORRBOTTENS LÄN</t>
        </is>
      </c>
      <c r="G45" t="inlineStr">
        <is>
          <t>ÖVERKALIX</t>
        </is>
      </c>
      <c r="I45" t="n">
        <v>2.6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Motaggsvamp
Skarp dropptaggsvamp</t>
        </is>
      </c>
      <c r="W45">
        <f>HYPERLINK("https://klasma.github.io/Logging_2513/artfynd/A 7477-2023 artfynd.xlsx", "A 7477-2023")</f>
        <v/>
      </c>
      <c r="X45">
        <f>HYPERLINK("https://klasma.github.io/Logging_2513/kartor/A 7477-2023 karta.png", "A 7477-2023")</f>
        <v/>
      </c>
      <c r="Y45">
        <f>HYPERLINK("https://klasma.github.io/Logging_2513/kartor_geotiff/A 7477-2023 georefererad karta.tif", "A 7477-2023")</f>
        <v/>
      </c>
      <c r="AA45">
        <f>HYPERLINK("https://klasma.github.io/Logging_2513/klagomål/A 7477-2023 FSC-klagomål.docx", "A 7477-2023")</f>
        <v/>
      </c>
      <c r="AB45">
        <f>HYPERLINK("https://klasma.github.io/Logging_2513/klagomålsmail/A 7477-2023 FSC-klagomål mail.docx", "A 7477-2023")</f>
        <v/>
      </c>
      <c r="AC45">
        <f>HYPERLINK("https://klasma.github.io/Logging_2513/tillsyn/A 7477-2023 tillsynsbegäran.docx", "A 7477-2023")</f>
        <v/>
      </c>
      <c r="AD45">
        <f>HYPERLINK("https://klasma.github.io/Logging_2513/tillsynsmail/A 7477-2023 tillsynsbegäran mail.docx", "A 7477-2023")</f>
        <v/>
      </c>
    </row>
    <row r="46" ht="15" customHeight="1">
      <c r="A46" t="inlineStr">
        <is>
          <t>A 47680-2024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46320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2.1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Blå taggsvamp
Skarp dropptaggsvamp</t>
        </is>
      </c>
      <c r="W46">
        <f>HYPERLINK("https://klasma.github.io/Logging_2513/artfynd/A 47680-2024 artfynd.xlsx", "A 47680-2024")</f>
        <v/>
      </c>
      <c r="X46">
        <f>HYPERLINK("https://klasma.github.io/Logging_2513/kartor/A 47680-2024 karta.png", "A 47680-2024")</f>
        <v/>
      </c>
      <c r="Y46">
        <f>HYPERLINK("https://klasma.github.io/Logging_2513/kartor_geotiff/A 47680-2024 georefererad karta.tif", "A 47680-2024")</f>
        <v/>
      </c>
      <c r="AA46">
        <f>HYPERLINK("https://klasma.github.io/Logging_2513/klagomål/A 47680-2024 FSC-klagomål.docx", "A 47680-2024")</f>
        <v/>
      </c>
      <c r="AB46">
        <f>HYPERLINK("https://klasma.github.io/Logging_2513/klagomålsmail/A 47680-2024 FSC-klagomål mail.docx", "A 47680-2024")</f>
        <v/>
      </c>
      <c r="AC46">
        <f>HYPERLINK("https://klasma.github.io/Logging_2513/tillsyn/A 47680-2024 tillsynsbegäran.docx", "A 47680-2024")</f>
        <v/>
      </c>
      <c r="AD46">
        <f>HYPERLINK("https://klasma.github.io/Logging_2513/tillsynsmail/A 47680-2024 tillsynsbegäran mail.docx", "A 47680-2024")</f>
        <v/>
      </c>
    </row>
    <row r="47" ht="15" customHeight="1">
      <c r="A47" t="inlineStr">
        <is>
          <t>A 50691-2024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46320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Gammelgransskål
Vedticka</t>
        </is>
      </c>
      <c r="W47">
        <f>HYPERLINK("https://klasma.github.io/Logging_2513/artfynd/A 50691-2024 artfynd.xlsx", "A 50691-2024")</f>
        <v/>
      </c>
      <c r="X47">
        <f>HYPERLINK("https://klasma.github.io/Logging_2513/kartor/A 50691-2024 karta.png", "A 50691-2024")</f>
        <v/>
      </c>
      <c r="Y47">
        <f>HYPERLINK("https://klasma.github.io/Logging_2513/kartor_geotiff/A 50691-2024 georefererad karta.tif", "A 50691-2024")</f>
        <v/>
      </c>
      <c r="AA47">
        <f>HYPERLINK("https://klasma.github.io/Logging_2513/klagomål/A 50691-2024 FSC-klagomål.docx", "A 50691-2024")</f>
        <v/>
      </c>
      <c r="AB47">
        <f>HYPERLINK("https://klasma.github.io/Logging_2513/klagomålsmail/A 50691-2024 FSC-klagomål mail.docx", "A 50691-2024")</f>
        <v/>
      </c>
      <c r="AC47">
        <f>HYPERLINK("https://klasma.github.io/Logging_2513/tillsyn/A 50691-2024 tillsynsbegäran.docx", "A 50691-2024")</f>
        <v/>
      </c>
      <c r="AD47">
        <f>HYPERLINK("https://klasma.github.io/Logging_2513/tillsynsmail/A 50691-2024 tillsynsbegäran mail.docx", "A 50691-2024")</f>
        <v/>
      </c>
    </row>
    <row r="48" ht="15" customHeight="1">
      <c r="A48" t="inlineStr">
        <is>
          <t>A 40706-2023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46320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7.1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HYPERLINK("https://klasma.github.io/Logging_2513/artfynd/A 40706-2023 artfynd.xlsx", "A 40706-2023")</f>
        <v/>
      </c>
      <c r="X48">
        <f>HYPERLINK("https://klasma.github.io/Logging_2513/kartor/A 40706-2023 karta.png", "A 40706-2023")</f>
        <v/>
      </c>
      <c r="Y48">
        <f>HYPERLINK("https://klasma.github.io/Logging_2513/kartor_geotiff/A 40706-2023 georefererad karta.tif", "A 40706-2023")</f>
        <v/>
      </c>
      <c r="Z48">
        <f>HYPERLINK("https://klasma.github.io/Logging_2513/knärot/A 40706-2023 karta knärot.png", "A 40706-2023")</f>
        <v/>
      </c>
      <c r="AA48">
        <f>HYPERLINK("https://klasma.github.io/Logging_2513/klagomål/A 40706-2023 FSC-klagomål.docx", "A 40706-2023")</f>
        <v/>
      </c>
      <c r="AB48">
        <f>HYPERLINK("https://klasma.github.io/Logging_2513/klagomålsmail/A 40706-2023 FSC-klagomål mail.docx", "A 40706-2023")</f>
        <v/>
      </c>
      <c r="AC48">
        <f>HYPERLINK("https://klasma.github.io/Logging_2513/tillsyn/A 40706-2023 tillsynsbegäran.docx", "A 40706-2023")</f>
        <v/>
      </c>
      <c r="AD48">
        <f>HYPERLINK("https://klasma.github.io/Logging_2513/tillsynsmail/A 40706-2023 tillsynsbegäran mail.docx", "A 40706-2023")</f>
        <v/>
      </c>
    </row>
    <row r="49" ht="15" customHeight="1">
      <c r="A49" t="inlineStr">
        <is>
          <t>A 36803-2023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46320</v>
      </c>
      <c r="F49" t="inlineStr">
        <is>
          <t>NORRBOTTENS LÄN</t>
        </is>
      </c>
      <c r="G49" t="inlineStr">
        <is>
          <t>ÖVERKALIX</t>
        </is>
      </c>
      <c r="I49" t="n">
        <v>3.1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6</v>
      </c>
      <c r="U49" t="n">
        <v>6</v>
      </c>
      <c r="V49" s="2" t="inlineStr">
        <is>
          <t>Knärot
Revlummer</t>
        </is>
      </c>
      <c r="W49">
        <f>HYPERLINK("https://klasma.github.io/Logging_2513/artfynd/A 36803-2023 artfynd.xlsx", "A 36803-2023")</f>
        <v/>
      </c>
      <c r="X49">
        <f>HYPERLINK("https://klasma.github.io/Logging_2513/kartor/A 36803-2023 karta.png", "A 36803-2023")</f>
        <v/>
      </c>
      <c r="Y49">
        <f>HYPERLINK("https://klasma.github.io/Logging_2513/kartor_geotiff/A 36803-2023 georefererad karta.tif", "A 36803-2023")</f>
        <v/>
      </c>
      <c r="Z49">
        <f>HYPERLINK("https://klasma.github.io/Logging_2513/knärot/A 36803-2023 karta knärot.png", "A 36803-2023")</f>
        <v/>
      </c>
      <c r="AA49">
        <f>HYPERLINK("https://klasma.github.io/Logging_2513/klagomål/A 36803-2023 FSC-klagomål.docx", "A 36803-2023")</f>
        <v/>
      </c>
      <c r="AB49">
        <f>HYPERLINK("https://klasma.github.io/Logging_2513/klagomålsmail/A 36803-2023 FSC-klagomål mail.docx", "A 36803-2023")</f>
        <v/>
      </c>
      <c r="AC49">
        <f>HYPERLINK("https://klasma.github.io/Logging_2513/tillsyn/A 36803-2023 tillsynsbegäran.docx", "A 36803-2023")</f>
        <v/>
      </c>
      <c r="AD49">
        <f>HYPERLINK("https://klasma.github.io/Logging_2513/tillsynsmail/A 36803-2023 tillsynsbegäran mail.docx", "A 36803-2023")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46320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46320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46280-2024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46320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HYPERLINK("https://klasma.github.io/Logging_2513/artfynd/A 46280-2024 artfynd.xlsx", "A 46280-2024")</f>
        <v/>
      </c>
      <c r="X52">
        <f>HYPERLINK("https://klasma.github.io/Logging_2513/kartor/A 46280-2024 karta.png", "A 46280-2024")</f>
        <v/>
      </c>
      <c r="Y52">
        <f>HYPERLINK("https://klasma.github.io/Logging_2513/kartor_geotiff/A 46280-2024 georefererad karta.tif", "A 46280-2024")</f>
        <v/>
      </c>
      <c r="AA52">
        <f>HYPERLINK("https://klasma.github.io/Logging_2513/klagomål/A 46280-2024 FSC-klagomål.docx", "A 46280-2024")</f>
        <v/>
      </c>
      <c r="AB52">
        <f>HYPERLINK("https://klasma.github.io/Logging_2513/klagomålsmail/A 46280-2024 FSC-klagomål mail.docx", "A 46280-2024")</f>
        <v/>
      </c>
      <c r="AC52">
        <f>HYPERLINK("https://klasma.github.io/Logging_2513/tillsyn/A 46280-2024 tillsynsbegäran.docx", "A 46280-2024")</f>
        <v/>
      </c>
      <c r="AD52">
        <f>HYPERLINK("https://klasma.github.io/Logging_2513/tillsynsmail/A 46280-2024 tillsynsbegäran mail.docx", "A 46280-2024")</f>
        <v/>
      </c>
      <c r="AE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46320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 taggsvamp</t>
        </is>
      </c>
      <c r="W53">
        <f>HYPERLINK("https://klasma.github.io/Logging_2513/artfynd/A 46281-2024 artfynd.xlsx", "A 46281-2024")</f>
        <v/>
      </c>
      <c r="X53">
        <f>HYPERLINK("https://klasma.github.io/Logging_2513/kartor/A 46281-2024 karta.png", "A 46281-2024")</f>
        <v/>
      </c>
      <c r="Y53">
        <f>HYPERLINK("https://klasma.github.io/Logging_2513/kartor_geotiff/A 46281-2024 georefererad karta.tif", "A 46281-2024")</f>
        <v/>
      </c>
      <c r="AA53">
        <f>HYPERLINK("https://klasma.github.io/Logging_2513/klagomål/A 46281-2024 FSC-klagomål.docx", "A 46281-2024")</f>
        <v/>
      </c>
      <c r="AB53">
        <f>HYPERLINK("https://klasma.github.io/Logging_2513/klagomålsmail/A 46281-2024 FSC-klagomål mail.docx", "A 46281-2024")</f>
        <v/>
      </c>
      <c r="AC53">
        <f>HYPERLINK("https://klasma.github.io/Logging_2513/tillsyn/A 46281-2024 tillsynsbegäran.docx", "A 46281-2024")</f>
        <v/>
      </c>
      <c r="AD53">
        <f>HYPERLINK("https://klasma.github.io/Logging_2513/tillsynsmail/A 46281-2024 tillsynsbegäran mail.docx", "A 46281-2024")</f>
        <v/>
      </c>
    </row>
    <row r="54" ht="15" customHeight="1">
      <c r="A54" t="inlineStr">
        <is>
          <t>A 21777-2024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46320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30.5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HYPERLINK("https://klasma.github.io/Logging_2513/artfynd/A 21777-2024 artfynd.xlsx", "A 21777-2024")</f>
        <v/>
      </c>
      <c r="X54">
        <f>HYPERLINK("https://klasma.github.io/Logging_2513/kartor/A 21777-2024 karta.png", "A 21777-2024")</f>
        <v/>
      </c>
      <c r="Y54">
        <f>HYPERLINK("https://klasma.github.io/Logging_2513/kartor_geotiff/A 21777-2024 georefererad karta.tif", "A 21777-2024")</f>
        <v/>
      </c>
      <c r="AA54">
        <f>HYPERLINK("https://klasma.github.io/Logging_2513/klagomål/A 21777-2024 FSC-klagomål.docx", "A 21777-2024")</f>
        <v/>
      </c>
      <c r="AB54">
        <f>HYPERLINK("https://klasma.github.io/Logging_2513/klagomålsmail/A 21777-2024 FSC-klagomål mail.docx", "A 21777-2024")</f>
        <v/>
      </c>
      <c r="AC54">
        <f>HYPERLINK("https://klasma.github.io/Logging_2513/tillsyn/A 21777-2024 tillsynsbegäran.docx", "A 21777-2024")</f>
        <v/>
      </c>
      <c r="AD54">
        <f>HYPERLINK("https://klasma.github.io/Logging_2513/tillsynsmail/A 21777-2024 tillsynsbegäran mail.docx", "A 21777-2024")</f>
        <v/>
      </c>
    </row>
    <row r="55" ht="15" customHeight="1">
      <c r="A55" t="inlineStr">
        <is>
          <t>A 27087-2026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46187</v>
      </c>
      <c r="E55" s="1" t="n">
        <v>46320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5.1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HYPERLINK("https://klasma.github.io/Logging_2513/artfynd/A 27087-2026 artfynd.xlsx", "A 27087-2026")</f>
        <v/>
      </c>
      <c r="X55">
        <f>HYPERLINK("https://klasma.github.io/Logging_2513/kartor/A 27087-2026 karta.png", "A 27087-2026")</f>
        <v/>
      </c>
      <c r="Y55">
        <f>HYPERLINK("https://klasma.github.io/Logging_2513/kartor_geotiff/A 27087-2026 georefererad karta.tif", "A 27087-2026")</f>
        <v/>
      </c>
      <c r="AA55">
        <f>HYPERLINK("https://klasma.github.io/Logging_2513/klagomål/A 27087-2026 FSC-klagomål.docx", "A 27087-2026")</f>
        <v/>
      </c>
      <c r="AB55">
        <f>HYPERLINK("https://klasma.github.io/Logging_2513/klagomålsmail/A 27087-2026 FSC-klagomål mail.docx", "A 27087-2026")</f>
        <v/>
      </c>
      <c r="AC55">
        <f>HYPERLINK("https://klasma.github.io/Logging_2513/tillsyn/A 27087-2026 tillsynsbegäran.docx", "A 27087-2026")</f>
        <v/>
      </c>
      <c r="AD55">
        <f>HYPERLINK("https://klasma.github.io/Logging_2513/tillsynsmail/A 27087-2026 tillsynsbegäran mail.docx", "A 27087-2026")</f>
        <v/>
      </c>
      <c r="AE55">
        <f>HYPERLINK("https://klasma.github.io/Logging_2513/fåglar/A 27087-2026 prioriterade fågelarter.docx", "A 27087-2026")</f>
        <v/>
      </c>
    </row>
    <row r="56" ht="15" customHeight="1">
      <c r="A56" t="inlineStr">
        <is>
          <t>A 20949-2026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46320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20949-2026 artfynd.xlsx", "A 20949-2026")</f>
        <v/>
      </c>
      <c r="X56">
        <f>HYPERLINK("https://klasma.github.io/Logging_2513/kartor/A 20949-2026 karta.png", "A 20949-2026")</f>
        <v/>
      </c>
      <c r="Y56">
        <f>HYPERLINK("https://klasma.github.io/Logging_2513/kartor_geotiff/A 20949-2026 georefererad karta.tif", "A 20949-2026")</f>
        <v/>
      </c>
      <c r="AA56">
        <f>HYPERLINK("https://klasma.github.io/Logging_2513/klagomål/A 20949-2026 FSC-klagomål.docx", "A 20949-2026")</f>
        <v/>
      </c>
      <c r="AB56">
        <f>HYPERLINK("https://klasma.github.io/Logging_2513/klagomålsmail/A 20949-2026 FSC-klagomål mail.docx", "A 20949-2026")</f>
        <v/>
      </c>
      <c r="AC56">
        <f>HYPERLINK("https://klasma.github.io/Logging_2513/tillsyn/A 20949-2026 tillsynsbegäran.docx", "A 20949-2026")</f>
        <v/>
      </c>
      <c r="AD56">
        <f>HYPERLINK("https://klasma.github.io/Logging_2513/tillsynsmail/A 20949-2026 tillsynsbegäran mail.docx", "A 20949-2026")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46320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46320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26305-2025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46320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5.2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Luddlav</t>
        </is>
      </c>
      <c r="W59">
        <f>HYPERLINK("https://klasma.github.io/Logging_2513/artfynd/A 26305-2025 artfynd.xlsx", "A 26305-2025")</f>
        <v/>
      </c>
      <c r="X59">
        <f>HYPERLINK("https://klasma.github.io/Logging_2513/kartor/A 26305-2025 karta.png", "A 26305-2025")</f>
        <v/>
      </c>
      <c r="Y59">
        <f>HYPERLINK("https://klasma.github.io/Logging_2513/kartor_geotiff/A 26305-2025 georefererad karta.tif", "A 26305-2025")</f>
        <v/>
      </c>
      <c r="AA59">
        <f>HYPERLINK("https://klasma.github.io/Logging_2513/klagomål/A 26305-2025 FSC-klagomål.docx", "A 26305-2025")</f>
        <v/>
      </c>
      <c r="AB59">
        <f>HYPERLINK("https://klasma.github.io/Logging_2513/klagomålsmail/A 26305-2025 FSC-klagomål mail.docx", "A 26305-2025")</f>
        <v/>
      </c>
      <c r="AC59">
        <f>HYPERLINK("https://klasma.github.io/Logging_2513/tillsyn/A 26305-2025 tillsynsbegäran.docx", "A 26305-2025")</f>
        <v/>
      </c>
      <c r="AD59">
        <f>HYPERLINK("https://klasma.github.io/Logging_2513/tillsynsmail/A 26305-2025 tillsynsbegäran mail.docx", "A 26305-2025")</f>
        <v/>
      </c>
    </row>
    <row r="60" ht="15" customHeight="1">
      <c r="A60" t="inlineStr">
        <is>
          <t>A 27452-2025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46320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27452-2025 artfynd.xlsx", "A 27452-2025")</f>
        <v/>
      </c>
      <c r="X60">
        <f>HYPERLINK("https://klasma.github.io/Logging_2513/kartor/A 27452-2025 karta.png", "A 27452-2025")</f>
        <v/>
      </c>
      <c r="Y60">
        <f>HYPERLINK("https://klasma.github.io/Logging_2513/kartor_geotiff/A 27452-2025 georefererad karta.tif", "A 27452-2025")</f>
        <v/>
      </c>
      <c r="AA60">
        <f>HYPERLINK("https://klasma.github.io/Logging_2513/klagomål/A 27452-2025 FSC-klagomål.docx", "A 27452-2025")</f>
        <v/>
      </c>
      <c r="AB60">
        <f>HYPERLINK("https://klasma.github.io/Logging_2513/klagomålsmail/A 27452-2025 FSC-klagomål mail.docx", "A 27452-2025")</f>
        <v/>
      </c>
      <c r="AC60">
        <f>HYPERLINK("https://klasma.github.io/Logging_2513/tillsyn/A 27452-2025 tillsynsbegäran.docx", "A 27452-2025")</f>
        <v/>
      </c>
      <c r="AD60">
        <f>HYPERLINK("https://klasma.github.io/Logging_2513/tillsynsmail/A 27452-2025 tillsynsbegäran mail.docx", "A 27452-2025")</f>
        <v/>
      </c>
      <c r="AE60">
        <f>HYPERLINK("https://klasma.github.io/Logging_2513/fåglar/A 27452-2025 prioriterade fågelarter.docx", "A 27452-2025")</f>
        <v/>
      </c>
    </row>
    <row r="61" ht="15" customHeight="1">
      <c r="A61" t="inlineStr">
        <is>
          <t>A 41569-2026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46301</v>
      </c>
      <c r="E61" s="1" t="n">
        <v>46320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2.8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HYPERLINK("https://klasma.github.io/Logging_2513/artfynd/A 41569-2026 artfynd.xlsx", "A 41569-2026")</f>
        <v/>
      </c>
      <c r="X61">
        <f>HYPERLINK("https://klasma.github.io/Logging_2513/kartor/A 41569-2026 karta.png", "A 41569-2026")</f>
        <v/>
      </c>
      <c r="Y61">
        <f>HYPERLINK("https://klasma.github.io/Logging_2513/kartor_geotiff/A 41569-2026 georefererad karta.tif", "A 41569-2026")</f>
        <v/>
      </c>
      <c r="AA61">
        <f>HYPERLINK("https://klasma.github.io/Logging_2513/klagomål/A 41569-2026 FSC-klagomål.docx", "A 41569-2026")</f>
        <v/>
      </c>
      <c r="AB61">
        <f>HYPERLINK("https://klasma.github.io/Logging_2513/klagomålsmail/A 41569-2026 FSC-klagomål mail.docx", "A 41569-2026")</f>
        <v/>
      </c>
      <c r="AC61">
        <f>HYPERLINK("https://klasma.github.io/Logging_2513/tillsyn/A 41569-2026 tillsynsbegäran.docx", "A 41569-2026")</f>
        <v/>
      </c>
      <c r="AD61">
        <f>HYPERLINK("https://klasma.github.io/Logging_2513/tillsynsmail/A 41569-2026 tillsynsbegäran mail.docx", "A 41569-2026")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46320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A 71902-2021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46320</v>
      </c>
      <c r="F63" t="inlineStr">
        <is>
          <t>NORRBOTTENS LÄN</t>
        </is>
      </c>
      <c r="G63" t="inlineStr">
        <is>
          <t>ÖVERKALIX</t>
        </is>
      </c>
      <c r="I63" t="n">
        <v>24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HYPERLINK("https://klasma.github.io/Logging_2513/artfynd/A 71902-2021 artfynd.xlsx", "A 71902-2021")</f>
        <v/>
      </c>
      <c r="X63">
        <f>HYPERLINK("https://klasma.github.io/Logging_2513/kartor/A 71902-2021 karta.png", "A 71902-2021")</f>
        <v/>
      </c>
      <c r="Y63">
        <f>HYPERLINK("https://klasma.github.io/Logging_2513/kartor_geotiff/A 71902-2021 georefererad karta.tif", "A 71902-2021")</f>
        <v/>
      </c>
      <c r="AA63">
        <f>HYPERLINK("https://klasma.github.io/Logging_2513/klagomål/A 71902-2021 FSC-klagomål.docx", "A 71902-2021")</f>
        <v/>
      </c>
      <c r="AB63">
        <f>HYPERLINK("https://klasma.github.io/Logging_2513/klagomålsmail/A 71902-2021 FSC-klagomål mail.docx", "A 71902-2021")</f>
        <v/>
      </c>
      <c r="AC63">
        <f>HYPERLINK("https://klasma.github.io/Logging_2513/tillsyn/A 71902-2021 tillsynsbegäran.docx", "A 71902-2021")</f>
        <v/>
      </c>
      <c r="AD63">
        <f>HYPERLINK("https://klasma.github.io/Logging_2513/tillsynsmail/A 71902-2021 tillsynsbegäran mail.docx", "A 71902-2021")</f>
        <v/>
      </c>
      <c r="AE63">
        <f>HYPERLINK("https://klasma.github.io/Logging_2513/fåglar/A 71902-2021 prioriterade fågelarter.docx", "A 71902-2021")</f>
        <v/>
      </c>
    </row>
    <row r="64" ht="15" customHeight="1">
      <c r="A64" t="inlineStr">
        <is>
          <t>A 22977-2022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44717</v>
      </c>
      <c r="E64" s="1" t="n">
        <v>46320</v>
      </c>
      <c r="F64" t="inlineStr">
        <is>
          <t>NORRBOTTENS LÄN</t>
        </is>
      </c>
      <c r="G64" t="inlineStr">
        <is>
          <t>ÖVERKALIX</t>
        </is>
      </c>
      <c r="I64" t="n">
        <v>19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Bivråk</t>
        </is>
      </c>
      <c r="W64">
        <f>HYPERLINK("https://klasma.github.io/Logging_2513/artfynd/A 22977-2022 artfynd.xlsx", "A 22977-2022")</f>
        <v/>
      </c>
      <c r="X64">
        <f>HYPERLINK("https://klasma.github.io/Logging_2513/kartor/A 22977-2022 karta.png", "A 22977-2022")</f>
        <v/>
      </c>
      <c r="Y64">
        <f>HYPERLINK("https://klasma.github.io/Logging_2513/kartor_geotiff/A 22977-2022 georefererad karta.tif", "A 22977-2022")</f>
        <v/>
      </c>
      <c r="AA64">
        <f>HYPERLINK("https://klasma.github.io/Logging_2513/klagomål/A 22977-2022 FSC-klagomål.docx", "A 22977-2022")</f>
        <v/>
      </c>
      <c r="AB64">
        <f>HYPERLINK("https://klasma.github.io/Logging_2513/klagomålsmail/A 22977-2022 FSC-klagomål mail.docx", "A 22977-2022")</f>
        <v/>
      </c>
      <c r="AC64">
        <f>HYPERLINK("https://klasma.github.io/Logging_2513/tillsyn/A 22977-2022 tillsynsbegäran.docx", "A 22977-2022")</f>
        <v/>
      </c>
      <c r="AD64">
        <f>HYPERLINK("https://klasma.github.io/Logging_2513/tillsynsmail/A 22977-2022 tillsynsbegäran mail.docx", "A 22977-2022")</f>
        <v/>
      </c>
      <c r="AE64">
        <f>HYPERLINK("https://klasma.github.io/Logging_2513/fåglar/A 22977-2022 prioriterade fågelarter.docx", "A 22977-2022")</f>
        <v/>
      </c>
    </row>
    <row r="65" ht="15" customHeight="1">
      <c r="A65" t="inlineStr">
        <is>
          <t>A 37532-2022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46320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 taggsvamp</t>
        </is>
      </c>
      <c r="W65">
        <f>HYPERLINK("https://klasma.github.io/Logging_2513/artfynd/A 37532-2022 artfynd.xlsx", "A 37532-2022")</f>
        <v/>
      </c>
      <c r="X65">
        <f>HYPERLINK("https://klasma.github.io/Logging_2513/kartor/A 37532-2022 karta.png", "A 37532-2022")</f>
        <v/>
      </c>
      <c r="Y65">
        <f>HYPERLINK("https://klasma.github.io/Logging_2513/kartor_geotiff/A 37532-2022 georefererad karta.tif", "A 37532-2022")</f>
        <v/>
      </c>
      <c r="AA65">
        <f>HYPERLINK("https://klasma.github.io/Logging_2513/klagomål/A 37532-2022 FSC-klagomål.docx", "A 37532-2022")</f>
        <v/>
      </c>
      <c r="AB65">
        <f>HYPERLINK("https://klasma.github.io/Logging_2513/klagomålsmail/A 37532-2022 FSC-klagomål mail.docx", "A 37532-2022")</f>
        <v/>
      </c>
      <c r="AC65">
        <f>HYPERLINK("https://klasma.github.io/Logging_2513/tillsyn/A 37532-2022 tillsynsbegäran.docx", "A 37532-2022")</f>
        <v/>
      </c>
      <c r="AD65">
        <f>HYPERLINK("https://klasma.github.io/Logging_2513/tillsynsmail/A 37532-2022 tillsynsbegäran mail.docx", "A 37532-2022")</f>
        <v/>
      </c>
    </row>
    <row r="66" ht="15" customHeight="1">
      <c r="A66" t="inlineStr">
        <is>
          <t>A 8407-2025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46320</v>
      </c>
      <c r="F66" t="inlineStr">
        <is>
          <t>NORRBOTTENS LÄN</t>
        </is>
      </c>
      <c r="G66" t="inlineStr">
        <is>
          <t>ÖVERKALIX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Tallbit</t>
        </is>
      </c>
      <c r="W66">
        <f>HYPERLINK("https://klasma.github.io/Logging_2513/artfynd/A 8407-2025 artfynd.xlsx", "A 8407-2025")</f>
        <v/>
      </c>
      <c r="X66">
        <f>HYPERLINK("https://klasma.github.io/Logging_2513/kartor/A 8407-2025 karta.png", "A 8407-2025")</f>
        <v/>
      </c>
      <c r="Y66">
        <f>HYPERLINK("https://klasma.github.io/Logging_2513/kartor_geotiff/A 8407-2025 georefererad karta.tif", "A 8407-2025")</f>
        <v/>
      </c>
      <c r="AA66">
        <f>HYPERLINK("https://klasma.github.io/Logging_2513/klagomål/A 8407-2025 FSC-klagomål.docx", "A 8407-2025")</f>
        <v/>
      </c>
      <c r="AB66">
        <f>HYPERLINK("https://klasma.github.io/Logging_2513/klagomålsmail/A 8407-2025 FSC-klagomål mail.docx", "A 8407-2025")</f>
        <v/>
      </c>
      <c r="AC66">
        <f>HYPERLINK("https://klasma.github.io/Logging_2513/tillsyn/A 8407-2025 tillsynsbegäran.docx", "A 8407-2025")</f>
        <v/>
      </c>
      <c r="AD66">
        <f>HYPERLINK("https://klasma.github.io/Logging_2513/tillsynsmail/A 8407-2025 tillsynsbegäran mail.docx", "A 8407-2025")</f>
        <v/>
      </c>
      <c r="AE66">
        <f>HYPERLINK("https://klasma.github.io/Logging_2513/fåglar/A 8407-2025 prioriterade fågelarter.docx", "A 8407-2025")</f>
        <v/>
      </c>
    </row>
    <row r="67" ht="15" customHeight="1">
      <c r="A67" t="inlineStr">
        <is>
          <t>A 7234-2023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46320</v>
      </c>
      <c r="F67" t="inlineStr">
        <is>
          <t>NORRBOTTENS LÄN</t>
        </is>
      </c>
      <c r="G67" t="inlineStr">
        <is>
          <t>ÖVERKALIX</t>
        </is>
      </c>
      <c r="I67" t="n">
        <v>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HYPERLINK("https://klasma.github.io/Logging_2513/artfynd/A 7234-2023 artfynd.xlsx", "A 7234-2023")</f>
        <v/>
      </c>
      <c r="X67">
        <f>HYPERLINK("https://klasma.github.io/Logging_2513/kartor/A 7234-2023 karta.png", "A 7234-2023")</f>
        <v/>
      </c>
      <c r="Y67">
        <f>HYPERLINK("https://klasma.github.io/Logging_2513/kartor_geotiff/A 7234-2023 georefererad karta.tif", "A 7234-2023")</f>
        <v/>
      </c>
      <c r="AA67">
        <f>HYPERLINK("https://klasma.github.io/Logging_2513/klagomål/A 7234-2023 FSC-klagomål.docx", "A 7234-2023")</f>
        <v/>
      </c>
      <c r="AB67">
        <f>HYPERLINK("https://klasma.github.io/Logging_2513/klagomålsmail/A 7234-2023 FSC-klagomål mail.docx", "A 7234-2023")</f>
        <v/>
      </c>
      <c r="AC67">
        <f>HYPERLINK("https://klasma.github.io/Logging_2513/tillsyn/A 7234-2023 tillsynsbegäran.docx", "A 7234-2023")</f>
        <v/>
      </c>
      <c r="AD67">
        <f>HYPERLINK("https://klasma.github.io/Logging_2513/tillsynsmail/A 7234-2023 tillsynsbegäran mail.docx", "A 7234-2023")</f>
        <v/>
      </c>
      <c r="AE67">
        <f>HYPERLINK("https://klasma.github.io/Logging_2513/fåglar/A 7234-2023 prioriterade fågelarter.docx", "A 7234-2023")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46320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46320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46320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46320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46320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46320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44717</v>
      </c>
      <c r="E74" s="1" t="n">
        <v>46320</v>
      </c>
      <c r="F74" t="inlineStr">
        <is>
          <t>NORRBOTTENS LÄN</t>
        </is>
      </c>
      <c r="G74" t="inlineStr">
        <is>
          <t>ÖVERKALIX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46320</v>
      </c>
      <c r="F75" t="inlineStr">
        <is>
          <t>NORRBOTTENS LÄN</t>
        </is>
      </c>
      <c r="G75" t="inlineStr">
        <is>
          <t>ÖVERKALIX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HYPERLINK("https://klasma.github.io/Logging_2513/knärot/A 29706-2022 karta knärot.png", "A 29706-2022")</f>
        <v/>
      </c>
      <c r="AA75">
        <f>HYPERLINK("https://klasma.github.io/Logging_2513/klagomål/A 29706-2022 FSC-klagomål.docx", "A 29706-2022")</f>
        <v/>
      </c>
      <c r="AB75">
        <f>HYPERLINK("https://klasma.github.io/Logging_2513/klagomålsmail/A 29706-2022 FSC-klagomål mail.docx", "A 29706-2022")</f>
        <v/>
      </c>
      <c r="AC75">
        <f>HYPERLINK("https://klasma.github.io/Logging_2513/tillsyn/A 29706-2022 tillsynsbegäran.docx", "A 29706-2022")</f>
        <v/>
      </c>
      <c r="AD75">
        <f>HYPERLINK("https://klasma.github.io/Logging_2513/tillsynsmail/A 29706-2022 tillsynsbegäran mail.docx", "A 29706-2022")</f>
        <v/>
      </c>
    </row>
    <row r="76" ht="15" customHeight="1">
      <c r="A76" t="inlineStr">
        <is>
          <t>A 6907-2022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46320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21847-2022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44711</v>
      </c>
      <c r="E77" s="1" t="n">
        <v>46320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46320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46320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46320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46320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46320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46320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46320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46320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46320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46320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46320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46320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46320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46320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40329-2023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46320</v>
      </c>
      <c r="F92" t="inlineStr">
        <is>
          <t>NORRBOTTENS LÄN</t>
        </is>
      </c>
      <c r="G92" t="inlineStr">
        <is>
          <t>ÖVERKALIX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46320</v>
      </c>
      <c r="F93" t="inlineStr">
        <is>
          <t>NORRBOTTENS LÄN</t>
        </is>
      </c>
      <c r="G93" t="inlineStr">
        <is>
          <t>ÖVERKALIX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45086</v>
      </c>
      <c r="E94" s="1" t="n">
        <v>46320</v>
      </c>
      <c r="F94" t="inlineStr">
        <is>
          <t>NORRBOTTENS LÄN</t>
        </is>
      </c>
      <c r="G94" t="inlineStr">
        <is>
          <t>ÖVERKALIX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45308</v>
      </c>
      <c r="E95" s="1" t="n">
        <v>46320</v>
      </c>
      <c r="F95" t="inlineStr">
        <is>
          <t>NORRBOTTENS LÄN</t>
        </is>
      </c>
      <c r="G95" t="inlineStr">
        <is>
          <t>ÖVERKALIX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45807</v>
      </c>
      <c r="E96" s="1" t="n">
        <v>46320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37.4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46320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46320</v>
      </c>
      <c r="F98" t="inlineStr">
        <is>
          <t>NORRBOTTENS LÄN</t>
        </is>
      </c>
      <c r="G98" t="inlineStr">
        <is>
          <t>ÖVERKALIX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46320</v>
      </c>
      <c r="F99" t="inlineStr">
        <is>
          <t>NORRBOTTENS LÄN</t>
        </is>
      </c>
      <c r="G99" t="inlineStr">
        <is>
          <t>ÖVERKALIX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46320</v>
      </c>
      <c r="F100" t="inlineStr">
        <is>
          <t>NORRBOTTENS LÄN</t>
        </is>
      </c>
      <c r="G100" t="inlineStr">
        <is>
          <t>ÖVERKALIX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46320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46320</v>
      </c>
      <c r="F102" t="inlineStr">
        <is>
          <t>NORRBOTTENS LÄN</t>
        </is>
      </c>
      <c r="G102" t="inlineStr">
        <is>
          <t>ÖVERKALIX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46320</v>
      </c>
      <c r="F103" t="inlineStr">
        <is>
          <t>NORRBOTTENS LÄN</t>
        </is>
      </c>
      <c r="G103" t="inlineStr">
        <is>
          <t>ÖVERKALIX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46320</v>
      </c>
      <c r="F104" t="inlineStr">
        <is>
          <t>NORRBOTTENS LÄN</t>
        </is>
      </c>
      <c r="G104" t="inlineStr">
        <is>
          <t>ÖVERKALIX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30881-2024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45498</v>
      </c>
      <c r="E105" s="1" t="n">
        <v>46320</v>
      </c>
      <c r="F105" t="inlineStr">
        <is>
          <t>NORRBOTTENS LÄN</t>
        </is>
      </c>
      <c r="G105" t="inlineStr">
        <is>
          <t>ÖVERKALIX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46320</v>
      </c>
      <c r="F106" t="inlineStr">
        <is>
          <t>NORRBOTTENS LÄN</t>
        </is>
      </c>
      <c r="G106" t="inlineStr">
        <is>
          <t>ÖVERKALIX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46320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10.4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46320</v>
      </c>
      <c r="F108" t="inlineStr">
        <is>
          <t>NORRBOTTENS LÄN</t>
        </is>
      </c>
      <c r="G108" t="inlineStr">
        <is>
          <t>ÖVERKALIX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46320</v>
      </c>
      <c r="F109" t="inlineStr">
        <is>
          <t>NORRBOTTENS LÄN</t>
        </is>
      </c>
      <c r="G109" t="inlineStr">
        <is>
          <t>ÖVERKALIX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46320</v>
      </c>
      <c r="F110" t="inlineStr">
        <is>
          <t>NORRBOTTENS LÄN</t>
        </is>
      </c>
      <c r="G110" t="inlineStr">
        <is>
          <t>ÖVERKALIX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46320</v>
      </c>
      <c r="F111" t="inlineStr">
        <is>
          <t>NORRBOTTENS LÄN</t>
        </is>
      </c>
      <c r="G111" t="inlineStr">
        <is>
          <t>ÖVERKALIX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43626-2025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46320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46320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46164</v>
      </c>
      <c r="E114" s="1" t="n">
        <v>46320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44754-2025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45917</v>
      </c>
      <c r="E115" s="1" t="n">
        <v>46320</v>
      </c>
      <c r="F115" t="inlineStr">
        <is>
          <t>NORRBOTTENS LÄN</t>
        </is>
      </c>
      <c r="G115" t="inlineStr">
        <is>
          <t>ÖVERKALIX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46320</v>
      </c>
      <c r="F116" t="inlineStr">
        <is>
          <t>NORRBOTTENS LÄN</t>
        </is>
      </c>
      <c r="G116" t="inlineStr">
        <is>
          <t>ÖVERKALIX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46320</v>
      </c>
      <c r="F117" t="inlineStr">
        <is>
          <t>NORRBOTTENS LÄN</t>
        </is>
      </c>
      <c r="G117" t="inlineStr">
        <is>
          <t>ÖVERKALIX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46320</v>
      </c>
      <c r="F118" t="inlineStr">
        <is>
          <t>NORRBOTTENS LÄN</t>
        </is>
      </c>
      <c r="G118" t="inlineStr">
        <is>
          <t>ÖVERKALIX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28372-2025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45818</v>
      </c>
      <c r="E119" s="1" t="n">
        <v>46320</v>
      </c>
      <c r="F119" t="inlineStr">
        <is>
          <t>NORRBOTTENS LÄN</t>
        </is>
      </c>
      <c r="G119" t="inlineStr">
        <is>
          <t>ÖVERKALIX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46167</v>
      </c>
      <c r="E120" s="1" t="n">
        <v>46320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45535-2025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45922</v>
      </c>
      <c r="E121" s="1" t="n">
        <v>46320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46167</v>
      </c>
      <c r="E122" s="1" t="n">
        <v>46320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23953-2026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46167</v>
      </c>
      <c r="E123" s="1" t="n">
        <v>46320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46167</v>
      </c>
      <c r="E124" s="1" t="n">
        <v>46320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46320</v>
      </c>
      <c r="F125" t="inlineStr">
        <is>
          <t>NORRBOTTENS LÄN</t>
        </is>
      </c>
      <c r="G125" t="inlineStr">
        <is>
          <t>ÖVERKALIX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46320</v>
      </c>
      <c r="F126" t="inlineStr">
        <is>
          <t>NORRBOTTENS LÄN</t>
        </is>
      </c>
      <c r="G126" t="inlineStr">
        <is>
          <t>ÖVERKALIX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46320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46320</v>
      </c>
      <c r="F128" t="inlineStr">
        <is>
          <t>NORRBOTTENS LÄN</t>
        </is>
      </c>
      <c r="G128" t="inlineStr">
        <is>
          <t>ÖVERKALIX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46170</v>
      </c>
      <c r="E129" s="1" t="n">
        <v>46320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46320</v>
      </c>
      <c r="F130" t="inlineStr">
        <is>
          <t>NORRBOTTENS LÄN</t>
        </is>
      </c>
      <c r="G130" t="inlineStr">
        <is>
          <t>ÖVERKALIX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46320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45429</v>
      </c>
      <c r="E132" s="1" t="n">
        <v>46320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22.7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46320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46320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46320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46320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45154</v>
      </c>
      <c r="E137" s="1" t="n">
        <v>46320</v>
      </c>
      <c r="F137" t="inlineStr">
        <is>
          <t>NORRBOTTENS LÄN</t>
        </is>
      </c>
      <c r="G137" t="inlineStr">
        <is>
          <t>ÖVERKALIX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46320</v>
      </c>
      <c r="F138" t="inlineStr">
        <is>
          <t>NORRBOTTENS LÄN</t>
        </is>
      </c>
      <c r="G138" t="inlineStr">
        <is>
          <t>ÖVERKALIX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46320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46320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46320</v>
      </c>
      <c r="F141" t="inlineStr">
        <is>
          <t>NORRBOTTENS LÄN</t>
        </is>
      </c>
      <c r="G141" t="inlineStr">
        <is>
          <t>ÖVERKALIX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46320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46320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45692</v>
      </c>
      <c r="E144" s="1" t="n">
        <v>46320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46320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46320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46320</v>
      </c>
      <c r="F147" t="inlineStr">
        <is>
          <t>NORRBOTTENS LÄN</t>
        </is>
      </c>
      <c r="G147" t="inlineStr">
        <is>
          <t>ÖVERKALIX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46320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45075</v>
      </c>
      <c r="E149" s="1" t="n">
        <v>46320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44546</v>
      </c>
      <c r="E150" s="1" t="n">
        <v>46320</v>
      </c>
      <c r="F150" t="inlineStr">
        <is>
          <t>NORRBOTTENS LÄN</t>
        </is>
      </c>
      <c r="G150" t="inlineStr">
        <is>
          <t>ÖVERKALIX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46320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44910</v>
      </c>
      <c r="E152" s="1" t="n">
        <v>46320</v>
      </c>
      <c r="F152" t="inlineStr">
        <is>
          <t>NORRBOTTENS LÄN</t>
        </is>
      </c>
      <c r="G152" t="inlineStr">
        <is>
          <t>ÖVERKALIX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46320</v>
      </c>
      <c r="F153" t="inlineStr">
        <is>
          <t>NORRBOTTENS LÄN</t>
        </is>
      </c>
      <c r="G153" t="inlineStr">
        <is>
          <t>ÖVERKALIX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46320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46320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45949</v>
      </c>
      <c r="E156" s="1" t="n">
        <v>46320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46320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46320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45160</v>
      </c>
      <c r="E159" s="1" t="n">
        <v>46320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51634-2025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45951</v>
      </c>
      <c r="E160" s="1" t="n">
        <v>46320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46320</v>
      </c>
      <c r="F161" t="inlineStr">
        <is>
          <t>NORRBOTTENS LÄN</t>
        </is>
      </c>
      <c r="G161" t="inlineStr">
        <is>
          <t>ÖVERKALIX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46320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52591-2025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45954</v>
      </c>
      <c r="E163" s="1" t="n">
        <v>46320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46320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46183</v>
      </c>
      <c r="E165" s="1" t="n">
        <v>46320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17.7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46320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45621</v>
      </c>
      <c r="E167" s="1" t="n">
        <v>46320</v>
      </c>
      <c r="F167" t="inlineStr">
        <is>
          <t>NORRBOTTENS LÄN</t>
        </is>
      </c>
      <c r="G167" t="inlineStr">
        <is>
          <t>ÖVERKALIX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46320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9.9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46320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46320</v>
      </c>
      <c r="F170" t="inlineStr">
        <is>
          <t>NORRBOTTENS LÄN</t>
        </is>
      </c>
      <c r="G170" t="inlineStr">
        <is>
          <t>ÖVERKALIX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46320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46320</v>
      </c>
      <c r="F172" t="inlineStr">
        <is>
          <t>NORRBOTTENS LÄN</t>
        </is>
      </c>
      <c r="G172" t="inlineStr">
        <is>
          <t>ÖVERKALIX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46320</v>
      </c>
      <c r="F173" t="inlineStr">
        <is>
          <t>NORRBOTTENS LÄN</t>
        </is>
      </c>
      <c r="G173" t="inlineStr">
        <is>
          <t>ÖVERKALIX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46320</v>
      </c>
      <c r="F174" t="inlineStr">
        <is>
          <t>NORRBOTTENS LÄN</t>
        </is>
      </c>
      <c r="G174" t="inlineStr">
        <is>
          <t>ÖVERKALIX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46320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46320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28210-2026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46196</v>
      </c>
      <c r="E177" s="1" t="n">
        <v>46320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46320</v>
      </c>
      <c r="F178" t="inlineStr">
        <is>
          <t>NORRBOTTENS LÄN</t>
        </is>
      </c>
      <c r="G178" t="inlineStr">
        <is>
          <t>ÖVERKALIX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46320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46320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46199</v>
      </c>
      <c r="E181" s="1" t="n">
        <v>46320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46320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46320</v>
      </c>
      <c r="F183" t="inlineStr">
        <is>
          <t>NORRBOTTENS LÄN</t>
        </is>
      </c>
      <c r="G183" t="inlineStr">
        <is>
          <t>ÖVERKALIX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57744-2025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45981</v>
      </c>
      <c r="E184" s="1" t="n">
        <v>46320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46320</v>
      </c>
      <c r="F185" t="inlineStr">
        <is>
          <t>NORRBOTTENS LÄN</t>
        </is>
      </c>
      <c r="G185" t="inlineStr">
        <is>
          <t>ÖVERKALIX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46205</v>
      </c>
      <c r="E186" s="1" t="n">
        <v>46320</v>
      </c>
      <c r="F186" t="inlineStr">
        <is>
          <t>NORRBOTTENS LÄN</t>
        </is>
      </c>
      <c r="G186" t="inlineStr">
        <is>
          <t>ÖVERKALIX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29937-2026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46205</v>
      </c>
      <c r="E187" s="1" t="n">
        <v>46320</v>
      </c>
      <c r="F187" t="inlineStr">
        <is>
          <t>NORRBOTTENS LÄN</t>
        </is>
      </c>
      <c r="G187" t="inlineStr">
        <is>
          <t>ÖVERKALIX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46320</v>
      </c>
      <c r="F188" t="inlineStr">
        <is>
          <t>NORRBOTTENS LÄN</t>
        </is>
      </c>
      <c r="G188" t="inlineStr">
        <is>
          <t>ÖVERKALIX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46320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46320</v>
      </c>
      <c r="F190" t="inlineStr">
        <is>
          <t>NORRBOTTENS LÄN</t>
        </is>
      </c>
      <c r="G190" t="inlineStr">
        <is>
          <t>ÖVERKALIX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46320</v>
      </c>
      <c r="F191" t="inlineStr">
        <is>
          <t>NORRBOTTENS LÄN</t>
        </is>
      </c>
      <c r="G191" t="inlineStr">
        <is>
          <t>ÖVERKALIX</t>
        </is>
      </c>
      <c r="I191" t="n">
        <v>16.1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46320</v>
      </c>
      <c r="F192" t="inlineStr">
        <is>
          <t>NORRBOTTENS LÄN</t>
        </is>
      </c>
      <c r="G192" t="inlineStr">
        <is>
          <t>ÖVERKALIX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30326-2026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46207</v>
      </c>
      <c r="E193" s="1" t="n">
        <v>46320</v>
      </c>
      <c r="F193" t="inlineStr">
        <is>
          <t>NORRBOTTENS LÄN</t>
        </is>
      </c>
      <c r="G193" t="inlineStr">
        <is>
          <t>ÖVERKALIX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30327-2026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46207</v>
      </c>
      <c r="E194" s="1" t="n">
        <v>46320</v>
      </c>
      <c r="F194" t="inlineStr">
        <is>
          <t>NORRBOTTENS LÄN</t>
        </is>
      </c>
      <c r="G194" t="inlineStr">
        <is>
          <t>ÖVERKALIX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46320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46320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46320</v>
      </c>
      <c r="F197" t="inlineStr">
        <is>
          <t>NORRBOTTENS LÄN</t>
        </is>
      </c>
      <c r="G197" t="inlineStr">
        <is>
          <t>ÖVERKALIX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30241-2026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46206</v>
      </c>
      <c r="E198" s="1" t="n">
        <v>46320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45554</v>
      </c>
      <c r="E199" s="1" t="n">
        <v>46320</v>
      </c>
      <c r="F199" t="inlineStr">
        <is>
          <t>NORRBOTTENS LÄN</t>
        </is>
      </c>
      <c r="G199" t="inlineStr">
        <is>
          <t>ÖVERKALIX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46320</v>
      </c>
      <c r="F200" t="inlineStr">
        <is>
          <t>NORRBOTTENS LÄN</t>
        </is>
      </c>
      <c r="G200" t="inlineStr">
        <is>
          <t>ÖVERKALIX</t>
        </is>
      </c>
      <c r="I200" t="n">
        <v>22.3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46320</v>
      </c>
      <c r="F201" t="inlineStr">
        <is>
          <t>NORRBOTTENS LÄN</t>
        </is>
      </c>
      <c r="G201" t="inlineStr">
        <is>
          <t>ÖVERKALIX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30328-2026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46207</v>
      </c>
      <c r="E202" s="1" t="n">
        <v>46320</v>
      </c>
      <c r="F202" t="inlineStr">
        <is>
          <t>NORRBOTTENS LÄN</t>
        </is>
      </c>
      <c r="G202" t="inlineStr">
        <is>
          <t>ÖVERKALIX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72623-2021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44546</v>
      </c>
      <c r="E203" s="1" t="n">
        <v>46320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46320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46320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46320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46320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44823</v>
      </c>
      <c r="E208" s="1" t="n">
        <v>46320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46320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46320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46320</v>
      </c>
      <c r="F211" t="inlineStr">
        <is>
          <t>NORRBOTTENS LÄN</t>
        </is>
      </c>
      <c r="G211" t="inlineStr">
        <is>
          <t>ÖVERKALIX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45548</v>
      </c>
      <c r="E212" s="1" t="n">
        <v>46320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46320</v>
      </c>
      <c r="F213" t="inlineStr">
        <is>
          <t>NORRBOTTENS LÄN</t>
        </is>
      </c>
      <c r="G213" t="inlineStr">
        <is>
          <t>ÖVERKALIX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46320</v>
      </c>
      <c r="F214" t="inlineStr">
        <is>
          <t>NORRBOTTENS LÄN</t>
        </is>
      </c>
      <c r="G214" t="inlineStr">
        <is>
          <t>ÖVERKALIX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46320</v>
      </c>
      <c r="F215" t="inlineStr">
        <is>
          <t>NORRBOTTENS LÄN</t>
        </is>
      </c>
      <c r="G215" t="inlineStr">
        <is>
          <t>ÖVERKALIX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46320</v>
      </c>
      <c r="F216" t="inlineStr">
        <is>
          <t>NORRBOTTENS LÄN</t>
        </is>
      </c>
      <c r="G216" t="inlineStr">
        <is>
          <t>ÖVERKALIX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46320</v>
      </c>
      <c r="F217" t="inlineStr">
        <is>
          <t>NORRBOTTENS LÄN</t>
        </is>
      </c>
      <c r="G217" t="inlineStr">
        <is>
          <t>ÖVERKALIX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46320</v>
      </c>
      <c r="F218" t="inlineStr">
        <is>
          <t>NORRBOTTENS LÄN</t>
        </is>
      </c>
      <c r="G218" t="inlineStr">
        <is>
          <t>ÖVERKALIX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45641</v>
      </c>
      <c r="E219" s="1" t="n">
        <v>46320</v>
      </c>
      <c r="F219" t="inlineStr">
        <is>
          <t>NORRBOTTENS LÄN</t>
        </is>
      </c>
      <c r="G219" t="inlineStr">
        <is>
          <t>ÖVERKALIX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46320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46320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46225</v>
      </c>
      <c r="E222" s="1" t="n">
        <v>46320</v>
      </c>
      <c r="F222" t="inlineStr">
        <is>
          <t>NORRBOTTENS LÄN</t>
        </is>
      </c>
      <c r="G222" t="inlineStr">
        <is>
          <t>ÖVERKALIX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46320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46320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31832-2026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46230</v>
      </c>
      <c r="E225" s="1" t="n">
        <v>46320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46320</v>
      </c>
      <c r="F226" t="inlineStr">
        <is>
          <t>NORRBOTTENS LÄN</t>
        </is>
      </c>
      <c r="G226" t="inlineStr">
        <is>
          <t>ÖVERKALIX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46280</v>
      </c>
      <c r="E227" s="1" t="n">
        <v>46320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46320</v>
      </c>
      <c r="F228" t="inlineStr">
        <is>
          <t>NORRBOTTENS LÄN</t>
        </is>
      </c>
      <c r="G228" t="inlineStr">
        <is>
          <t>ÖVERKALIX</t>
        </is>
      </c>
      <c r="I228" t="n">
        <v>21.7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37683-2026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46278</v>
      </c>
      <c r="E229" s="1" t="n">
        <v>46320</v>
      </c>
      <c r="F229" t="inlineStr">
        <is>
          <t>NORRBOTTENS LÄN</t>
        </is>
      </c>
      <c r="G229" t="inlineStr">
        <is>
          <t>ÖVERKALIX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46320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45785</v>
      </c>
      <c r="E231" s="1" t="n">
        <v>46320</v>
      </c>
      <c r="F231" t="inlineStr">
        <is>
          <t>NORRBOTTENS LÄN</t>
        </is>
      </c>
      <c r="G231" t="inlineStr">
        <is>
          <t>ÖVERKALIX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46320</v>
      </c>
      <c r="F232" t="inlineStr">
        <is>
          <t>NORRBOTTENS LÄN</t>
        </is>
      </c>
      <c r="G232" t="inlineStr">
        <is>
          <t>ÖVERKALIX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63451-2025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46320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46320</v>
      </c>
      <c r="F234" t="inlineStr">
        <is>
          <t>NORRBOTTENS LÄN</t>
        </is>
      </c>
      <c r="G234" t="inlineStr">
        <is>
          <t>ÖVERKALIX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46320</v>
      </c>
      <c r="F235" t="inlineStr">
        <is>
          <t>NORRBOTTENS LÄN</t>
        </is>
      </c>
      <c r="G235" t="inlineStr">
        <is>
          <t>ÖVERKALIX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46281</v>
      </c>
      <c r="E236" s="1" t="n">
        <v>46320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46281</v>
      </c>
      <c r="E237" s="1" t="n">
        <v>46320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38134-2026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46281</v>
      </c>
      <c r="E238" s="1" t="n">
        <v>46320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20.1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46238</v>
      </c>
      <c r="E239" s="1" t="n">
        <v>46320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46320</v>
      </c>
      <c r="F240" t="inlineStr">
        <is>
          <t>NORRBOTTENS LÄN</t>
        </is>
      </c>
      <c r="G240" t="inlineStr">
        <is>
          <t>ÖVERKALIX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46320</v>
      </c>
      <c r="F241" t="inlineStr">
        <is>
          <t>NORRBOTTENS LÄN</t>
        </is>
      </c>
      <c r="G241" t="inlineStr">
        <is>
          <t>ÖVERKALIX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46320</v>
      </c>
      <c r="F242" t="inlineStr">
        <is>
          <t>NORRBOTTENS LÄN</t>
        </is>
      </c>
      <c r="G242" t="inlineStr">
        <is>
          <t>ÖVERKALIX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46320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45463</v>
      </c>
      <c r="E244" s="1" t="n">
        <v>46320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45796</v>
      </c>
      <c r="E245" s="1" t="n">
        <v>46320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46320</v>
      </c>
      <c r="F246" t="inlineStr">
        <is>
          <t>NORRBOTTENS LÄN</t>
        </is>
      </c>
      <c r="G246" t="inlineStr">
        <is>
          <t>ÖVERKALIX</t>
        </is>
      </c>
      <c r="I246" t="n">
        <v>10.4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46320</v>
      </c>
      <c r="F247" t="inlineStr">
        <is>
          <t>NORRBOTTENS LÄN</t>
        </is>
      </c>
      <c r="G247" t="inlineStr">
        <is>
          <t>ÖVERKALIX</t>
        </is>
      </c>
      <c r="I247" t="n">
        <v>12.5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46320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46320</v>
      </c>
      <c r="F249" t="inlineStr">
        <is>
          <t>NORRBOTTENS LÄN</t>
        </is>
      </c>
      <c r="G249" t="inlineStr">
        <is>
          <t>ÖVERKALIX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46320</v>
      </c>
      <c r="F250" t="inlineStr">
        <is>
          <t>NORRBOTTENS LÄN</t>
        </is>
      </c>
      <c r="G250" t="inlineStr">
        <is>
          <t>ÖVERKALIX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45712</v>
      </c>
      <c r="E251" s="1" t="n">
        <v>46320</v>
      </c>
      <c r="F251" t="inlineStr">
        <is>
          <t>NORRBOTTENS LÄN</t>
        </is>
      </c>
      <c r="G251" t="inlineStr">
        <is>
          <t>ÖVERKALIX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46320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45793</v>
      </c>
      <c r="E253" s="1" t="n">
        <v>46320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46288</v>
      </c>
      <c r="E254" s="1" t="n">
        <v>46320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46320</v>
      </c>
      <c r="F255" t="inlineStr">
        <is>
          <t>NORRBOTTENS LÄN</t>
        </is>
      </c>
      <c r="G255" t="inlineStr">
        <is>
          <t>ÖVERKALIX</t>
        </is>
      </c>
      <c r="I255" t="n">
        <v>12.9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46287</v>
      </c>
      <c r="E256" s="1" t="n">
        <v>46320</v>
      </c>
      <c r="F256" t="inlineStr">
        <is>
          <t>NORRBOTTENS LÄN</t>
        </is>
      </c>
      <c r="G256" t="inlineStr">
        <is>
          <t>ÖVERKALIX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46320</v>
      </c>
      <c r="F257" t="inlineStr">
        <is>
          <t>NORRBOTTENS LÄN</t>
        </is>
      </c>
      <c r="G257" t="inlineStr">
        <is>
          <t>ÖVERKALIX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46320</v>
      </c>
      <c r="F258" t="inlineStr">
        <is>
          <t>NORRBOTTENS LÄN</t>
        </is>
      </c>
      <c r="G258" t="inlineStr">
        <is>
          <t>ÖVERKALIX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46244</v>
      </c>
      <c r="E259" s="1" t="n">
        <v>46320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45323</v>
      </c>
      <c r="E260" s="1" t="n">
        <v>46320</v>
      </c>
      <c r="F260" t="inlineStr">
        <is>
          <t>NORRBOTTENS LÄN</t>
        </is>
      </c>
      <c r="G260" t="inlineStr">
        <is>
          <t>ÖVERKALIX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46320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46247</v>
      </c>
      <c r="E262" s="1" t="n">
        <v>46320</v>
      </c>
      <c r="F262" t="inlineStr">
        <is>
          <t>NORRBOTTENS LÄN</t>
        </is>
      </c>
      <c r="G262" t="inlineStr">
        <is>
          <t>ÖVERKALIX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46320</v>
      </c>
      <c r="F263" t="inlineStr">
        <is>
          <t>NORRBOTTENS LÄN</t>
        </is>
      </c>
      <c r="G263" t="inlineStr">
        <is>
          <t>ÖVERKALIX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46290</v>
      </c>
      <c r="E264" s="1" t="n">
        <v>46320</v>
      </c>
      <c r="F264" t="inlineStr">
        <is>
          <t>NORRBOTTENS LÄN</t>
        </is>
      </c>
      <c r="G264" t="inlineStr">
        <is>
          <t>ÖVERKALIX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46320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46320</v>
      </c>
      <c r="F266" t="inlineStr">
        <is>
          <t>NORRBOTTENS LÄN</t>
        </is>
      </c>
      <c r="G266" t="inlineStr">
        <is>
          <t>ÖVERKALIX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33284-2026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46246</v>
      </c>
      <c r="E267" s="1" t="n">
        <v>46320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46288</v>
      </c>
      <c r="E268" s="1" t="n">
        <v>46320</v>
      </c>
      <c r="F268" t="inlineStr">
        <is>
          <t>NORRBOTTENS LÄN</t>
        </is>
      </c>
      <c r="G268" t="inlineStr">
        <is>
          <t>ÖVERKALIX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46320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46320</v>
      </c>
      <c r="F270" t="inlineStr">
        <is>
          <t>NORRBOTTENS LÄN</t>
        </is>
      </c>
      <c r="G270" t="inlineStr">
        <is>
          <t>ÖVERKALIX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46320</v>
      </c>
      <c r="F271" t="inlineStr">
        <is>
          <t>NORRBOTTENS LÄN</t>
        </is>
      </c>
      <c r="G271" t="inlineStr">
        <is>
          <t>ÖVERKALIX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46320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8.699999999999999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46320</v>
      </c>
      <c r="F273" t="inlineStr">
        <is>
          <t>NORRBOTTENS LÄN</t>
        </is>
      </c>
      <c r="G273" t="inlineStr">
        <is>
          <t>ÖVERKALIX</t>
        </is>
      </c>
      <c r="I273" t="n">
        <v>11.9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27451-2025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46320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46320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46320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45813</v>
      </c>
      <c r="E277" s="1" t="n">
        <v>46320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45813</v>
      </c>
      <c r="E278" s="1" t="n">
        <v>46320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46293</v>
      </c>
      <c r="E279" s="1" t="n">
        <v>46320</v>
      </c>
      <c r="F279" t="inlineStr">
        <is>
          <t>NORRBOTTENS LÄN</t>
        </is>
      </c>
      <c r="G279" t="inlineStr">
        <is>
          <t>ÖVERKALIX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46320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46320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46320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45819</v>
      </c>
      <c r="E283" s="1" t="n">
        <v>46320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46076</v>
      </c>
      <c r="E284" s="1" t="n">
        <v>46320</v>
      </c>
      <c r="F284" t="inlineStr">
        <is>
          <t>NORRBOTTENS LÄN</t>
        </is>
      </c>
      <c r="G284" t="inlineStr">
        <is>
          <t>ÖVERKALIX</t>
        </is>
      </c>
      <c r="I284" t="n">
        <v>10.8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46320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45821</v>
      </c>
      <c r="E286" s="1" t="n">
        <v>46320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17.2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46320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45821</v>
      </c>
      <c r="E288" s="1" t="n">
        <v>46320</v>
      </c>
      <c r="F288" t="inlineStr">
        <is>
          <t>NORRBOTTENS LÄN</t>
        </is>
      </c>
      <c r="G288" t="inlineStr">
        <is>
          <t>ÖVERKALIX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46320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46320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13.4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46320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46320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46320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46320</v>
      </c>
      <c r="F294" t="inlineStr">
        <is>
          <t>NORRBOTTENS LÄN</t>
        </is>
      </c>
      <c r="G294" t="inlineStr">
        <is>
          <t>ÖVERKALIX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46295</v>
      </c>
      <c r="E295" s="1" t="n">
        <v>46320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46320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28343-2025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45818</v>
      </c>
      <c r="E297" s="1" t="n">
        <v>46320</v>
      </c>
      <c r="F297" t="inlineStr">
        <is>
          <t>NORRBOTTENS LÄN</t>
        </is>
      </c>
      <c r="G297" t="inlineStr">
        <is>
          <t>ÖVERKALIX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46320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46296</v>
      </c>
      <c r="E299" s="1" t="n">
        <v>46320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46320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27.1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46320</v>
      </c>
      <c r="F301" t="inlineStr">
        <is>
          <t>NORRBOTTENS LÄN</t>
        </is>
      </c>
      <c r="G301" t="inlineStr">
        <is>
          <t>ÖVERKALIX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46320</v>
      </c>
      <c r="F302" t="inlineStr">
        <is>
          <t>NORRBOTTENS LÄN</t>
        </is>
      </c>
      <c r="G302" t="inlineStr">
        <is>
          <t>ÖVERKALIX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46080</v>
      </c>
      <c r="E303" s="1" t="n">
        <v>46320</v>
      </c>
      <c r="F303" t="inlineStr">
        <is>
          <t>NORRBOTTENS LÄN</t>
        </is>
      </c>
      <c r="G303" t="inlineStr">
        <is>
          <t>ÖVERKALIX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46320</v>
      </c>
      <c r="F304" t="inlineStr">
        <is>
          <t>NORRBOTTENS LÄN</t>
        </is>
      </c>
      <c r="G304" t="inlineStr">
        <is>
          <t>ÖVERKALIX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46320</v>
      </c>
      <c r="F305" t="inlineStr">
        <is>
          <t>NORRBOTTENS LÄN</t>
        </is>
      </c>
      <c r="G305" t="inlineStr">
        <is>
          <t>ÖVERKALIX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46320</v>
      </c>
      <c r="F306" t="inlineStr">
        <is>
          <t>NORRBOTTENS LÄN</t>
        </is>
      </c>
      <c r="G306" t="inlineStr">
        <is>
          <t>ÖVERKALIX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46320</v>
      </c>
      <c r="F307" t="inlineStr">
        <is>
          <t>NORRBOTTENS LÄN</t>
        </is>
      </c>
      <c r="G307" t="inlineStr">
        <is>
          <t>ÖVERKALIX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46320</v>
      </c>
      <c r="F308" t="inlineStr">
        <is>
          <t>NORRBOTTENS LÄN</t>
        </is>
      </c>
      <c r="G308" t="inlineStr">
        <is>
          <t>ÖVERKALIX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46320</v>
      </c>
      <c r="F309" t="inlineStr">
        <is>
          <t>NORRBOTTENS LÄN</t>
        </is>
      </c>
      <c r="G309" t="inlineStr">
        <is>
          <t>ÖVERKALIX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46320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46320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46087</v>
      </c>
      <c r="E312" s="1" t="n">
        <v>46320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32933-2026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46320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31744-2025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45834</v>
      </c>
      <c r="E314" s="1" t="n">
        <v>46320</v>
      </c>
      <c r="F314" t="inlineStr">
        <is>
          <t>NORRBOTTENS LÄN</t>
        </is>
      </c>
      <c r="G314" t="inlineStr">
        <is>
          <t>ÖVERKALIX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46320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46320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45837</v>
      </c>
      <c r="E317" s="1" t="n">
        <v>46320</v>
      </c>
      <c r="F317" t="inlineStr">
        <is>
          <t>NORRBOTTENS LÄN</t>
        </is>
      </c>
      <c r="G317" t="inlineStr">
        <is>
          <t>ÖVERKALIX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46320</v>
      </c>
      <c r="F318" t="inlineStr">
        <is>
          <t>NORRBOTTENS LÄN</t>
        </is>
      </c>
      <c r="G318" t="inlineStr">
        <is>
          <t>ÖVERKALIX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46320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45837</v>
      </c>
      <c r="E320" s="1" t="n">
        <v>46320</v>
      </c>
      <c r="F320" t="inlineStr">
        <is>
          <t>NORRBOTTENS LÄN</t>
        </is>
      </c>
      <c r="G320" t="inlineStr">
        <is>
          <t>ÖVERKALIX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45837</v>
      </c>
      <c r="E321" s="1" t="n">
        <v>46320</v>
      </c>
      <c r="F321" t="inlineStr">
        <is>
          <t>NORRBOTTENS LÄN</t>
        </is>
      </c>
      <c r="G321" t="inlineStr">
        <is>
          <t>ÖVERKALIX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46320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9.199999999999999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46297</v>
      </c>
      <c r="E323" s="1" t="n">
        <v>46320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46320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46254</v>
      </c>
      <c r="E325" s="1" t="n">
        <v>46320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46320</v>
      </c>
      <c r="F326" t="inlineStr">
        <is>
          <t>NORRBOTTENS LÄN</t>
        </is>
      </c>
      <c r="G326" t="inlineStr">
        <is>
          <t>ÖVERKALIX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46320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46320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46320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34128-2025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45845</v>
      </c>
      <c r="E330" s="1" t="n">
        <v>46320</v>
      </c>
      <c r="F330" t="inlineStr">
        <is>
          <t>NORRBOTTENS LÄN</t>
        </is>
      </c>
      <c r="G330" t="inlineStr">
        <is>
          <t>ÖVERKALIX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46320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33.7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46254</v>
      </c>
      <c r="E332" s="1" t="n">
        <v>46320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46320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46320</v>
      </c>
      <c r="F334" t="inlineStr">
        <is>
          <t>NORRBOTTENS LÄN</t>
        </is>
      </c>
      <c r="G334" t="inlineStr">
        <is>
          <t>ÖVERKALIX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46320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22.8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46320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46320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46301</v>
      </c>
      <c r="E338" s="1" t="n">
        <v>46320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41508-2026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46301</v>
      </c>
      <c r="E339" s="1" t="n">
        <v>46320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46301</v>
      </c>
      <c r="E340" s="1" t="n">
        <v>46320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46320</v>
      </c>
      <c r="F341" t="inlineStr">
        <is>
          <t>NORRBOTTENS LÄN</t>
        </is>
      </c>
      <c r="G341" t="inlineStr">
        <is>
          <t>ÖVERKALIX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42152-2026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46304</v>
      </c>
      <c r="E342" s="1" t="n">
        <v>46320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46303</v>
      </c>
      <c r="E343" s="1" t="n">
        <v>46320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46320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36486-2025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45869</v>
      </c>
      <c r="E345" s="1" t="n">
        <v>46320</v>
      </c>
      <c r="F345" t="inlineStr">
        <is>
          <t>NORRBOTTENS LÄN</t>
        </is>
      </c>
      <c r="G345" t="inlineStr">
        <is>
          <t>ÖVERKALIX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46320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45870</v>
      </c>
      <c r="E347" s="1" t="n">
        <v>46320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45870</v>
      </c>
      <c r="E348" s="1" t="n">
        <v>46320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42151-2026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46304</v>
      </c>
      <c r="E349" s="1" t="n">
        <v>46320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46320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46320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35191-2026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46260</v>
      </c>
      <c r="E352" s="1" t="n">
        <v>46320</v>
      </c>
      <c r="F352" t="inlineStr">
        <is>
          <t>NORRBOTTENS LÄN</t>
        </is>
      </c>
      <c r="G352" t="inlineStr">
        <is>
          <t>ÖVERKALIX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35228-2026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46260</v>
      </c>
      <c r="E353" s="1" t="n">
        <v>46320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46320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46260</v>
      </c>
      <c r="E355" s="1" t="n">
        <v>46320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46320</v>
      </c>
      <c r="F356" t="inlineStr">
        <is>
          <t>NORRBOTTENS LÄN</t>
        </is>
      </c>
      <c r="G356" t="inlineStr">
        <is>
          <t>ÖVERKALIX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46260</v>
      </c>
      <c r="E357" s="1" t="n">
        <v>46320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46320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46320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42109-2026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46304</v>
      </c>
      <c r="E360" s="1" t="n">
        <v>46320</v>
      </c>
      <c r="F360" t="inlineStr">
        <is>
          <t>NORRBOTTENS LÄN</t>
        </is>
      </c>
      <c r="G360" t="inlineStr">
        <is>
          <t>ÖVERKALIX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46320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38026-2025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46320</v>
      </c>
      <c r="F362" t="inlineStr">
        <is>
          <t>NORRBOTTENS LÄN</t>
        </is>
      </c>
      <c r="G362" t="inlineStr">
        <is>
          <t>ÖVERKALIX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46320</v>
      </c>
      <c r="F363" t="inlineStr">
        <is>
          <t>NORRBOTTENS LÄN</t>
        </is>
      </c>
      <c r="G363" t="inlineStr">
        <is>
          <t>ÖVERKALIX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46307</v>
      </c>
      <c r="E364" s="1" t="n">
        <v>46320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46320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46320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19410-2026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46320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57870-2022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44899</v>
      </c>
      <c r="E368" s="1" t="n">
        <v>46320</v>
      </c>
      <c r="F368" t="inlineStr">
        <is>
          <t>NORRBOTTENS LÄN</t>
        </is>
      </c>
      <c r="G368" t="inlineStr">
        <is>
          <t>ÖVERKALIX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42490-2026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46308</v>
      </c>
      <c r="E369" s="1" t="n">
        <v>46320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45436</v>
      </c>
      <c r="E370" s="1" t="n">
        <v>46320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29.9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46320</v>
      </c>
      <c r="F371" t="inlineStr">
        <is>
          <t>NORRBOTTENS LÄN</t>
        </is>
      </c>
      <c r="G371" t="inlineStr">
        <is>
          <t>ÖVERKALIX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46320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45460</v>
      </c>
      <c r="E373" s="1" t="n">
        <v>46320</v>
      </c>
      <c r="F373" t="inlineStr">
        <is>
          <t>NORRBOTTENS LÄN</t>
        </is>
      </c>
      <c r="G373" t="inlineStr">
        <is>
          <t>ÖVERKALIX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45539</v>
      </c>
      <c r="E374" s="1" t="n">
        <v>46320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46309</v>
      </c>
      <c r="E375" s="1" t="n">
        <v>46320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46310</v>
      </c>
      <c r="E376" s="1" t="n">
        <v>46320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15.4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46320</v>
      </c>
      <c r="F377" t="inlineStr">
        <is>
          <t>NORRBOTTENS LÄN</t>
        </is>
      </c>
      <c r="G377" t="inlineStr">
        <is>
          <t>ÖVERKALIX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45518</v>
      </c>
      <c r="E378" s="1" t="n">
        <v>46320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45518</v>
      </c>
      <c r="E379" s="1" t="n">
        <v>46320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46320</v>
      </c>
      <c r="F380" t="inlineStr">
        <is>
          <t>NORRBOTTENS LÄN</t>
        </is>
      </c>
      <c r="G380" t="inlineStr">
        <is>
          <t>ÖVERKALIX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46320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46269</v>
      </c>
      <c r="E382" s="1" t="n">
        <v>46320</v>
      </c>
      <c r="F382" t="inlineStr">
        <is>
          <t>NORRBOTTENS LÄN</t>
        </is>
      </c>
      <c r="G382" t="inlineStr">
        <is>
          <t>ÖVERKALIX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46320</v>
      </c>
      <c r="F383" t="inlineStr">
        <is>
          <t>NORRBOTTENS LÄN</t>
        </is>
      </c>
      <c r="G383" t="inlineStr">
        <is>
          <t>ÖVERKALIX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46320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46314</v>
      </c>
      <c r="E385" s="1" t="n">
        <v>46320</v>
      </c>
      <c r="F385" t="inlineStr">
        <is>
          <t>NORRBOTTENS LÄN</t>
        </is>
      </c>
      <c r="G385" t="inlineStr">
        <is>
          <t>ÖVERKALIX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45513</v>
      </c>
      <c r="E386" s="1" t="n">
        <v>46320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9.800000000000001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46314</v>
      </c>
      <c r="E387" s="1" t="n">
        <v>46320</v>
      </c>
      <c r="F387" t="inlineStr">
        <is>
          <t>NORRBOTTENS LÄN</t>
        </is>
      </c>
      <c r="G387" t="inlineStr">
        <is>
          <t>ÖVERKALIX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46316</v>
      </c>
      <c r="E388" s="1" t="n">
        <v>46320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15301-2022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44659</v>
      </c>
      <c r="E389" s="1" t="n">
        <v>46320</v>
      </c>
      <c r="F389" t="inlineStr">
        <is>
          <t>NORRBOTTENS LÄN</t>
        </is>
      </c>
      <c r="G389" t="inlineStr">
        <is>
          <t>ÖVERKALIX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46316</v>
      </c>
      <c r="E390" s="1" t="n">
        <v>46320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46316</v>
      </c>
      <c r="E391" s="1" t="n">
        <v>46320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46320</v>
      </c>
      <c r="F392" t="inlineStr">
        <is>
          <t>NORRBOTTENS LÄN</t>
        </is>
      </c>
      <c r="G392" t="inlineStr">
        <is>
          <t>ÖVERKALIX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46320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20.5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7448-2023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46320</v>
      </c>
      <c r="F394" t="inlineStr">
        <is>
          <t>NORRBOTTENS LÄN</t>
        </is>
      </c>
      <c r="G394" t="inlineStr">
        <is>
          <t>ÖVERKALIX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44648</v>
      </c>
      <c r="E395" s="1" t="n">
        <v>46320</v>
      </c>
      <c r="F395" t="inlineStr">
        <is>
          <t>NORRBOTTENS LÄN</t>
        </is>
      </c>
      <c r="G395" t="inlineStr">
        <is>
          <t>ÖVERKALIX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46320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46320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46318</v>
      </c>
      <c r="E398" s="1" t="n">
        <v>46320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44950</v>
      </c>
      <c r="E399" s="1" t="n">
        <v>46320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46318</v>
      </c>
      <c r="E400" s="1" t="n">
        <v>46320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26.5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46318</v>
      </c>
      <c r="E401" s="1" t="n">
        <v>46320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46318</v>
      </c>
      <c r="E402" s="1" t="n">
        <v>46320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45371</v>
      </c>
      <c r="E403" s="1" t="n">
        <v>46320</v>
      </c>
      <c r="F403" t="inlineStr">
        <is>
          <t>NORRBOTTENS LÄN</t>
        </is>
      </c>
      <c r="G403" t="inlineStr">
        <is>
          <t>ÖVERKALIX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46320</v>
      </c>
      <c r="F404" t="inlineStr">
        <is>
          <t>NORRBOTTENS LÄN</t>
        </is>
      </c>
      <c r="G404" t="inlineStr">
        <is>
          <t>ÖVERKALIX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38940-2024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45548</v>
      </c>
      <c r="E405" s="1" t="n">
        <v>46320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21419-2026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46148</v>
      </c>
      <c r="E406" s="1" t="n">
        <v>46320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46320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46148</v>
      </c>
      <c r="E408" s="1" t="n">
        <v>46320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46320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46320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46320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46320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46320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21429-2026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46320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18.8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19529-2024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45429</v>
      </c>
      <c r="E415" s="1" t="n">
        <v>46320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46320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45401</v>
      </c>
      <c r="E417" s="1" t="n">
        <v>46320</v>
      </c>
      <c r="F417" t="inlineStr">
        <is>
          <t>NORRBOTTENS LÄN</t>
        </is>
      </c>
      <c r="G417" t="inlineStr">
        <is>
          <t>ÖVERKALIX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48221-2025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45933</v>
      </c>
      <c r="E418" s="1" t="n">
        <v>46320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45107</v>
      </c>
      <c r="E419" s="1" t="n">
        <v>46320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46320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45268</v>
      </c>
      <c r="E421" s="1" t="n">
        <v>46320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45076</v>
      </c>
      <c r="E422" s="1" t="n">
        <v>46320</v>
      </c>
      <c r="F422" t="inlineStr">
        <is>
          <t>NORRBOTTENS LÄN</t>
        </is>
      </c>
      <c r="G422" t="inlineStr">
        <is>
          <t>ÖVERKALIX</t>
        </is>
      </c>
      <c r="H422" t="inlineStr">
        <is>
          <t>Övriga statliga verk och myndigheter</t>
        </is>
      </c>
      <c r="I422" t="n">
        <v>38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46160</v>
      </c>
      <c r="E423" s="1" t="n">
        <v>46320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46320</v>
      </c>
      <c r="F424" t="inlineStr">
        <is>
          <t>NORRBOTTENS LÄN</t>
        </is>
      </c>
      <c r="G424" t="inlineStr">
        <is>
          <t>ÖVERKALIX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55853-2024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46320</v>
      </c>
      <c r="F425" t="inlineStr">
        <is>
          <t>NORRBOTTENS LÄN</t>
        </is>
      </c>
      <c r="G425" t="inlineStr">
        <is>
          <t>ÖVERKALIX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46320</v>
      </c>
      <c r="F426" t="inlineStr">
        <is>
          <t>NORRBOTTENS LÄN</t>
        </is>
      </c>
      <c r="G426" t="inlineStr">
        <is>
          <t>ÖVERKALIX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46320</v>
      </c>
      <c r="F427" t="inlineStr">
        <is>
          <t>NORRBOTTENS LÄN</t>
        </is>
      </c>
      <c r="G427" t="inlineStr">
        <is>
          <t>ÖVERKALIX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44993</v>
      </c>
      <c r="E428" s="1" t="n">
        <v>46320</v>
      </c>
      <c r="F428" t="inlineStr">
        <is>
          <t>NORRBOTTENS LÄN</t>
        </is>
      </c>
      <c r="G428" t="inlineStr">
        <is>
          <t>ÖVERKALIX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45575</v>
      </c>
      <c r="E429" s="1" t="n">
        <v>46320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46320</v>
      </c>
      <c r="F430" t="inlineStr">
        <is>
          <t>NORRBOTTENS LÄN</t>
        </is>
      </c>
      <c r="G430" t="inlineStr">
        <is>
          <t>ÖVERKALIX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45611</v>
      </c>
      <c r="E431" s="1" t="n">
        <v>46320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46320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45699</v>
      </c>
      <c r="E433" s="1" t="n">
        <v>46320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28.8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60417-2024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46320</v>
      </c>
      <c r="F434" t="inlineStr">
        <is>
          <t>NORRBOTTENS LÄN</t>
        </is>
      </c>
      <c r="G434" t="inlineStr">
        <is>
          <t>ÖVERKALIX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48577-2023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45208</v>
      </c>
      <c r="E435" s="1" t="n">
        <v>46320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45671</v>
      </c>
      <c r="E436" s="1" t="n">
        <v>46320</v>
      </c>
      <c r="F436" t="inlineStr">
        <is>
          <t>NORRBOTTENS LÄN</t>
        </is>
      </c>
      <c r="G436" t="inlineStr">
        <is>
          <t>ÖVERKALIX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46320</v>
      </c>
      <c r="F437" t="inlineStr">
        <is>
          <t>NORRBOTTENS LÄN</t>
        </is>
      </c>
      <c r="G437" t="inlineStr">
        <is>
          <t>ÖVERKALIX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56402-2022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44890</v>
      </c>
      <c r="E438" s="1" t="n">
        <v>46320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45205</v>
      </c>
      <c r="E439" s="1" t="n">
        <v>46320</v>
      </c>
      <c r="F439" t="inlineStr">
        <is>
          <t>NORRBOTTENS LÄN</t>
        </is>
      </c>
      <c r="G439" t="inlineStr">
        <is>
          <t>ÖVERKALIX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45315</v>
      </c>
      <c r="E440" s="1" t="n">
        <v>46320</v>
      </c>
      <c r="F440" t="inlineStr">
        <is>
          <t>NORRBOTTENS LÄN</t>
        </is>
      </c>
      <c r="G440" t="inlineStr">
        <is>
          <t>ÖVERKALIX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45562</v>
      </c>
      <c r="E441" s="1" t="n">
        <v>46320</v>
      </c>
      <c r="F441" t="inlineStr">
        <is>
          <t>NORRBOTTENS LÄN</t>
        </is>
      </c>
      <c r="G441" t="inlineStr">
        <is>
          <t>ÖVERKALIX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46320</v>
      </c>
      <c r="F442" t="inlineStr">
        <is>
          <t>NORRBOTTENS LÄN</t>
        </is>
      </c>
      <c r="G442" t="inlineStr">
        <is>
          <t>ÖVERKALIX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73216-2021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44547</v>
      </c>
      <c r="E443" s="1" t="n">
        <v>46320</v>
      </c>
      <c r="F443" t="inlineStr">
        <is>
          <t>NORRBOTTENS LÄN</t>
        </is>
      </c>
      <c r="G443" t="inlineStr">
        <is>
          <t>ÖVERKALIX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45767-2023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46320</v>
      </c>
      <c r="F444" t="inlineStr">
        <is>
          <t>NORRBOTTENS LÄN</t>
        </is>
      </c>
      <c r="G444" t="inlineStr">
        <is>
          <t>ÖVERKALIX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46320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46320</v>
      </c>
      <c r="F446" t="inlineStr">
        <is>
          <t>NORRBOTTENS LÄN</t>
        </is>
      </c>
      <c r="G446" t="inlineStr">
        <is>
          <t>ÖVERKALIX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46320</v>
      </c>
      <c r="F447" t="inlineStr">
        <is>
          <t>NORRBOTTENS LÄN</t>
        </is>
      </c>
      <c r="G447" t="inlineStr">
        <is>
          <t>ÖVERKALIX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45404</v>
      </c>
      <c r="E448" s="1" t="n">
        <v>46320</v>
      </c>
      <c r="F448" t="inlineStr">
        <is>
          <t>NORRBOTTENS LÄN</t>
        </is>
      </c>
      <c r="G448" t="inlineStr">
        <is>
          <t>ÖVERKALIX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24548-2024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45460</v>
      </c>
      <c r="E449" s="1" t="n">
        <v>46320</v>
      </c>
      <c r="F449" t="inlineStr">
        <is>
          <t>NORRBOTTENS LÄN</t>
        </is>
      </c>
      <c r="G449" t="inlineStr">
        <is>
          <t>ÖVERKALIX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46320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45009</v>
      </c>
      <c r="E451" s="1" t="n">
        <v>46320</v>
      </c>
      <c r="F451" t="inlineStr">
        <is>
          <t>NORRBOTTENS LÄN</t>
        </is>
      </c>
      <c r="G451" t="inlineStr">
        <is>
          <t>ÖVERKALIX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45133</v>
      </c>
      <c r="E452" s="1" t="n">
        <v>46320</v>
      </c>
      <c r="F452" t="inlineStr">
        <is>
          <t>NORRBOTTENS LÄN</t>
        </is>
      </c>
      <c r="G452" t="inlineStr">
        <is>
          <t>ÖVERKALIX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19984-2025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45771</v>
      </c>
      <c r="E453" s="1" t="n">
        <v>46320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47734-2024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45588</v>
      </c>
      <c r="E454" s="1" t="n">
        <v>46320</v>
      </c>
      <c r="F454" t="inlineStr">
        <is>
          <t>NORRBOTTENS LÄN</t>
        </is>
      </c>
      <c r="G454" t="inlineStr">
        <is>
          <t>ÖVERKALIX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45540</v>
      </c>
      <c r="E455" s="1" t="n">
        <v>46320</v>
      </c>
      <c r="F455" t="inlineStr">
        <is>
          <t>NORRBOTTENS LÄN</t>
        </is>
      </c>
      <c r="G455" t="inlineStr">
        <is>
          <t>ÖVERKALIX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45070</v>
      </c>
      <c r="E456" s="1" t="n">
        <v>46320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45141</v>
      </c>
      <c r="E457" s="1" t="n">
        <v>46320</v>
      </c>
      <c r="F457" t="inlineStr">
        <is>
          <t>NORRBOTTENS LÄN</t>
        </is>
      </c>
      <c r="G457" t="inlineStr">
        <is>
          <t>ÖVERKALIX</t>
        </is>
      </c>
      <c r="I457" t="n">
        <v>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72364-2021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44543</v>
      </c>
      <c r="E458" s="1" t="n">
        <v>46320</v>
      </c>
      <c r="F458" t="inlineStr">
        <is>
          <t>NORRBOTTENS LÄN</t>
        </is>
      </c>
      <c r="G458" t="inlineStr">
        <is>
          <t>ÖVERKALIX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5653-2022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44595</v>
      </c>
      <c r="E459" s="1" t="n">
        <v>46320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32477-2024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45513</v>
      </c>
      <c r="E460" s="1" t="n">
        <v>46320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46320</v>
      </c>
      <c r="F461" t="inlineStr">
        <is>
          <t>NORRBOTTENS LÄN</t>
        </is>
      </c>
      <c r="G461" t="inlineStr">
        <is>
          <t>ÖVERKALIX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7039-2022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44603</v>
      </c>
      <c r="E462" s="1" t="n">
        <v>46320</v>
      </c>
      <c r="F462" t="inlineStr">
        <is>
          <t>NORRBOTTENS LÄN</t>
        </is>
      </c>
      <c r="G462" t="inlineStr">
        <is>
          <t>ÖVERKALIX</t>
        </is>
      </c>
      <c r="H462" t="inlineStr">
        <is>
          <t>Övriga statliga verk och myndigheter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46320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45677</v>
      </c>
      <c r="E464" s="1" t="n">
        <v>46320</v>
      </c>
      <c r="F464" t="inlineStr">
        <is>
          <t>NORRBOTTENS LÄN</t>
        </is>
      </c>
      <c r="G464" t="inlineStr">
        <is>
          <t>ÖVERKALIX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44554-2023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46320</v>
      </c>
      <c r="F465" t="inlineStr">
        <is>
          <t>NORRBOTTENS LÄN</t>
        </is>
      </c>
      <c r="G465" t="inlineStr">
        <is>
          <t>ÖVERKALIX</t>
        </is>
      </c>
      <c r="I465" t="n">
        <v>8.6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46320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46320</v>
      </c>
      <c r="F467" t="inlineStr">
        <is>
          <t>NORRBOTTENS LÄN</t>
        </is>
      </c>
      <c r="G467" t="inlineStr">
        <is>
          <t>ÖVERKALIX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45622</v>
      </c>
      <c r="E468" s="1" t="n">
        <v>46320</v>
      </c>
      <c r="F468" t="inlineStr">
        <is>
          <t>NORRBOTTENS LÄN</t>
        </is>
      </c>
      <c r="G468" t="inlineStr">
        <is>
          <t>ÖVERKALIX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55857-2024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46320</v>
      </c>
      <c r="F469" t="inlineStr">
        <is>
          <t>NORRBOTTENS LÄN</t>
        </is>
      </c>
      <c r="G469" t="inlineStr">
        <is>
          <t>ÖVERKALIX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45715</v>
      </c>
      <c r="E470" s="1" t="n">
        <v>46320</v>
      </c>
      <c r="F470" t="inlineStr">
        <is>
          <t>NORRBOTTENS LÄN</t>
        </is>
      </c>
      <c r="G470" t="inlineStr">
        <is>
          <t>ÖVERKALIX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55227-2024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45621</v>
      </c>
      <c r="E471" s="1" t="n">
        <v>46320</v>
      </c>
      <c r="F471" t="inlineStr">
        <is>
          <t>NORRBOTTENS LÄN</t>
        </is>
      </c>
      <c r="G471" t="inlineStr">
        <is>
          <t>ÖVERKALIX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41830-2024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46320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45709</v>
      </c>
      <c r="E473" s="1" t="n">
        <v>46320</v>
      </c>
      <c r="F473" t="inlineStr">
        <is>
          <t>NORRBOTTENS LÄN</t>
        </is>
      </c>
      <c r="G473" t="inlineStr">
        <is>
          <t>ÖVERKALIX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45693</v>
      </c>
      <c r="E474" s="1" t="n">
        <v>46320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45702</v>
      </c>
      <c r="E475" s="1" t="n">
        <v>46320</v>
      </c>
      <c r="F475" t="inlineStr">
        <is>
          <t>NORRBOTTENS LÄN</t>
        </is>
      </c>
      <c r="G475" t="inlineStr">
        <is>
          <t>ÖVERKALIX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58764-2023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45251</v>
      </c>
      <c r="E476" s="1" t="n">
        <v>46320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46320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45693</v>
      </c>
      <c r="E478" s="1" t="n">
        <v>46320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46320</v>
      </c>
      <c r="F479" t="inlineStr">
        <is>
          <t>NORRBOTTENS LÄN</t>
        </is>
      </c>
      <c r="G479" t="inlineStr">
        <is>
          <t>ÖVERKALIX</t>
        </is>
      </c>
      <c r="I479" t="n">
        <v>13.1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64524-2023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45281</v>
      </c>
      <c r="E480" s="1" t="n">
        <v>46320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26554-2023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45092</v>
      </c>
      <c r="E481" s="1" t="n">
        <v>46320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44575</v>
      </c>
      <c r="E482" s="1" t="n">
        <v>46320</v>
      </c>
      <c r="F482" t="inlineStr">
        <is>
          <t>NORRBOTTENS LÄN</t>
        </is>
      </c>
      <c r="G482" t="inlineStr">
        <is>
          <t>ÖVERKALIX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45693</v>
      </c>
      <c r="E483" s="1" t="n">
        <v>46320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SCA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45631</v>
      </c>
      <c r="E484" s="1" t="n">
        <v>46320</v>
      </c>
      <c r="F484" t="inlineStr">
        <is>
          <t>NORRBOTTENS LÄN</t>
        </is>
      </c>
      <c r="G484" t="inlineStr">
        <is>
          <t>ÖVERKALIX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45548</v>
      </c>
      <c r="E485" s="1" t="n">
        <v>46320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SCA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45231</v>
      </c>
      <c r="E486" s="1" t="n">
        <v>46320</v>
      </c>
      <c r="F486" t="inlineStr">
        <is>
          <t>NORRBOTTENS LÄN</t>
        </is>
      </c>
      <c r="G486" t="inlineStr">
        <is>
          <t>ÖVERKALIX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72212-2021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44543</v>
      </c>
      <c r="E487" s="1" t="n">
        <v>46320</v>
      </c>
      <c r="F487" t="inlineStr">
        <is>
          <t>NORRBOTTENS LÄN</t>
        </is>
      </c>
      <c r="G487" t="inlineStr">
        <is>
          <t>ÖVERKALIX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45471</v>
      </c>
      <c r="E488" s="1" t="n">
        <v>46320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Sveaskog</t>
        </is>
      </c>
      <c r="I488" t="n">
        <v>6.8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45471</v>
      </c>
      <c r="E489" s="1" t="n">
        <v>46320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Sveaskog</t>
        </is>
      </c>
      <c r="I489" t="n">
        <v>32.6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53732-2022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44880</v>
      </c>
      <c r="E490" s="1" t="n">
        <v>46320</v>
      </c>
      <c r="F490" t="inlineStr">
        <is>
          <t>NORRBOTTENS LÄN</t>
        </is>
      </c>
      <c r="G490" t="inlineStr">
        <is>
          <t>ÖVERKALIX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44830</v>
      </c>
      <c r="E491" s="1" t="n">
        <v>46320</v>
      </c>
      <c r="F491" t="inlineStr">
        <is>
          <t>NORRBOTTENS LÄN</t>
        </is>
      </c>
      <c r="G491" t="inlineStr">
        <is>
          <t>ÖVERKALIX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46320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SCA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3721-2022</t>
        </is>
      </c>
      <c r="B493" t="inlineStr">
        <is>
          <t>samrådsanmälan</t>
        </is>
      </c>
      <c r="C493" t="inlineStr">
        <is>
          <t>Skogsbilväg</t>
        </is>
      </c>
      <c r="D493" s="1" t="n">
        <v>44741</v>
      </c>
      <c r="E493" s="1" t="n">
        <v>46320</v>
      </c>
      <c r="F493" t="inlineStr">
        <is>
          <t>NORRBOTTENS LÄN</t>
        </is>
      </c>
      <c r="G493" t="inlineStr">
        <is>
          <t>ÖVERKALIX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2792-2024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45485</v>
      </c>
      <c r="E494" s="1" t="n">
        <v>46320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2700-2024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45482</v>
      </c>
      <c r="E495" s="1" t="n">
        <v>46320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4734-2024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45607</v>
      </c>
      <c r="E496" s="1" t="n">
        <v>46320</v>
      </c>
      <c r="F496" t="inlineStr">
        <is>
          <t>NORRBOTTENS LÄN</t>
        </is>
      </c>
      <c r="G496" t="inlineStr">
        <is>
          <t>ÖVERKALIX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1178-2025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45756</v>
      </c>
      <c r="E497" s="1" t="n">
        <v>46320</v>
      </c>
      <c r="F497" t="inlineStr">
        <is>
          <t>NORRBOTTENS LÄN</t>
        </is>
      </c>
      <c r="G497" t="inlineStr">
        <is>
          <t>ÖVERKALIX</t>
        </is>
      </c>
      <c r="I497" t="n">
        <v>39.9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1667-2025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45800</v>
      </c>
      <c r="E498" s="1" t="n">
        <v>46320</v>
      </c>
      <c r="F498" t="inlineStr">
        <is>
          <t>NORRBOTTENS LÄN</t>
        </is>
      </c>
      <c r="G498" t="inlineStr">
        <is>
          <t>ÖVERKALIX</t>
        </is>
      </c>
      <c r="H498" t="inlineStr">
        <is>
          <t>SCA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>
      <c r="A499" t="inlineStr">
        <is>
          <t>S 50-2026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46030</v>
      </c>
      <c r="E499" s="1" t="n">
        <v>46320</v>
      </c>
      <c r="F499" t="inlineStr">
        <is>
          <t>NORRBOTTENS LÄN</t>
        </is>
      </c>
      <c r="G499" t="inlineStr">
        <is>
          <t>ÖVERKALIX</t>
        </is>
      </c>
      <c r="H499" t="inlineStr">
        <is>
          <t>Sveaskog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2026-10-25T02:04:13Z</dcterms:created>
  <dcterms:modified xmlns:dcterms="http://purl.org/dc/terms/" xmlns:xsi="http://www.w3.org/2001/XMLSchema-instance" xsi:type="dcterms:W3CDTF">2026-10-25T02:04:14Z</dcterms:modified>
</cp:coreProperties>
</file>