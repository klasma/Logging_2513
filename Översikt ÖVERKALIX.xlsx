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46241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46241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46241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46241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63242-2025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46010</v>
      </c>
      <c r="E6" s="1" t="n">
        <v>46241</v>
      </c>
      <c r="F6" t="inlineStr">
        <is>
          <t>NORRBOTTENS LÄN</t>
        </is>
      </c>
      <c r="G6" t="inlineStr">
        <is>
          <t>ÖVERKALIX</t>
        </is>
      </c>
      <c r="I6" t="n">
        <v>9.5</v>
      </c>
      <c r="J6" t="n">
        <v>1</v>
      </c>
      <c r="K6" t="n">
        <v>2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11</v>
      </c>
      <c r="T6" t="n">
        <v>43</v>
      </c>
      <c r="U6" t="n">
        <v>43</v>
      </c>
      <c r="V6" s="2" t="inlineStr">
        <is>
          <t>Garnlav
Dropptaggsvamp
Kolflarnlav
Nordtagging
Orange taggsvamp
Skarp dropptaggsvamp
Tallriska
Talltagel
Vaddporing
Nästlav
Plattlummer</t>
        </is>
      </c>
      <c r="W6">
        <f>HYPERLINK("https://klasma.github.io/Logging_2513/artfynd/A 63242-2025 artfynd.xlsx", "A 63242-2025")</f>
        <v/>
      </c>
      <c r="X6">
        <f>HYPERLINK("https://klasma.github.io/Logging_2513/kartor/A 63242-2025 karta.png", "A 63242-2025")</f>
        <v/>
      </c>
      <c r="Y6">
        <f>HYPERLINK("https://klasma.github.io/Logging_2513/kartor_geotiff/A 63242-2025 georefererad karta.tif", "A 63242-2025")</f>
        <v/>
      </c>
      <c r="AA6">
        <f>HYPERLINK("https://klasma.github.io/Logging_2513/klagomål/A 63242-2025 FSC-klagomål.docx", "A 63242-2025")</f>
        <v/>
      </c>
      <c r="AB6">
        <f>HYPERLINK("https://klasma.github.io/Logging_2513/klagomålsmail/A 63242-2025 FSC-klagomål mail.docx", "A 63242-2025")</f>
        <v/>
      </c>
      <c r="AC6">
        <f>HYPERLINK("https://klasma.github.io/Logging_2513/tillsyn/A 63242-2025 tillsynsbegäran.docx", "A 63242-2025")</f>
        <v/>
      </c>
      <c r="AD6">
        <f>HYPERLINK("https://klasma.github.io/Logging_2513/tillsynsmail/A 63242-2025 tillsynsbegäran mail.docx", "A 63242-2025")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46241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S 3227-2025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45981</v>
      </c>
      <c r="E8" s="1" t="n">
        <v>46241</v>
      </c>
      <c r="F8" t="inlineStr">
        <is>
          <t>NORRBOTTENS LÄN</t>
        </is>
      </c>
      <c r="G8" t="inlineStr">
        <is>
          <t>ÖVERKALIX</t>
        </is>
      </c>
      <c r="H8" t="inlineStr">
        <is>
          <t>Sveaskog</t>
        </is>
      </c>
      <c r="I8" t="n">
        <v>3.3</v>
      </c>
      <c r="J8" t="n">
        <v>3</v>
      </c>
      <c r="K8" t="n">
        <v>5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17</v>
      </c>
      <c r="U8" t="n">
        <v>0</v>
      </c>
      <c r="V8" s="2" t="inlineStr">
        <is>
          <t>Garnlav
Gammelgransskål
Lunglav
Bollvitmossa
Korallrot
Lappranunkel
Spindelblomster
Ögonpyrola</t>
        </is>
      </c>
      <c r="W8">
        <f>HYPERLINK("https://klasma.github.io/Logging_2513/artfynd/S 3227-2025 artfynd.xlsx", "S 3227-2025")</f>
        <v/>
      </c>
      <c r="X8">
        <f>HYPERLINK("https://klasma.github.io/Logging_2513/kartor/S 3227-2025 karta.png", "S 3227-2025")</f>
        <v/>
      </c>
      <c r="Y8">
        <f>HYPERLINK("https://klasma.github.io/Logging_2513/kartor_geotiff/S 3227-2025 georefererad karta.tif", "S 3227-2025")</f>
        <v/>
      </c>
      <c r="AA8">
        <f>HYPERLINK("https://klasma.github.io/Logging_2513/klagomål/S 3227-2025 FSC-klagomål.docx", "S 3227-2025")</f>
        <v/>
      </c>
      <c r="AB8">
        <f>HYPERLINK("https://klasma.github.io/Logging_2513/klagomålsmail/S 3227-2025 FSC-klagomål mail.docx", "S 3227-2025")</f>
        <v/>
      </c>
      <c r="AC8">
        <f>HYPERLINK("https://klasma.github.io/Logging_2513/tillsyn/S 3227-2025 tillsynsbegäran.docx", "S 3227-2025")</f>
        <v/>
      </c>
      <c r="AD8">
        <f>HYPERLINK("https://klasma.github.io/Logging_2513/tillsynsmail/S 3227-2025 tillsynsbegäran mail.docx", "S 3227-2025")</f>
        <v/>
      </c>
    </row>
    <row r="9" ht="15" customHeight="1">
      <c r="A9" t="inlineStr">
        <is>
          <t>A 37997-2024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46241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1.9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11</v>
      </c>
      <c r="U9" t="n">
        <v>11</v>
      </c>
      <c r="V9" s="2" t="inlineStr">
        <is>
          <t>Knärot
Gammelgransskål
Kolflarnlav
Lunglav
Motaggsvamp
Spindelblomster
Fläcknycklar</t>
        </is>
      </c>
      <c r="W9">
        <f>HYPERLINK("https://klasma.github.io/Logging_2513/artfynd/A 37997-2024 artfynd.xlsx", "A 37997-2024")</f>
        <v/>
      </c>
      <c r="X9">
        <f>HYPERLINK("https://klasma.github.io/Logging_2513/kartor/A 37997-2024 karta.png", "A 37997-2024")</f>
        <v/>
      </c>
      <c r="Y9">
        <f>HYPERLINK("https://klasma.github.io/Logging_2513/kartor_geotiff/A 37997-2024 georefererad karta.tif", "A 37997-2024")</f>
        <v/>
      </c>
      <c r="Z9">
        <f>HYPERLINK("https://klasma.github.io/Logging_2513/knärot/A 37997-2024 karta knärot.png", "A 37997-2024")</f>
        <v/>
      </c>
      <c r="AA9">
        <f>HYPERLINK("https://klasma.github.io/Logging_2513/klagomål/A 37997-2024 FSC-klagomål.docx", "A 37997-2024")</f>
        <v/>
      </c>
      <c r="AB9">
        <f>HYPERLINK("https://klasma.github.io/Logging_2513/klagomålsmail/A 37997-2024 FSC-klagomål mail.docx", "A 37997-2024")</f>
        <v/>
      </c>
      <c r="AC9">
        <f>HYPERLINK("https://klasma.github.io/Logging_2513/tillsyn/A 37997-2024 tillsynsbegäran.docx", "A 37997-2024")</f>
        <v/>
      </c>
      <c r="AD9">
        <f>HYPERLINK("https://klasma.github.io/Logging_2513/tillsynsmail/A 37997-2024 tillsynsbegäran mail.docx", "A 37997-2024")</f>
        <v/>
      </c>
    </row>
    <row r="10" ht="15" customHeight="1">
      <c r="A10" t="inlineStr">
        <is>
          <t>S 177-2023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44943</v>
      </c>
      <c r="E10" s="1" t="n">
        <v>46241</v>
      </c>
      <c r="F10" t="inlineStr">
        <is>
          <t>NORRBOTTENS LÄN</t>
        </is>
      </c>
      <c r="G10" t="inlineStr">
        <is>
          <t>ÖVERKALIX</t>
        </is>
      </c>
      <c r="H10" t="inlineStr">
        <is>
          <t>SCA</t>
        </is>
      </c>
      <c r="I10" t="n">
        <v>1117.7</v>
      </c>
      <c r="J10" t="n">
        <v>4</v>
      </c>
      <c r="K10" t="n">
        <v>0</v>
      </c>
      <c r="L10" t="n">
        <v>2</v>
      </c>
      <c r="M10" t="n">
        <v>4</v>
      </c>
      <c r="N10" t="n">
        <v>0</v>
      </c>
      <c r="O10" t="n">
        <v>0</v>
      </c>
      <c r="P10" t="n">
        <v>0</v>
      </c>
      <c r="Q10" t="n">
        <v>6</v>
      </c>
      <c r="R10" t="n">
        <v>4</v>
      </c>
      <c r="S10" t="n">
        <v>7</v>
      </c>
      <c r="T10" t="n">
        <v>9</v>
      </c>
      <c r="U10" t="n">
        <v>5</v>
      </c>
      <c r="V10" s="2" t="inlineStr">
        <is>
          <t>Hökuggla
Knärot
Skrovlig taggsvamp
Tallmusseron
Brunklöver
Lavskrika
Smålom</t>
        </is>
      </c>
      <c r="W10">
        <f>HYPERLINK("https://klasma.github.io/Logging_2513/artfynd/S 177-2023 artfynd.xlsx", "S 177-2023")</f>
        <v/>
      </c>
      <c r="X10">
        <f>HYPERLINK("https://klasma.github.io/Logging_2513/kartor/S 177-2023 karta.png", "S 177-2023")</f>
        <v/>
      </c>
      <c r="Y10">
        <f>HYPERLINK("https://klasma.github.io/Logging_2513/kartor_geotiff/S 177-2023 georefererad karta.tif", "S 177-2023")</f>
        <v/>
      </c>
      <c r="Z10">
        <f>HYPERLINK("https://klasma.github.io/Logging_2513/knärot/S 177-2023 karta knärot.png", "S 177-2023")</f>
        <v/>
      </c>
      <c r="AA10">
        <f>HYPERLINK("https://klasma.github.io/Logging_2513/klagomål/S 177-2023 FSC-klagomål.docx", "S 177-2023")</f>
        <v/>
      </c>
      <c r="AB10">
        <f>HYPERLINK("https://klasma.github.io/Logging_2513/klagomålsmail/S 177-2023 FSC-klagomål mail.docx", "S 177-2023")</f>
        <v/>
      </c>
      <c r="AC10">
        <f>HYPERLINK("https://klasma.github.io/Logging_2513/tillsyn/S 177-2023 tillsynsbegäran.docx", "S 177-2023")</f>
        <v/>
      </c>
      <c r="AD10">
        <f>HYPERLINK("https://klasma.github.io/Logging_2513/tillsynsmail/S 177-2023 tillsynsbegäran mail.docx", "S 177-2023")</f>
        <v/>
      </c>
      <c r="AE10">
        <f>HYPERLINK("https://klasma.github.io/Logging_2513/fåglar/S 177-2023 prioriterade fågelarter.docx", "S 177-2023")</f>
        <v/>
      </c>
    </row>
    <row r="11" ht="15" customHeight="1">
      <c r="A11" t="inlineStr">
        <is>
          <t>A 23373-2026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46241</v>
      </c>
      <c r="F11" t="inlineStr">
        <is>
          <t>NORRBOTTENS LÄN</t>
        </is>
      </c>
      <c r="G11" t="inlineStr">
        <is>
          <t>ÖVERKALIX</t>
        </is>
      </c>
      <c r="I11" t="n">
        <v>2</v>
      </c>
      <c r="J11" t="n">
        <v>2</v>
      </c>
      <c r="K11" t="n">
        <v>1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11</v>
      </c>
      <c r="U11" t="n">
        <v>11</v>
      </c>
      <c r="V11" s="2" t="inlineStr">
        <is>
          <t>Garnlav
Knärot
Myskmåra
Tretåig hackspett
Nästlav
Sälg</t>
        </is>
      </c>
      <c r="W11">
        <f>HYPERLINK("https://klasma.github.io/Logging_2513/artfynd/A 23373-2026 artfynd.xlsx", "A 23373-2026")</f>
        <v/>
      </c>
      <c r="X11">
        <f>HYPERLINK("https://klasma.github.io/Logging_2513/kartor/A 23373-2026 karta.png", "A 23373-2026")</f>
        <v/>
      </c>
      <c r="Y11">
        <f>HYPERLINK("https://klasma.github.io/Logging_2513/kartor_geotiff/A 23373-2026 georefererad karta.tif", "A 23373-2026")</f>
        <v/>
      </c>
      <c r="Z11">
        <f>HYPERLINK("https://klasma.github.io/Logging_2513/knärot/A 23373-2026 karta knärot.png", "A 23373-2026")</f>
        <v/>
      </c>
      <c r="AA11">
        <f>HYPERLINK("https://klasma.github.io/Logging_2513/klagomål/A 23373-2026 FSC-klagomål.docx", "A 23373-2026")</f>
        <v/>
      </c>
      <c r="AB11">
        <f>HYPERLINK("https://klasma.github.io/Logging_2513/klagomålsmail/A 23373-2026 FSC-klagomål mail.docx", "A 23373-2026")</f>
        <v/>
      </c>
      <c r="AC11">
        <f>HYPERLINK("https://klasma.github.io/Logging_2513/tillsyn/A 23373-2026 tillsynsbegäran.docx", "A 23373-2026")</f>
        <v/>
      </c>
      <c r="AD11">
        <f>HYPERLINK("https://klasma.github.io/Logging_2513/tillsynsmail/A 23373-2026 tillsynsbegäran mail.docx", "A 23373-2026")</f>
        <v/>
      </c>
      <c r="AE11">
        <f>HYPERLINK("https://klasma.github.io/Logging_2513/fåglar/A 23373-2026 prioriterade fågelarter.docx", "A 23373-2026")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46241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46241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46241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23383-2026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46162</v>
      </c>
      <c r="E15" s="1" t="n">
        <v>46241</v>
      </c>
      <c r="F15" t="inlineStr">
        <is>
          <t>NORRBOTTENS LÄN</t>
        </is>
      </c>
      <c r="G15" t="inlineStr">
        <is>
          <t>ÖVERKALIX</t>
        </is>
      </c>
      <c r="I15" t="n">
        <v>2.6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15</v>
      </c>
      <c r="U15" t="n">
        <v>15</v>
      </c>
      <c r="V15" s="2" t="inlineStr">
        <is>
          <t>Garnlav
Knärot
Myskmåra
Tretåig hackspett</t>
        </is>
      </c>
      <c r="W15">
        <f>HYPERLINK("https://klasma.github.io/Logging_2513/artfynd/A 23383-2026 artfynd.xlsx", "A 23383-2026")</f>
        <v/>
      </c>
      <c r="X15">
        <f>HYPERLINK("https://klasma.github.io/Logging_2513/kartor/A 23383-2026 karta.png", "A 23383-2026")</f>
        <v/>
      </c>
      <c r="Y15">
        <f>HYPERLINK("https://klasma.github.io/Logging_2513/kartor_geotiff/A 23383-2026 georefererad karta.tif", "A 23383-2026")</f>
        <v/>
      </c>
      <c r="Z15">
        <f>HYPERLINK("https://klasma.github.io/Logging_2513/knärot/A 23383-2026 karta knärot.png", "A 23383-2026")</f>
        <v/>
      </c>
      <c r="AA15">
        <f>HYPERLINK("https://klasma.github.io/Logging_2513/klagomål/A 23383-2026 FSC-klagomål.docx", "A 23383-2026")</f>
        <v/>
      </c>
      <c r="AB15">
        <f>HYPERLINK("https://klasma.github.io/Logging_2513/klagomålsmail/A 23383-2026 FSC-klagomål mail.docx", "A 23383-2026")</f>
        <v/>
      </c>
      <c r="AC15">
        <f>HYPERLINK("https://klasma.github.io/Logging_2513/tillsyn/A 23383-2026 tillsynsbegäran.docx", "A 23383-2026")</f>
        <v/>
      </c>
      <c r="AD15">
        <f>HYPERLINK("https://klasma.github.io/Logging_2513/tillsynsmail/A 23383-2026 tillsynsbegäran mail.docx", "A 23383-2026")</f>
        <v/>
      </c>
      <c r="AE15">
        <f>HYPERLINK("https://klasma.github.io/Logging_2513/fåglar/A 23383-2026 prioriterade fågelarter.docx", "A 23383-2026")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46241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46241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46241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46241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3</v>
      </c>
      <c r="V19" s="2" t="inlineStr">
        <is>
          <t>Fläckporing
Knärot
Plattlummer</t>
        </is>
      </c>
      <c r="W19">
        <f>HYPERLINK("https://klasma.github.io/Logging_2513/artfynd/A 19275-2025 artfynd.xlsx", "A 19275-2025")</f>
        <v/>
      </c>
      <c r="X19">
        <f>HYPERLINK("https://klasma.github.io/Logging_2513/kartor/A 19275-2025 karta.png", "A 19275-2025")</f>
        <v/>
      </c>
      <c r="Y19">
        <f>HYPERLINK("https://klasma.github.io/Logging_2513/kartor_geotiff/A 19275-2025 georefererad karta.tif", "A 19275-2025")</f>
        <v/>
      </c>
      <c r="Z19">
        <f>HYPERLINK("https://klasma.github.io/Logging_2513/knärot/A 19275-2025 karta knärot.png", "A 19275-2025")</f>
        <v/>
      </c>
      <c r="AA19">
        <f>HYPERLINK("https://klasma.github.io/Logging_2513/klagomål/A 19275-2025 FSC-klagomål.docx", "A 19275-2025")</f>
        <v/>
      </c>
      <c r="AB19">
        <f>HYPERLINK("https://klasma.github.io/Logging_2513/klagomålsmail/A 19275-2025 FSC-klagomål mail.docx", "A 19275-2025")</f>
        <v/>
      </c>
      <c r="AC19">
        <f>HYPERLINK("https://klasma.github.io/Logging_2513/tillsyn/A 19275-2025 tillsynsbegäran.docx", "A 19275-2025")</f>
        <v/>
      </c>
      <c r="AD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46241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46241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46241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46241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46241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46241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17802-2025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46241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Hökuggla
Älg
Tjäder</t>
        </is>
      </c>
      <c r="W26">
        <f>HYPERLINK("https://klasma.github.io/Logging_2513/artfynd/A 17802-2025 artfynd.xlsx", "A 17802-2025")</f>
        <v/>
      </c>
      <c r="X26">
        <f>HYPERLINK("https://klasma.github.io/Logging_2513/kartor/A 17802-2025 karta.png", "A 17802-2025")</f>
        <v/>
      </c>
      <c r="Y26">
        <f>HYPERLINK("https://klasma.github.io/Logging_2513/kartor_geotiff/A 17802-2025 georefererad karta.tif", "A 17802-2025")</f>
        <v/>
      </c>
      <c r="AA26">
        <f>HYPERLINK("https://klasma.github.io/Logging_2513/klagomål/A 17802-2025 FSC-klagomål.docx", "A 17802-2025")</f>
        <v/>
      </c>
      <c r="AB26">
        <f>HYPERLINK("https://klasma.github.io/Logging_2513/klagomålsmail/A 17802-2025 FSC-klagomål mail.docx", "A 17802-2025")</f>
        <v/>
      </c>
      <c r="AC26">
        <f>HYPERLINK("https://klasma.github.io/Logging_2513/tillsyn/A 17802-2025 tillsynsbegäran.docx", "A 17802-2025")</f>
        <v/>
      </c>
      <c r="AD26">
        <f>HYPERLINK("https://klasma.github.io/Logging_2513/tillsynsmail/A 17802-2025 tillsynsbegäran mail.docx", "A 17802-2025")</f>
        <v/>
      </c>
      <c r="AE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46241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46241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46241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46241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46241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7477-2023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44966</v>
      </c>
      <c r="E32" s="1" t="n">
        <v>46241</v>
      </c>
      <c r="F32" t="inlineStr">
        <is>
          <t>NORRBOTTENS LÄN</t>
        </is>
      </c>
      <c r="G32" t="inlineStr">
        <is>
          <t>ÖVERKALIX</t>
        </is>
      </c>
      <c r="I32" t="n">
        <v>2.6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Motaggsvamp
Skarp dropptaggsvamp</t>
        </is>
      </c>
      <c r="W32">
        <f>HYPERLINK("https://klasma.github.io/Logging_2513/artfynd/A 7477-2023 artfynd.xlsx", "A 7477-2023")</f>
        <v/>
      </c>
      <c r="X32">
        <f>HYPERLINK("https://klasma.github.io/Logging_2513/kartor/A 7477-2023 karta.png", "A 7477-2023")</f>
        <v/>
      </c>
      <c r="Y32">
        <f>HYPERLINK("https://klasma.github.io/Logging_2513/kartor_geotiff/A 7477-2023 georefererad karta.tif", "A 7477-2023")</f>
        <v/>
      </c>
      <c r="AA32">
        <f>HYPERLINK("https://klasma.github.io/Logging_2513/klagomål/A 7477-2023 FSC-klagomål.docx", "A 7477-2023")</f>
        <v/>
      </c>
      <c r="AB32">
        <f>HYPERLINK("https://klasma.github.io/Logging_2513/klagomålsmail/A 7477-2023 FSC-klagomål mail.docx", "A 7477-2023")</f>
        <v/>
      </c>
      <c r="AC32">
        <f>HYPERLINK("https://klasma.github.io/Logging_2513/tillsyn/A 7477-2023 tillsynsbegäran.docx", "A 7477-2023")</f>
        <v/>
      </c>
      <c r="AD32">
        <f>HYPERLINK("https://klasma.github.io/Logging_2513/tillsynsmail/A 7477-2023 tillsynsbegäran mail.docx", "A 7477-2023")</f>
        <v/>
      </c>
    </row>
    <row r="33" ht="15" customHeight="1">
      <c r="A33" t="inlineStr">
        <is>
          <t>A 50691-2024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46241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4.2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Gammelgransskål
Vedticka</t>
        </is>
      </c>
      <c r="W33">
        <f>HYPERLINK("https://klasma.github.io/Logging_2513/artfynd/A 50691-2024 artfynd.xlsx", "A 50691-2024")</f>
        <v/>
      </c>
      <c r="X33">
        <f>HYPERLINK("https://klasma.github.io/Logging_2513/kartor/A 50691-2024 karta.png", "A 50691-2024")</f>
        <v/>
      </c>
      <c r="Y33">
        <f>HYPERLINK("https://klasma.github.io/Logging_2513/kartor_geotiff/A 50691-2024 georefererad karta.tif", "A 50691-2024")</f>
        <v/>
      </c>
      <c r="AA33">
        <f>HYPERLINK("https://klasma.github.io/Logging_2513/klagomål/A 50691-2024 FSC-klagomål.docx", "A 50691-2024")</f>
        <v/>
      </c>
      <c r="AB33">
        <f>HYPERLINK("https://klasma.github.io/Logging_2513/klagomålsmail/A 50691-2024 FSC-klagomål mail.docx", "A 50691-2024")</f>
        <v/>
      </c>
      <c r="AC33">
        <f>HYPERLINK("https://klasma.github.io/Logging_2513/tillsyn/A 50691-2024 tillsynsbegäran.docx", "A 50691-2024")</f>
        <v/>
      </c>
      <c r="AD33">
        <f>HYPERLINK("https://klasma.github.io/Logging_2513/tillsynsmail/A 50691-2024 tillsynsbegäran mail.docx", "A 50691-2024")</f>
        <v/>
      </c>
    </row>
    <row r="34" ht="15" customHeight="1">
      <c r="A34" t="inlineStr">
        <is>
          <t>A 40116-2025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46241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29.7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5</v>
      </c>
      <c r="U34" t="n">
        <v>3</v>
      </c>
      <c r="V34" s="2" t="inlineStr">
        <is>
          <t>Lunglav
Skrovellav</t>
        </is>
      </c>
      <c r="W34">
        <f>HYPERLINK("https://klasma.github.io/Logging_2513/artfynd/A 40116-2025 artfynd.xlsx", "A 40116-2025")</f>
        <v/>
      </c>
      <c r="X34">
        <f>HYPERLINK("https://klasma.github.io/Logging_2513/kartor/A 40116-2025 karta.png", "A 40116-2025")</f>
        <v/>
      </c>
      <c r="Y34">
        <f>HYPERLINK("https://klasma.github.io/Logging_2513/kartor_geotiff/A 40116-2025 georefererad karta.tif", "A 40116-2025")</f>
        <v/>
      </c>
      <c r="AA34">
        <f>HYPERLINK("https://klasma.github.io/Logging_2513/klagomål/A 40116-2025 FSC-klagomål.docx", "A 40116-2025")</f>
        <v/>
      </c>
      <c r="AB34">
        <f>HYPERLINK("https://klasma.github.io/Logging_2513/klagomålsmail/A 40116-2025 FSC-klagomål mail.docx", "A 40116-2025")</f>
        <v/>
      </c>
      <c r="AC34">
        <f>HYPERLINK("https://klasma.github.io/Logging_2513/tillsyn/A 40116-2025 tillsynsbegäran.docx", "A 40116-2025")</f>
        <v/>
      </c>
      <c r="AD34">
        <f>HYPERLINK("https://klasma.github.io/Logging_2513/tillsynsmail/A 40116-2025 tillsynsbegäran mail.docx", "A 40116-2025")</f>
        <v/>
      </c>
    </row>
    <row r="35" ht="15" customHeight="1">
      <c r="A35" t="inlineStr">
        <is>
          <t>A 42285-2025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45904</v>
      </c>
      <c r="E35" s="1" t="n">
        <v>46241</v>
      </c>
      <c r="F35" t="inlineStr">
        <is>
          <t>NORRBOTTENS LÄN</t>
        </is>
      </c>
      <c r="G35" t="inlineStr">
        <is>
          <t>ÖVERKALIX</t>
        </is>
      </c>
      <c r="I35" t="n">
        <v>0.3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Kungsfågel
Vanlig padda</t>
        </is>
      </c>
      <c r="W35">
        <f>HYPERLINK("https://klasma.github.io/Logging_2513/artfynd/A 42285-2025 artfynd.xlsx", "A 42285-2025")</f>
        <v/>
      </c>
      <c r="X35">
        <f>HYPERLINK("https://klasma.github.io/Logging_2513/kartor/A 42285-2025 karta.png", "A 42285-2025")</f>
        <v/>
      </c>
      <c r="Y35">
        <f>HYPERLINK("https://klasma.github.io/Logging_2513/kartor_geotiff/A 42285-2025 georefererad karta.tif", "A 42285-2025")</f>
        <v/>
      </c>
      <c r="AA35">
        <f>HYPERLINK("https://klasma.github.io/Logging_2513/klagomål/A 42285-2025 FSC-klagomål.docx", "A 42285-2025")</f>
        <v/>
      </c>
      <c r="AB35">
        <f>HYPERLINK("https://klasma.github.io/Logging_2513/klagomålsmail/A 42285-2025 FSC-klagomål mail.docx", "A 42285-2025")</f>
        <v/>
      </c>
      <c r="AC35">
        <f>HYPERLINK("https://klasma.github.io/Logging_2513/tillsyn/A 42285-2025 tillsynsbegäran.docx", "A 42285-2025")</f>
        <v/>
      </c>
      <c r="AD35">
        <f>HYPERLINK("https://klasma.github.io/Logging_2513/tillsynsmail/A 42285-2025 tillsynsbegäran mail.docx", "A 42285-2025")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46241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47680-2024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46241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Blå taggsvamp
Skarp dropptaggsvamp</t>
        </is>
      </c>
      <c r="W37">
        <f>HYPERLINK("https://klasma.github.io/Logging_2513/artfynd/A 47680-2024 artfynd.xlsx", "A 47680-2024")</f>
        <v/>
      </c>
      <c r="X37">
        <f>HYPERLINK("https://klasma.github.io/Logging_2513/kartor/A 47680-2024 karta.png", "A 47680-2024")</f>
        <v/>
      </c>
      <c r="Y37">
        <f>HYPERLINK("https://klasma.github.io/Logging_2513/kartor_geotiff/A 47680-2024 georefererad karta.tif", "A 47680-2024")</f>
        <v/>
      </c>
      <c r="AA37">
        <f>HYPERLINK("https://klasma.github.io/Logging_2513/klagomål/A 47680-2024 FSC-klagomål.docx", "A 47680-2024")</f>
        <v/>
      </c>
      <c r="AB37">
        <f>HYPERLINK("https://klasma.github.io/Logging_2513/klagomålsmail/A 47680-2024 FSC-klagomål mail.docx", "A 47680-2024")</f>
        <v/>
      </c>
      <c r="AC37">
        <f>HYPERLINK("https://klasma.github.io/Logging_2513/tillsyn/A 47680-2024 tillsynsbegäran.docx", "A 47680-2024")</f>
        <v/>
      </c>
      <c r="AD37">
        <f>HYPERLINK("https://klasma.github.io/Logging_2513/tillsynsmail/A 47680-2024 tillsynsbegäran mail.docx", "A 47680-2024")</f>
        <v/>
      </c>
    </row>
    <row r="38" ht="15" customHeight="1">
      <c r="A38" t="inlineStr">
        <is>
          <t>A 62951-2025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46241</v>
      </c>
      <c r="F38" t="inlineStr">
        <is>
          <t>NORRBOTTENS LÄN</t>
        </is>
      </c>
      <c r="G38" t="inlineStr">
        <is>
          <t>ÖVERKALIX</t>
        </is>
      </c>
      <c r="H38" t="inlineStr">
        <is>
          <t>SCA</t>
        </is>
      </c>
      <c r="I38" t="n">
        <v>4.2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Ullticka</t>
        </is>
      </c>
      <c r="W38">
        <f>HYPERLINK("https://klasma.github.io/Logging_2513/artfynd/A 62951-2025 artfynd.xlsx", "A 62951-2025")</f>
        <v/>
      </c>
      <c r="X38">
        <f>HYPERLINK("https://klasma.github.io/Logging_2513/kartor/A 62951-2025 karta.png", "A 62951-2025")</f>
        <v/>
      </c>
      <c r="Y38">
        <f>HYPERLINK("https://klasma.github.io/Logging_2513/kartor_geotiff/A 62951-2025 georefererad karta.tif", "A 62951-2025")</f>
        <v/>
      </c>
      <c r="AA38">
        <f>HYPERLINK("https://klasma.github.io/Logging_2513/klagomål/A 62951-2025 FSC-klagomål.docx", "A 62951-2025")</f>
        <v/>
      </c>
      <c r="AB38">
        <f>HYPERLINK("https://klasma.github.io/Logging_2513/klagomålsmail/A 62951-2025 FSC-klagomål mail.docx", "A 62951-2025")</f>
        <v/>
      </c>
      <c r="AC38">
        <f>HYPERLINK("https://klasma.github.io/Logging_2513/tillsyn/A 62951-2025 tillsynsbegäran.docx", "A 62951-2025")</f>
        <v/>
      </c>
      <c r="AD38">
        <f>HYPERLINK("https://klasma.github.io/Logging_2513/tillsynsmail/A 62951-2025 tillsynsbegäran mail.docx", "A 62951-2025")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46241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5</v>
      </c>
      <c r="V39" s="2" t="inlineStr">
        <is>
          <t>Knärot
Fläcknycklar</t>
        </is>
      </c>
      <c r="W39">
        <f>HYPERLINK("https://klasma.github.io/Logging_2513/artfynd/A 28929-2026 artfynd.xlsx", "A 28929-2026")</f>
        <v/>
      </c>
      <c r="X39">
        <f>HYPERLINK("https://klasma.github.io/Logging_2513/kartor/A 28929-2026 karta.png", "A 28929-2026")</f>
        <v/>
      </c>
      <c r="Y39">
        <f>HYPERLINK("https://klasma.github.io/Logging_2513/kartor_geotiff/A 28929-2026 georefererad karta.tif", "A 28929-2026")</f>
        <v/>
      </c>
      <c r="Z39">
        <f>HYPERLINK("https://klasma.github.io/Logging_2513/knärot/A 28929-2026 karta knärot.png", "A 28929-2026")</f>
        <v/>
      </c>
      <c r="AA39">
        <f>HYPERLINK("https://klasma.github.io/Logging_2513/klagomål/A 28929-2026 FSC-klagomål.docx", "A 28929-2026")</f>
        <v/>
      </c>
      <c r="AB39">
        <f>HYPERLINK("https://klasma.github.io/Logging_2513/klagomålsmail/A 28929-2026 FSC-klagomål mail.docx", "A 28929-2026")</f>
        <v/>
      </c>
      <c r="AC39">
        <f>HYPERLINK("https://klasma.github.io/Logging_2513/tillsyn/A 28929-2026 tillsynsbegäran.docx", "A 28929-2026")</f>
        <v/>
      </c>
      <c r="AD39">
        <f>HYPERLINK("https://klasma.github.io/Logging_2513/tillsynsmail/A 28929-2026 tillsynsbegäran mail.docx", "A 28929-2026")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46241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46241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31704-2026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46226</v>
      </c>
      <c r="E42" s="1" t="n">
        <v>46241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Blå taggsvamp
Skarp dropptaggsvamp</t>
        </is>
      </c>
      <c r="W42">
        <f>HYPERLINK("https://klasma.github.io/Logging_2513/artfynd/A 31704-2026 artfynd.xlsx", "A 31704-2026")</f>
        <v/>
      </c>
      <c r="X42">
        <f>HYPERLINK("https://klasma.github.io/Logging_2513/kartor/A 31704-2026 karta.png", "A 31704-2026")</f>
        <v/>
      </c>
      <c r="Y42">
        <f>HYPERLINK("https://klasma.github.io/Logging_2513/kartor_geotiff/A 31704-2026 georefererad karta.tif", "A 31704-2026")</f>
        <v/>
      </c>
      <c r="AA42">
        <f>HYPERLINK("https://klasma.github.io/Logging_2513/klagomål/A 31704-2026 FSC-klagomål.docx", "A 31704-2026")</f>
        <v/>
      </c>
      <c r="AB42">
        <f>HYPERLINK("https://klasma.github.io/Logging_2513/klagomålsmail/A 31704-2026 FSC-klagomål mail.docx", "A 31704-2026")</f>
        <v/>
      </c>
      <c r="AC42">
        <f>HYPERLINK("https://klasma.github.io/Logging_2513/tillsyn/A 31704-2026 tillsynsbegäran.docx", "A 31704-2026")</f>
        <v/>
      </c>
      <c r="AD42">
        <f>HYPERLINK("https://klasma.github.io/Logging_2513/tillsynsmail/A 31704-2026 tillsynsbegäran mail.docx", "A 31704-2026")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46241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60509-2021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44496</v>
      </c>
      <c r="E44" s="1" t="n">
        <v>46241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13.5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Stor aspticka
Vedticka</t>
        </is>
      </c>
      <c r="W44">
        <f>HYPERLINK("https://klasma.github.io/Logging_2513/artfynd/A 60509-2021 artfynd.xlsx", "A 60509-2021")</f>
        <v/>
      </c>
      <c r="X44">
        <f>HYPERLINK("https://klasma.github.io/Logging_2513/kartor/A 60509-2021 karta.png", "A 60509-2021")</f>
        <v/>
      </c>
      <c r="Y44">
        <f>HYPERLINK("https://klasma.github.io/Logging_2513/kartor_geotiff/A 60509-2021 georefererad karta.tif", "A 60509-2021")</f>
        <v/>
      </c>
      <c r="AA44">
        <f>HYPERLINK("https://klasma.github.io/Logging_2513/klagomål/A 60509-2021 FSC-klagomål.docx", "A 60509-2021")</f>
        <v/>
      </c>
      <c r="AB44">
        <f>HYPERLINK("https://klasma.github.io/Logging_2513/klagomålsmail/A 60509-2021 FSC-klagomål mail.docx", "A 60509-2021")</f>
        <v/>
      </c>
      <c r="AC44">
        <f>HYPERLINK("https://klasma.github.io/Logging_2513/tillsyn/A 60509-2021 tillsynsbegäran.docx", "A 60509-2021")</f>
        <v/>
      </c>
      <c r="AD44">
        <f>HYPERLINK("https://klasma.github.io/Logging_2513/tillsynsmail/A 60509-2021 tillsynsbegäran mail.docx", "A 60509-2021")</f>
        <v/>
      </c>
    </row>
    <row r="45" ht="15" customHeight="1">
      <c r="A45" t="inlineStr">
        <is>
          <t>A 26452-2025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45807</v>
      </c>
      <c r="E45" s="1" t="n">
        <v>46241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Gammelgransskål
Stor aspticka</t>
        </is>
      </c>
      <c r="W45">
        <f>HYPERLINK("https://klasma.github.io/Logging_2513/artfynd/A 26452-2025 artfynd.xlsx", "A 26452-2025")</f>
        <v/>
      </c>
      <c r="X45">
        <f>HYPERLINK("https://klasma.github.io/Logging_2513/kartor/A 26452-2025 karta.png", "A 26452-2025")</f>
        <v/>
      </c>
      <c r="Y45">
        <f>HYPERLINK("https://klasma.github.io/Logging_2513/kartor_geotiff/A 26452-2025 georefererad karta.tif", "A 26452-2025")</f>
        <v/>
      </c>
      <c r="AA45">
        <f>HYPERLINK("https://klasma.github.io/Logging_2513/klagomål/A 26452-2025 FSC-klagomål.docx", "A 26452-2025")</f>
        <v/>
      </c>
      <c r="AB45">
        <f>HYPERLINK("https://klasma.github.io/Logging_2513/klagomålsmail/A 26452-2025 FSC-klagomål mail.docx", "A 26452-2025")</f>
        <v/>
      </c>
      <c r="AC45">
        <f>HYPERLINK("https://klasma.github.io/Logging_2513/tillsyn/A 26452-2025 tillsynsbegäran.docx", "A 26452-2025")</f>
        <v/>
      </c>
      <c r="AD45">
        <f>HYPERLINK("https://klasma.github.io/Logging_2513/tillsynsmail/A 26452-2025 tillsynsbegäran mail.docx", "A 26452-2025")</f>
        <v/>
      </c>
    </row>
    <row r="46" ht="15" customHeight="1">
      <c r="A46" t="inlineStr">
        <is>
          <t>A 34921-2025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46241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16.4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Gammelgransskål
Lunglav</t>
        </is>
      </c>
      <c r="W46">
        <f>HYPERLINK("https://klasma.github.io/Logging_2513/artfynd/A 34921-2025 artfynd.xlsx", "A 34921-2025")</f>
        <v/>
      </c>
      <c r="X46">
        <f>HYPERLINK("https://klasma.github.io/Logging_2513/kartor/A 34921-2025 karta.png", "A 34921-2025")</f>
        <v/>
      </c>
      <c r="Y46">
        <f>HYPERLINK("https://klasma.github.io/Logging_2513/kartor_geotiff/A 34921-2025 georefererad karta.tif", "A 34921-2025")</f>
        <v/>
      </c>
      <c r="AA46">
        <f>HYPERLINK("https://klasma.github.io/Logging_2513/klagomål/A 34921-2025 FSC-klagomål.docx", "A 34921-2025")</f>
        <v/>
      </c>
      <c r="AB46">
        <f>HYPERLINK("https://klasma.github.io/Logging_2513/klagomålsmail/A 34921-2025 FSC-klagomål mail.docx", "A 34921-2025")</f>
        <v/>
      </c>
      <c r="AC46">
        <f>HYPERLINK("https://klasma.github.io/Logging_2513/tillsyn/A 34921-2025 tillsynsbegäran.docx", "A 34921-2025")</f>
        <v/>
      </c>
      <c r="AD46">
        <f>HYPERLINK("https://klasma.github.io/Logging_2513/tillsynsmail/A 34921-2025 tillsynsbegäran mail.docx", "A 34921-2025")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46241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46241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46241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46241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HYPERLINK("https://klasma.github.io/Logging_2513/artfynd/A 35602-2025 artfynd.xlsx", "A 35602-2025")</f>
        <v/>
      </c>
      <c r="X50">
        <f>HYPERLINK("https://klasma.github.io/Logging_2513/kartor/A 35602-2025 karta.png", "A 35602-2025")</f>
        <v/>
      </c>
      <c r="Y50">
        <f>HYPERLINK("https://klasma.github.io/Logging_2513/kartor_geotiff/A 35602-2025 georefererad karta.tif", "A 35602-2025")</f>
        <v/>
      </c>
      <c r="AA50">
        <f>HYPERLINK("https://klasma.github.io/Logging_2513/klagomål/A 35602-2025 FSC-klagomål.docx", "A 35602-2025")</f>
        <v/>
      </c>
      <c r="AB50">
        <f>HYPERLINK("https://klasma.github.io/Logging_2513/klagomålsmail/A 35602-2025 FSC-klagomål mail.docx", "A 35602-2025")</f>
        <v/>
      </c>
      <c r="AC50">
        <f>HYPERLINK("https://klasma.github.io/Logging_2513/tillsyn/A 35602-2025 tillsynsbegäran.docx", "A 35602-2025")</f>
        <v/>
      </c>
      <c r="AD50">
        <f>HYPERLINK("https://klasma.github.io/Logging_2513/tillsynsmail/A 35602-2025 tillsynsbegäran mail.docx", "A 35602-2025")</f>
        <v/>
      </c>
    </row>
    <row r="51" ht="15" customHeight="1">
      <c r="A51" t="inlineStr">
        <is>
          <t>A 22977-2022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44717</v>
      </c>
      <c r="E51" s="1" t="n">
        <v>46241</v>
      </c>
      <c r="F51" t="inlineStr">
        <is>
          <t>NORRBOTTENS LÄN</t>
        </is>
      </c>
      <c r="G51" t="inlineStr">
        <is>
          <t>ÖVERKALIX</t>
        </is>
      </c>
      <c r="I51" t="n">
        <v>19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Bivråk</t>
        </is>
      </c>
      <c r="W51">
        <f>HYPERLINK("https://klasma.github.io/Logging_2513/artfynd/A 22977-2022 artfynd.xlsx", "A 22977-2022")</f>
        <v/>
      </c>
      <c r="X51">
        <f>HYPERLINK("https://klasma.github.io/Logging_2513/kartor/A 22977-2022 karta.png", "A 22977-2022")</f>
        <v/>
      </c>
      <c r="Y51">
        <f>HYPERLINK("https://klasma.github.io/Logging_2513/kartor_geotiff/A 22977-2022 georefererad karta.tif", "A 22977-2022")</f>
        <v/>
      </c>
      <c r="AA51">
        <f>HYPERLINK("https://klasma.github.io/Logging_2513/klagomål/A 22977-2022 FSC-klagomål.docx", "A 22977-2022")</f>
        <v/>
      </c>
      <c r="AB51">
        <f>HYPERLINK("https://klasma.github.io/Logging_2513/klagomålsmail/A 22977-2022 FSC-klagomål mail.docx", "A 22977-2022")</f>
        <v/>
      </c>
      <c r="AC51">
        <f>HYPERLINK("https://klasma.github.io/Logging_2513/tillsyn/A 22977-2022 tillsynsbegäran.docx", "A 22977-2022")</f>
        <v/>
      </c>
      <c r="AD51">
        <f>HYPERLINK("https://klasma.github.io/Logging_2513/tillsynsmail/A 22977-2022 tillsynsbegäran mail.docx", "A 22977-2022")</f>
        <v/>
      </c>
      <c r="AE51">
        <f>HYPERLINK("https://klasma.github.io/Logging_2513/fåglar/A 22977-2022 prioriterade fågelarter.docx", "A 22977-2022")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46241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71902-2021 artfynd.xlsx", "A 71902-2021")</f>
        <v/>
      </c>
      <c r="X52">
        <f>HYPERLINK("https://klasma.github.io/Logging_2513/kartor/A 71902-2021 karta.png", "A 71902-2021")</f>
        <v/>
      </c>
      <c r="Y52">
        <f>HYPERLINK("https://klasma.github.io/Logging_2513/kartor_geotiff/A 71902-2021 georefererad karta.tif", "A 71902-2021")</f>
        <v/>
      </c>
      <c r="AA52">
        <f>HYPERLINK("https://klasma.github.io/Logging_2513/klagomål/A 71902-2021 FSC-klagomål.docx", "A 71902-2021")</f>
        <v/>
      </c>
      <c r="AB52">
        <f>HYPERLINK("https://klasma.github.io/Logging_2513/klagomålsmail/A 71902-2021 FSC-klagomål mail.docx", "A 71902-2021")</f>
        <v/>
      </c>
      <c r="AC52">
        <f>HYPERLINK("https://klasma.github.io/Logging_2513/tillsyn/A 71902-2021 tillsynsbegäran.docx", "A 71902-2021")</f>
        <v/>
      </c>
      <c r="AD52">
        <f>HYPERLINK("https://klasma.github.io/Logging_2513/tillsynsmail/A 71902-2021 tillsynsbegäran mail.docx", "A 71902-2021")</f>
        <v/>
      </c>
      <c r="AE52">
        <f>HYPERLINK("https://klasma.github.io/Logging_2513/fåglar/A 71902-2021 prioriterade fågelarter.docx", "A 71902-2021")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46241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20949-2026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46142</v>
      </c>
      <c r="E54" s="1" t="n">
        <v>46241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20949-2026 artfynd.xlsx", "A 20949-2026")</f>
        <v/>
      </c>
      <c r="X54">
        <f>HYPERLINK("https://klasma.github.io/Logging_2513/kartor/A 20949-2026 karta.png", "A 20949-2026")</f>
        <v/>
      </c>
      <c r="Y54">
        <f>HYPERLINK("https://klasma.github.io/Logging_2513/kartor_geotiff/A 20949-2026 georefererad karta.tif", "A 20949-2026")</f>
        <v/>
      </c>
      <c r="AA54">
        <f>HYPERLINK("https://klasma.github.io/Logging_2513/klagomål/A 20949-2026 FSC-klagomål.docx", "A 20949-2026")</f>
        <v/>
      </c>
      <c r="AB54">
        <f>HYPERLINK("https://klasma.github.io/Logging_2513/klagomålsmail/A 20949-2026 FSC-klagomål mail.docx", "A 20949-2026")</f>
        <v/>
      </c>
      <c r="AC54">
        <f>HYPERLINK("https://klasma.github.io/Logging_2513/tillsyn/A 20949-2026 tillsynsbegäran.docx", "A 20949-2026")</f>
        <v/>
      </c>
      <c r="AD54">
        <f>HYPERLINK("https://klasma.github.io/Logging_2513/tillsynsmail/A 20949-2026 tillsynsbegäran mail.docx", "A 20949-2026")</f>
        <v/>
      </c>
    </row>
    <row r="55" ht="15" customHeight="1">
      <c r="A55" t="inlineStr">
        <is>
          <t>A 25335-2026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46241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46.9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Lunglav</t>
        </is>
      </c>
      <c r="W55">
        <f>HYPERLINK("https://klasma.github.io/Logging_2513/artfynd/A 25335-2026 artfynd.xlsx", "A 25335-2026")</f>
        <v/>
      </c>
      <c r="X55">
        <f>HYPERLINK("https://klasma.github.io/Logging_2513/kartor/A 25335-2026 karta.png", "A 25335-2026")</f>
        <v/>
      </c>
      <c r="Y55">
        <f>HYPERLINK("https://klasma.github.io/Logging_2513/kartor_geotiff/A 25335-2026 georefererad karta.tif", "A 25335-2026")</f>
        <v/>
      </c>
      <c r="AA55">
        <f>HYPERLINK("https://klasma.github.io/Logging_2513/klagomål/A 25335-2026 FSC-klagomål.docx", "A 25335-2026")</f>
        <v/>
      </c>
      <c r="AB55">
        <f>HYPERLINK("https://klasma.github.io/Logging_2513/klagomålsmail/A 25335-2026 FSC-klagomål mail.docx", "A 25335-2026")</f>
        <v/>
      </c>
      <c r="AC55">
        <f>HYPERLINK("https://klasma.github.io/Logging_2513/tillsyn/A 25335-2026 tillsynsbegäran.docx", "A 25335-2026")</f>
        <v/>
      </c>
      <c r="AD55">
        <f>HYPERLINK("https://klasma.github.io/Logging_2513/tillsynsmail/A 25335-2026 tillsynsbegäran mail.docx", "A 25335-2026")</f>
        <v/>
      </c>
    </row>
    <row r="56" ht="15" customHeight="1">
      <c r="A56" t="inlineStr">
        <is>
          <t>A 8407-2025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45709</v>
      </c>
      <c r="E56" s="1" t="n">
        <v>46241</v>
      </c>
      <c r="F56" t="inlineStr">
        <is>
          <t>NORRBOTTENS LÄN</t>
        </is>
      </c>
      <c r="G56" t="inlineStr">
        <is>
          <t>ÖVERKALIX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Tallbit</t>
        </is>
      </c>
      <c r="W56">
        <f>HYPERLINK("https://klasma.github.io/Logging_2513/artfynd/A 8407-2025 artfynd.xlsx", "A 8407-2025")</f>
        <v/>
      </c>
      <c r="X56">
        <f>HYPERLINK("https://klasma.github.io/Logging_2513/kartor/A 8407-2025 karta.png", "A 8407-2025")</f>
        <v/>
      </c>
      <c r="Y56">
        <f>HYPERLINK("https://klasma.github.io/Logging_2513/kartor_geotiff/A 8407-2025 georefererad karta.tif", "A 8407-2025")</f>
        <v/>
      </c>
      <c r="AA56">
        <f>HYPERLINK("https://klasma.github.io/Logging_2513/klagomål/A 8407-2025 FSC-klagomål.docx", "A 8407-2025")</f>
        <v/>
      </c>
      <c r="AB56">
        <f>HYPERLINK("https://klasma.github.io/Logging_2513/klagomålsmail/A 8407-2025 FSC-klagomål mail.docx", "A 8407-2025")</f>
        <v/>
      </c>
      <c r="AC56">
        <f>HYPERLINK("https://klasma.github.io/Logging_2513/tillsyn/A 8407-2025 tillsynsbegäran.docx", "A 8407-2025")</f>
        <v/>
      </c>
      <c r="AD56">
        <f>HYPERLINK("https://klasma.github.io/Logging_2513/tillsynsmail/A 8407-2025 tillsynsbegäran mail.docx", "A 8407-2025")</f>
        <v/>
      </c>
      <c r="AE56">
        <f>HYPERLINK("https://klasma.github.io/Logging_2513/fåglar/A 8407-2025 prioriterade fågelarter.docx", "A 8407-2025")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46241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46241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46280-2024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46241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HYPERLINK("https://klasma.github.io/Logging_2513/artfynd/A 46280-2024 artfynd.xlsx", "A 46280-2024")</f>
        <v/>
      </c>
      <c r="X59">
        <f>HYPERLINK("https://klasma.github.io/Logging_2513/kartor/A 46280-2024 karta.png", "A 46280-2024")</f>
        <v/>
      </c>
      <c r="Y59">
        <f>HYPERLINK("https://klasma.github.io/Logging_2513/kartor_geotiff/A 46280-2024 georefererad karta.tif", "A 46280-2024")</f>
        <v/>
      </c>
      <c r="AA59">
        <f>HYPERLINK("https://klasma.github.io/Logging_2513/klagomål/A 46280-2024 FSC-klagomål.docx", "A 46280-2024")</f>
        <v/>
      </c>
      <c r="AB59">
        <f>HYPERLINK("https://klasma.github.io/Logging_2513/klagomålsmail/A 46280-2024 FSC-klagomål mail.docx", "A 46280-2024")</f>
        <v/>
      </c>
      <c r="AC59">
        <f>HYPERLINK("https://klasma.github.io/Logging_2513/tillsyn/A 46280-2024 tillsynsbegäran.docx", "A 46280-2024")</f>
        <v/>
      </c>
      <c r="AD59">
        <f>HYPERLINK("https://klasma.github.io/Logging_2513/tillsynsmail/A 46280-2024 tillsynsbegäran mail.docx", "A 46280-2024")</f>
        <v/>
      </c>
      <c r="AE59">
        <f>HYPERLINK("https://klasma.github.io/Logging_2513/fåglar/A 46280-2024 prioriterade fågelarter.docx", "A 46280-2024")</f>
        <v/>
      </c>
    </row>
    <row r="60" ht="15" customHeight="1">
      <c r="A60" t="inlineStr">
        <is>
          <t>A 46281-2024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45581</v>
      </c>
      <c r="E60" s="1" t="n">
        <v>46241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 taggsvamp</t>
        </is>
      </c>
      <c r="W60">
        <f>HYPERLINK("https://klasma.github.io/Logging_2513/artfynd/A 46281-2024 artfynd.xlsx", "A 46281-2024")</f>
        <v/>
      </c>
      <c r="X60">
        <f>HYPERLINK("https://klasma.github.io/Logging_2513/kartor/A 46281-2024 karta.png", "A 46281-2024")</f>
        <v/>
      </c>
      <c r="Y60">
        <f>HYPERLINK("https://klasma.github.io/Logging_2513/kartor_geotiff/A 46281-2024 georefererad karta.tif", "A 46281-2024")</f>
        <v/>
      </c>
      <c r="AA60">
        <f>HYPERLINK("https://klasma.github.io/Logging_2513/klagomål/A 46281-2024 FSC-klagomål.docx", "A 46281-2024")</f>
        <v/>
      </c>
      <c r="AB60">
        <f>HYPERLINK("https://klasma.github.io/Logging_2513/klagomålsmail/A 46281-2024 FSC-klagomål mail.docx", "A 46281-2024")</f>
        <v/>
      </c>
      <c r="AC60">
        <f>HYPERLINK("https://klasma.github.io/Logging_2513/tillsyn/A 46281-2024 tillsynsbegäran.docx", "A 46281-2024")</f>
        <v/>
      </c>
      <c r="AD60">
        <f>HYPERLINK("https://klasma.github.io/Logging_2513/tillsynsmail/A 46281-2024 tillsynsbegäran mail.docx", "A 46281-2024")</f>
        <v/>
      </c>
    </row>
    <row r="61" ht="15" customHeight="1">
      <c r="A61" t="inlineStr">
        <is>
          <t>A 26305-2025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46241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5.2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Luddlav</t>
        </is>
      </c>
      <c r="W61">
        <f>HYPERLINK("https://klasma.github.io/Logging_2513/artfynd/A 26305-2025 artfynd.xlsx", "A 26305-2025")</f>
        <v/>
      </c>
      <c r="X61">
        <f>HYPERLINK("https://klasma.github.io/Logging_2513/kartor/A 26305-2025 karta.png", "A 26305-2025")</f>
        <v/>
      </c>
      <c r="Y61">
        <f>HYPERLINK("https://klasma.github.io/Logging_2513/kartor_geotiff/A 26305-2025 georefererad karta.tif", "A 26305-2025")</f>
        <v/>
      </c>
      <c r="AA61">
        <f>HYPERLINK("https://klasma.github.io/Logging_2513/klagomål/A 26305-2025 FSC-klagomål.docx", "A 26305-2025")</f>
        <v/>
      </c>
      <c r="AB61">
        <f>HYPERLINK("https://klasma.github.io/Logging_2513/klagomålsmail/A 26305-2025 FSC-klagomål mail.docx", "A 26305-2025")</f>
        <v/>
      </c>
      <c r="AC61">
        <f>HYPERLINK("https://klasma.github.io/Logging_2513/tillsyn/A 26305-2025 tillsynsbegäran.docx", "A 26305-2025")</f>
        <v/>
      </c>
      <c r="AD61">
        <f>HYPERLINK("https://klasma.github.io/Logging_2513/tillsynsmail/A 26305-2025 tillsynsbegäran mail.docx", "A 26305-2025")</f>
        <v/>
      </c>
    </row>
    <row r="62" ht="15" customHeight="1">
      <c r="A62" t="inlineStr">
        <is>
          <t>A 27452-2025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46241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HYPERLINK("https://klasma.github.io/Logging_2513/artfynd/A 27452-2025 artfynd.xlsx", "A 27452-2025")</f>
        <v/>
      </c>
      <c r="X62">
        <f>HYPERLINK("https://klasma.github.io/Logging_2513/kartor/A 27452-2025 karta.png", "A 27452-2025")</f>
        <v/>
      </c>
      <c r="Y62">
        <f>HYPERLINK("https://klasma.github.io/Logging_2513/kartor_geotiff/A 27452-2025 georefererad karta.tif", "A 27452-2025")</f>
        <v/>
      </c>
      <c r="AA62">
        <f>HYPERLINK("https://klasma.github.io/Logging_2513/klagomål/A 27452-2025 FSC-klagomål.docx", "A 27452-2025")</f>
        <v/>
      </c>
      <c r="AB62">
        <f>HYPERLINK("https://klasma.github.io/Logging_2513/klagomålsmail/A 27452-2025 FSC-klagomål mail.docx", "A 27452-2025")</f>
        <v/>
      </c>
      <c r="AC62">
        <f>HYPERLINK("https://klasma.github.io/Logging_2513/tillsyn/A 27452-2025 tillsynsbegäran.docx", "A 27452-2025")</f>
        <v/>
      </c>
      <c r="AD62">
        <f>HYPERLINK("https://klasma.github.io/Logging_2513/tillsynsmail/A 27452-2025 tillsynsbegäran mail.docx", "A 27452-2025")</f>
        <v/>
      </c>
      <c r="AE62">
        <f>HYPERLINK("https://klasma.github.io/Logging_2513/fåglar/A 27452-2025 prioriterade fågelarter.docx", "A 27452-2025")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46241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46241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46241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46241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46241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46241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46241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46241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46241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46241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46241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46241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46241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46241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46241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46241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46241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46241</v>
      </c>
      <c r="F80" t="inlineStr">
        <is>
          <t>NORRBOTTENS LÄN</t>
        </is>
      </c>
      <c r="G80" t="inlineStr">
        <is>
          <t>ÖVERKALIX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46241</v>
      </c>
      <c r="F81" t="inlineStr">
        <is>
          <t>NORRBOTTENS LÄN</t>
        </is>
      </c>
      <c r="G81" t="inlineStr">
        <is>
          <t>ÖVERKALIX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46241</v>
      </c>
      <c r="F82" t="inlineStr">
        <is>
          <t>NORRBOTTENS LÄN</t>
        </is>
      </c>
      <c r="G82" t="inlineStr">
        <is>
          <t>ÖVERKALIX</t>
        </is>
      </c>
      <c r="I82" t="n">
        <v>12.6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44424</v>
      </c>
      <c r="E83" s="1" t="n">
        <v>46241</v>
      </c>
      <c r="F83" t="inlineStr">
        <is>
          <t>NORRBOTTENS LÄN</t>
        </is>
      </c>
      <c r="G83" t="inlineStr">
        <is>
          <t>ÖVERKALIX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44432</v>
      </c>
      <c r="E84" s="1" t="n">
        <v>46241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54220-2021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46241</v>
      </c>
      <c r="F85" t="inlineStr">
        <is>
          <t>NORRBOTTENS LÄN</t>
        </is>
      </c>
      <c r="G85" t="inlineStr">
        <is>
          <t>ÖVERKALIX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44623</v>
      </c>
      <c r="E86" s="1" t="n">
        <v>46241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52993-2022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46241</v>
      </c>
      <c r="F87" t="inlineStr">
        <is>
          <t>NORRBOTTENS LÄN</t>
        </is>
      </c>
      <c r="G87" t="inlineStr">
        <is>
          <t>ÖVERKALIX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44433</v>
      </c>
      <c r="E88" s="1" t="n">
        <v>46241</v>
      </c>
      <c r="F88" t="inlineStr">
        <is>
          <t>NORRBOTTENS LÄN</t>
        </is>
      </c>
      <c r="G88" t="inlineStr">
        <is>
          <t>ÖVERKALIX</t>
        </is>
      </c>
      <c r="H88" t="inlineStr">
        <is>
          <t>Sveaskog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46241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46241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46241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46241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6916-2022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44602</v>
      </c>
      <c r="E93" s="1" t="n">
        <v>46241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44698</v>
      </c>
      <c r="E94" s="1" t="n">
        <v>46241</v>
      </c>
      <c r="F94" t="inlineStr">
        <is>
          <t>NORRBOTTENS LÄN</t>
        </is>
      </c>
      <c r="G94" t="inlineStr">
        <is>
          <t>ÖVERKALIX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46241</v>
      </c>
      <c r="F95" t="inlineStr">
        <is>
          <t>NORRBOTTENS LÄN</t>
        </is>
      </c>
      <c r="G95" t="inlineStr">
        <is>
          <t>ÖVERKALIX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46241</v>
      </c>
      <c r="F96" t="inlineStr">
        <is>
          <t>NORRBOTTENS LÄN</t>
        </is>
      </c>
      <c r="G96" t="inlineStr">
        <is>
          <t>ÖVERKALIX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19985-2025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46241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46241</v>
      </c>
      <c r="F98" t="inlineStr">
        <is>
          <t>NORRBOTTENS LÄN</t>
        </is>
      </c>
      <c r="G98" t="inlineStr">
        <is>
          <t>ÖVERKALIX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46241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46241</v>
      </c>
      <c r="F100" t="inlineStr">
        <is>
          <t>NORRBOTTENS LÄN</t>
        </is>
      </c>
      <c r="G100" t="inlineStr">
        <is>
          <t>ÖVERKALIX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46241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45372</v>
      </c>
      <c r="E102" s="1" t="n">
        <v>46241</v>
      </c>
      <c r="F102" t="inlineStr">
        <is>
          <t>NORRBOTTENS LÄN</t>
        </is>
      </c>
      <c r="G102" t="inlineStr">
        <is>
          <t>ÖVERKALIX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46241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46241</v>
      </c>
      <c r="F104" t="inlineStr">
        <is>
          <t>NORRBOTTENS LÄN</t>
        </is>
      </c>
      <c r="G104" t="inlineStr">
        <is>
          <t>ÖVERKALIX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46241</v>
      </c>
      <c r="F105" t="inlineStr">
        <is>
          <t>NORRBOTTENS LÄN</t>
        </is>
      </c>
      <c r="G105" t="inlineStr">
        <is>
          <t>ÖVERKALIX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46241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45379</v>
      </c>
      <c r="E107" s="1" t="n">
        <v>46241</v>
      </c>
      <c r="F107" t="inlineStr">
        <is>
          <t>NORRBOTTENS LÄN</t>
        </is>
      </c>
      <c r="G107" t="inlineStr">
        <is>
          <t>ÖVERKALIX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46241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45075</v>
      </c>
      <c r="E109" s="1" t="n">
        <v>46241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72809-2021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46241</v>
      </c>
      <c r="F110" t="inlineStr">
        <is>
          <t>NORRBOTTENS LÄN</t>
        </is>
      </c>
      <c r="G110" t="inlineStr">
        <is>
          <t>ÖVERKALIX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46241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46241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46241</v>
      </c>
      <c r="F113" t="inlineStr">
        <is>
          <t>NORRBOTTENS LÄN</t>
        </is>
      </c>
      <c r="G113" t="inlineStr">
        <is>
          <t>ÖVERKALIX</t>
        </is>
      </c>
      <c r="I113" t="n">
        <v>21.7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72623-2021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46241</v>
      </c>
      <c r="F114" t="inlineStr">
        <is>
          <t>NORRBOTTENS LÄN</t>
        </is>
      </c>
      <c r="G114" t="inlineStr">
        <is>
          <t>ÖVERKALIX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46241</v>
      </c>
      <c r="F115" t="inlineStr">
        <is>
          <t>NORRBOTTENS LÄN</t>
        </is>
      </c>
      <c r="G115" t="inlineStr">
        <is>
          <t>ÖVERKALIX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46241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45428</v>
      </c>
      <c r="E117" s="1" t="n">
        <v>46241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45436</v>
      </c>
      <c r="E118" s="1" t="n">
        <v>46241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29.9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46241</v>
      </c>
      <c r="F119" t="inlineStr">
        <is>
          <t>NORRBOTTENS LÄN</t>
        </is>
      </c>
      <c r="G119" t="inlineStr">
        <is>
          <t>ÖVERKALIX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46241</v>
      </c>
      <c r="F120" t="inlineStr">
        <is>
          <t>NORRBOTTENS LÄN</t>
        </is>
      </c>
      <c r="G120" t="inlineStr">
        <is>
          <t>ÖVERKALIX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46241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46241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46241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44435</v>
      </c>
      <c r="E124" s="1" t="n">
        <v>46241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46241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9.800000000000001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46241</v>
      </c>
      <c r="F126" t="inlineStr">
        <is>
          <t>NORRBOTTENS LÄN</t>
        </is>
      </c>
      <c r="G126" t="inlineStr">
        <is>
          <t>ÖVERKALIX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46241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46241</v>
      </c>
      <c r="F128" t="inlineStr">
        <is>
          <t>NORRBOTTENS LÄN</t>
        </is>
      </c>
      <c r="G128" t="inlineStr">
        <is>
          <t>ÖVERKALIX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46241</v>
      </c>
      <c r="F129" t="inlineStr">
        <is>
          <t>NORRBOTTENS LÄN</t>
        </is>
      </c>
      <c r="G129" t="inlineStr">
        <is>
          <t>ÖVERKALIX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44424</v>
      </c>
      <c r="E130" s="1" t="n">
        <v>46241</v>
      </c>
      <c r="F130" t="inlineStr">
        <is>
          <t>NORRBOTTENS LÄN</t>
        </is>
      </c>
      <c r="G130" t="inlineStr">
        <is>
          <t>ÖVERKALIX</t>
        </is>
      </c>
      <c r="I130" t="n">
        <v>10.2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46241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16794-2026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46241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46112</v>
      </c>
      <c r="E133" s="1" t="n">
        <v>46241</v>
      </c>
      <c r="F133" t="inlineStr">
        <is>
          <t>NORRBOTTENS LÄN</t>
        </is>
      </c>
      <c r="G133" t="inlineStr">
        <is>
          <t>ÖVERKALIX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45869</v>
      </c>
      <c r="E134" s="1" t="n">
        <v>46241</v>
      </c>
      <c r="F134" t="inlineStr">
        <is>
          <t>NORRBOTTENS LÄN</t>
        </is>
      </c>
      <c r="G134" t="inlineStr">
        <is>
          <t>ÖVERKALIX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45870</v>
      </c>
      <c r="E135" s="1" t="n">
        <v>46241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45870</v>
      </c>
      <c r="E136" s="1" t="n">
        <v>46241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45869</v>
      </c>
      <c r="E137" s="1" t="n">
        <v>46241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46241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46241</v>
      </c>
      <c r="F139" t="inlineStr">
        <is>
          <t>NORRBOTTENS LÄN</t>
        </is>
      </c>
      <c r="G139" t="inlineStr">
        <is>
          <t>ÖVERKALIX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45873</v>
      </c>
      <c r="E140" s="1" t="n">
        <v>46241</v>
      </c>
      <c r="F140" t="inlineStr">
        <is>
          <t>NORRBOTTENS LÄN</t>
        </is>
      </c>
      <c r="G140" t="inlineStr">
        <is>
          <t>ÖVERKALIX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45107</v>
      </c>
      <c r="E141" s="1" t="n">
        <v>46241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45882</v>
      </c>
      <c r="E142" s="1" t="n">
        <v>46241</v>
      </c>
      <c r="F142" t="inlineStr">
        <is>
          <t>NORRBOTTENS LÄN</t>
        </is>
      </c>
      <c r="G142" t="inlineStr">
        <is>
          <t>ÖVERKALIX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46241</v>
      </c>
      <c r="F143" t="inlineStr">
        <is>
          <t>NORRBOTTENS LÄN</t>
        </is>
      </c>
      <c r="G143" t="inlineStr">
        <is>
          <t>ÖVERKALIX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46241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45882</v>
      </c>
      <c r="E145" s="1" t="n">
        <v>46241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46241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46241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46241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13.4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46241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46120</v>
      </c>
      <c r="E150" s="1" t="n">
        <v>46241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46241</v>
      </c>
      <c r="F151" t="inlineStr">
        <is>
          <t>NORRBOTTENS LÄN</t>
        </is>
      </c>
      <c r="G151" t="inlineStr">
        <is>
          <t>ÖVERKALIX</t>
        </is>
      </c>
      <c r="H151" t="inlineStr">
        <is>
          <t>Övriga statliga verk och myndigheter</t>
        </is>
      </c>
      <c r="I151" t="n">
        <v>38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46241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46241</v>
      </c>
      <c r="F153" t="inlineStr">
        <is>
          <t>NORRBOTTENS LÄN</t>
        </is>
      </c>
      <c r="G153" t="inlineStr">
        <is>
          <t>ÖVERKALIX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46241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37.4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45611</v>
      </c>
      <c r="E155" s="1" t="n">
        <v>46241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25.9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45622</v>
      </c>
      <c r="E156" s="1" t="n">
        <v>46241</v>
      </c>
      <c r="F156" t="inlineStr">
        <is>
          <t>NORRBOTTENS LÄN</t>
        </is>
      </c>
      <c r="G156" t="inlineStr">
        <is>
          <t>ÖVERKALIX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46241</v>
      </c>
      <c r="F157" t="inlineStr">
        <is>
          <t>NORRBOTTENS LÄN</t>
        </is>
      </c>
      <c r="G157" t="inlineStr">
        <is>
          <t>ÖVERKALIX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46241</v>
      </c>
      <c r="F158" t="inlineStr">
        <is>
          <t>NORRBOTTENS LÄN</t>
        </is>
      </c>
      <c r="G158" t="inlineStr">
        <is>
          <t>ÖVERKALIX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46241</v>
      </c>
      <c r="F159" t="inlineStr">
        <is>
          <t>NORRBOTTENS LÄN</t>
        </is>
      </c>
      <c r="G159" t="inlineStr">
        <is>
          <t>ÖVERKALIX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46241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46241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46241</v>
      </c>
      <c r="F162" t="inlineStr">
        <is>
          <t>NORRBOTTENS LÄN</t>
        </is>
      </c>
      <c r="G162" t="inlineStr">
        <is>
          <t>ÖVERKALIX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46241</v>
      </c>
      <c r="F163" t="inlineStr">
        <is>
          <t>NORRBOTTENS LÄN</t>
        </is>
      </c>
      <c r="G163" t="inlineStr">
        <is>
          <t>ÖVERKALIX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45086</v>
      </c>
      <c r="E164" s="1" t="n">
        <v>46241</v>
      </c>
      <c r="F164" t="inlineStr">
        <is>
          <t>NORRBOTTENS LÄN</t>
        </is>
      </c>
      <c r="G164" t="inlineStr">
        <is>
          <t>ÖVERKALIX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46241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46241</v>
      </c>
      <c r="F166" t="inlineStr">
        <is>
          <t>NORRBOTTENS LÄN</t>
        </is>
      </c>
      <c r="G166" t="inlineStr">
        <is>
          <t>ÖVERKALIX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46241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46241</v>
      </c>
      <c r="F168" t="inlineStr">
        <is>
          <t>NORRBOTTENS LÄN</t>
        </is>
      </c>
      <c r="G168" t="inlineStr">
        <is>
          <t>ÖVERKALIX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46241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46241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46241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18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44754-2025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45917</v>
      </c>
      <c r="E172" s="1" t="n">
        <v>46241</v>
      </c>
      <c r="F172" t="inlineStr">
        <is>
          <t>NORRBOTTENS LÄN</t>
        </is>
      </c>
      <c r="G172" t="inlineStr">
        <is>
          <t>ÖVERKALIX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46132</v>
      </c>
      <c r="E173" s="1" t="n">
        <v>46241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45535-2025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45922</v>
      </c>
      <c r="E174" s="1" t="n">
        <v>46241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46241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28.8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46133</v>
      </c>
      <c r="E176" s="1" t="n">
        <v>46241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46133</v>
      </c>
      <c r="E177" s="1" t="n">
        <v>46241</v>
      </c>
      <c r="F177" t="inlineStr">
        <is>
          <t>NORRBOTTENS LÄN</t>
        </is>
      </c>
      <c r="G177" t="inlineStr">
        <is>
          <t>ÖVERKALIX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46241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46135</v>
      </c>
      <c r="E179" s="1" t="n">
        <v>46241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9.199999999999999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46241</v>
      </c>
      <c r="F180" t="inlineStr">
        <is>
          <t>NORRBOTTENS LÄN</t>
        </is>
      </c>
      <c r="G180" t="inlineStr">
        <is>
          <t>ÖVERKALIX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48577-2023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45208</v>
      </c>
      <c r="E181" s="1" t="n">
        <v>46241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45691</v>
      </c>
      <c r="E182" s="1" t="n">
        <v>46241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45671</v>
      </c>
      <c r="E183" s="1" t="n">
        <v>46241</v>
      </c>
      <c r="F183" t="inlineStr">
        <is>
          <t>NORRBOTTENS LÄN</t>
        </is>
      </c>
      <c r="G183" t="inlineStr">
        <is>
          <t>ÖVERKALIX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46241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46241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46241</v>
      </c>
      <c r="F186" t="inlineStr">
        <is>
          <t>NORRBOTTENS LÄN</t>
        </is>
      </c>
      <c r="G186" t="inlineStr">
        <is>
          <t>ÖVERKALIX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44433</v>
      </c>
      <c r="E187" s="1" t="n">
        <v>46241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46241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46241</v>
      </c>
      <c r="F189" t="inlineStr">
        <is>
          <t>NORRBOTTENS LÄN</t>
        </is>
      </c>
      <c r="G189" t="inlineStr">
        <is>
          <t>ÖVERKALIX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46241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46241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45947</v>
      </c>
      <c r="E192" s="1" t="n">
        <v>46241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45949</v>
      </c>
      <c r="E193" s="1" t="n">
        <v>46241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51634-2025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45951</v>
      </c>
      <c r="E194" s="1" t="n">
        <v>46241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46241</v>
      </c>
      <c r="F195" t="inlineStr">
        <is>
          <t>NORRBOTTENS LÄN</t>
        </is>
      </c>
      <c r="G195" t="inlineStr">
        <is>
          <t>ÖVERKALIX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45954</v>
      </c>
      <c r="E196" s="1" t="n">
        <v>46241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46241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45957</v>
      </c>
      <c r="E198" s="1" t="n">
        <v>46241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46241</v>
      </c>
      <c r="F199" t="inlineStr">
        <is>
          <t>NORRBOTTENS LÄN</t>
        </is>
      </c>
      <c r="G199" t="inlineStr">
        <is>
          <t>ÖVERKALIX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44890</v>
      </c>
      <c r="E200" s="1" t="n">
        <v>46241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13.8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46241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44659</v>
      </c>
      <c r="E202" s="1" t="n">
        <v>46241</v>
      </c>
      <c r="F202" t="inlineStr">
        <is>
          <t>NORRBOTTENS LÄN</t>
        </is>
      </c>
      <c r="G202" t="inlineStr">
        <is>
          <t>ÖVERKALIX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46241</v>
      </c>
      <c r="F203" t="inlineStr">
        <is>
          <t>NORRBOTTENS LÄN</t>
        </is>
      </c>
      <c r="G203" t="inlineStr">
        <is>
          <t>ÖVERKALIX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46241</v>
      </c>
      <c r="F204" t="inlineStr">
        <is>
          <t>NORRBOTTENS LÄN</t>
        </is>
      </c>
      <c r="G204" t="inlineStr">
        <is>
          <t>ÖVERKALIX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46241</v>
      </c>
      <c r="F205" t="inlineStr">
        <is>
          <t>NORRBOTTENS LÄN</t>
        </is>
      </c>
      <c r="G205" t="inlineStr">
        <is>
          <t>ÖVERKALIX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46241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46241</v>
      </c>
      <c r="F207" t="inlineStr">
        <is>
          <t>NORRBOTTENS LÄN</t>
        </is>
      </c>
      <c r="G207" t="inlineStr">
        <is>
          <t>ÖVERKALIX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44648</v>
      </c>
      <c r="E208" s="1" t="n">
        <v>46241</v>
      </c>
      <c r="F208" t="inlineStr">
        <is>
          <t>NORRBOTTENS LÄN</t>
        </is>
      </c>
      <c r="G208" t="inlineStr">
        <is>
          <t>ÖVERKALIX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46139</v>
      </c>
      <c r="E209" s="1" t="n">
        <v>46241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46241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46241</v>
      </c>
      <c r="F211" t="inlineStr">
        <is>
          <t>NORRBOTTENS LÄN</t>
        </is>
      </c>
      <c r="G211" t="inlineStr">
        <is>
          <t>ÖVERKALIX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57744-2025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45981</v>
      </c>
      <c r="E212" s="1" t="n">
        <v>46241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46241</v>
      </c>
      <c r="F213" t="inlineStr">
        <is>
          <t>NORRBOTTENS LÄN</t>
        </is>
      </c>
      <c r="G213" t="inlineStr">
        <is>
          <t>ÖVERKALIX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46241</v>
      </c>
      <c r="F214" t="inlineStr">
        <is>
          <t>NORRBOTTENS LÄN</t>
        </is>
      </c>
      <c r="G214" t="inlineStr">
        <is>
          <t>ÖVERKALIX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46241</v>
      </c>
      <c r="F215" t="inlineStr">
        <is>
          <t>NORRBOTTENS LÄN</t>
        </is>
      </c>
      <c r="G215" t="inlineStr">
        <is>
          <t>ÖVERKALIX</t>
        </is>
      </c>
      <c r="I215" t="n">
        <v>16.1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73216-2021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44547</v>
      </c>
      <c r="E216" s="1" t="n">
        <v>46241</v>
      </c>
      <c r="F216" t="inlineStr">
        <is>
          <t>NORRBOTTENS LÄN</t>
        </is>
      </c>
      <c r="G216" t="inlineStr">
        <is>
          <t>ÖVERKALIX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46148</v>
      </c>
      <c r="E217" s="1" t="n">
        <v>46241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46241</v>
      </c>
      <c r="F218" t="inlineStr">
        <is>
          <t>NORRBOTTENS LÄN</t>
        </is>
      </c>
      <c r="G218" t="inlineStr">
        <is>
          <t>ÖVERKALIX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46148</v>
      </c>
      <c r="E219" s="1" t="n">
        <v>46241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46148</v>
      </c>
      <c r="E220" s="1" t="n">
        <v>46241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46148</v>
      </c>
      <c r="E221" s="1" t="n">
        <v>46241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46241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46241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46148</v>
      </c>
      <c r="E224" s="1" t="n">
        <v>46241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46241</v>
      </c>
      <c r="F225" t="inlineStr">
        <is>
          <t>NORRBOTTENS LÄN</t>
        </is>
      </c>
      <c r="G225" t="inlineStr">
        <is>
          <t>ÖVERKALIX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46148</v>
      </c>
      <c r="E226" s="1" t="n">
        <v>46241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46241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18.8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46241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13.3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46241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46241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46241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46241</v>
      </c>
      <c r="F232" t="inlineStr">
        <is>
          <t>NORRBOTTENS LÄN</t>
        </is>
      </c>
      <c r="G232" t="inlineStr">
        <is>
          <t>ÖVERKALIX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46241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46241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46241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46241</v>
      </c>
      <c r="F236" t="inlineStr">
        <is>
          <t>NORRBOTTENS LÄN</t>
        </is>
      </c>
      <c r="G236" t="inlineStr">
        <is>
          <t>ÖVERKALIX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46241</v>
      </c>
      <c r="F237" t="inlineStr">
        <is>
          <t>NORRBOTTENS LÄN</t>
        </is>
      </c>
      <c r="G237" t="inlineStr">
        <is>
          <t>ÖVERKALIX</t>
        </is>
      </c>
      <c r="I237" t="n">
        <v>9.5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45379</v>
      </c>
      <c r="E238" s="1" t="n">
        <v>46241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46241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23.2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45996</v>
      </c>
      <c r="E240" s="1" t="n">
        <v>46241</v>
      </c>
      <c r="F240" t="inlineStr">
        <is>
          <t>NORRBOTTENS LÄN</t>
        </is>
      </c>
      <c r="G240" t="inlineStr">
        <is>
          <t>ÖVERKALIX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46241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11.8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46241</v>
      </c>
      <c r="F242" t="inlineStr">
        <is>
          <t>NORRBOTTENS LÄN</t>
        </is>
      </c>
      <c r="G242" t="inlineStr">
        <is>
          <t>ÖVERKALIX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46241</v>
      </c>
      <c r="F243" t="inlineStr">
        <is>
          <t>NORRBOTTENS LÄN</t>
        </is>
      </c>
      <c r="G243" t="inlineStr">
        <is>
          <t>ÖVERKALIX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46241</v>
      </c>
      <c r="F244" t="inlineStr">
        <is>
          <t>NORRBOTTENS LÄN</t>
        </is>
      </c>
      <c r="G244" t="inlineStr">
        <is>
          <t>ÖVERKALIX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46241</v>
      </c>
      <c r="F245" t="inlineStr">
        <is>
          <t>NORRBOTTENS LÄN</t>
        </is>
      </c>
      <c r="G245" t="inlineStr">
        <is>
          <t>ÖVERKALIX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46241</v>
      </c>
      <c r="F246" t="inlineStr">
        <is>
          <t>NORRBOTTENS LÄN</t>
        </is>
      </c>
      <c r="G246" t="inlineStr">
        <is>
          <t>ÖVERKALIX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46241</v>
      </c>
      <c r="F247" t="inlineStr">
        <is>
          <t>NORRBOTTENS LÄN</t>
        </is>
      </c>
      <c r="G247" t="inlineStr">
        <is>
          <t>ÖVERKALIX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46241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45404</v>
      </c>
      <c r="E249" s="1" t="n">
        <v>46241</v>
      </c>
      <c r="F249" t="inlineStr">
        <is>
          <t>NORRBOTTENS LÄN</t>
        </is>
      </c>
      <c r="G249" t="inlineStr">
        <is>
          <t>ÖVERKALIX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46241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46241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46160</v>
      </c>
      <c r="E252" s="1" t="n">
        <v>46241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46241</v>
      </c>
      <c r="F253" t="inlineStr">
        <is>
          <t>NORRBOTTENS LÄN</t>
        </is>
      </c>
      <c r="G253" t="inlineStr">
        <is>
          <t>ÖVERKALIX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45807</v>
      </c>
      <c r="E254" s="1" t="n">
        <v>46241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46241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46241</v>
      </c>
      <c r="F256" t="inlineStr">
        <is>
          <t>NORRBOTTENS LÄN</t>
        </is>
      </c>
      <c r="G256" t="inlineStr">
        <is>
          <t>ÖVERKALIX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46241</v>
      </c>
      <c r="F257" t="inlineStr">
        <is>
          <t>NORRBOTTENS LÄN</t>
        </is>
      </c>
      <c r="G257" t="inlineStr">
        <is>
          <t>ÖVERKALIX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46241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63023-2025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46009</v>
      </c>
      <c r="E259" s="1" t="n">
        <v>46241</v>
      </c>
      <c r="F259" t="inlineStr">
        <is>
          <t>NORRBOTTENS LÄN</t>
        </is>
      </c>
      <c r="G259" t="inlineStr">
        <is>
          <t>ÖVERKALIX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46241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46241</v>
      </c>
      <c r="F261" t="inlineStr">
        <is>
          <t>NORRBOTTENS LÄN</t>
        </is>
      </c>
      <c r="G261" t="inlineStr">
        <is>
          <t>ÖVERKALIX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46241</v>
      </c>
      <c r="F262" t="inlineStr">
        <is>
          <t>NORRBOTTENS LÄN</t>
        </is>
      </c>
      <c r="G262" t="inlineStr">
        <is>
          <t>ÖVERKALIX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46160</v>
      </c>
      <c r="E263" s="1" t="n">
        <v>46241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46241</v>
      </c>
      <c r="F264" t="inlineStr">
        <is>
          <t>NORRBOTTENS LÄN</t>
        </is>
      </c>
      <c r="G264" t="inlineStr">
        <is>
          <t>ÖVERKALIX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46241</v>
      </c>
      <c r="F265" t="inlineStr">
        <is>
          <t>NORRBOTTENS LÄN</t>
        </is>
      </c>
      <c r="G265" t="inlineStr">
        <is>
          <t>ÖVERKALIX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46199</v>
      </c>
      <c r="E266" s="1" t="n">
        <v>46241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46157</v>
      </c>
      <c r="E267" s="1" t="n">
        <v>46241</v>
      </c>
      <c r="F267" t="inlineStr">
        <is>
          <t>NORRBOTTENS LÄN</t>
        </is>
      </c>
      <c r="G267" t="inlineStr">
        <is>
          <t>ÖVERKALIX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46241</v>
      </c>
      <c r="F268" t="inlineStr">
        <is>
          <t>NORRBOTTENS LÄN</t>
        </is>
      </c>
      <c r="G268" t="inlineStr">
        <is>
          <t>ÖVERKALIX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46241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46241</v>
      </c>
      <c r="F270" t="inlineStr">
        <is>
          <t>NORRBOTTENS LÄN</t>
        </is>
      </c>
      <c r="G270" t="inlineStr">
        <is>
          <t>ÖVERKALIX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46241</v>
      </c>
      <c r="F271" t="inlineStr">
        <is>
          <t>NORRBOTTENS LÄN</t>
        </is>
      </c>
      <c r="G271" t="inlineStr">
        <is>
          <t>ÖVERKALIX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46241</v>
      </c>
      <c r="F272" t="inlineStr">
        <is>
          <t>NORRBOTTENS LÄN</t>
        </is>
      </c>
      <c r="G272" t="inlineStr">
        <is>
          <t>ÖVERKALIX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46241</v>
      </c>
      <c r="F273" t="inlineStr">
        <is>
          <t>NORRBOTTENS LÄN</t>
        </is>
      </c>
      <c r="G273" t="inlineStr">
        <is>
          <t>ÖVERKALIX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46241</v>
      </c>
      <c r="F274" t="inlineStr">
        <is>
          <t>NORRBOTTENS LÄN</t>
        </is>
      </c>
      <c r="G274" t="inlineStr">
        <is>
          <t>ÖVERKALIX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72364-2021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46241</v>
      </c>
      <c r="F275" t="inlineStr">
        <is>
          <t>NORRBOTTENS LÄN</t>
        </is>
      </c>
      <c r="G275" t="inlineStr">
        <is>
          <t>ÖVERKALIX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46241</v>
      </c>
      <c r="F276" t="inlineStr">
        <is>
          <t>NORRBOTTENS LÄN</t>
        </is>
      </c>
      <c r="G276" t="inlineStr">
        <is>
          <t>ÖVERKALIX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5653-2022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44595</v>
      </c>
      <c r="E277" s="1" t="n">
        <v>46241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46162</v>
      </c>
      <c r="E278" s="1" t="n">
        <v>46241</v>
      </c>
      <c r="F278" t="inlineStr">
        <is>
          <t>NORRBOTTENS LÄN</t>
        </is>
      </c>
      <c r="G278" t="inlineStr">
        <is>
          <t>ÖVERKALIX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46241</v>
      </c>
      <c r="F279" t="inlineStr">
        <is>
          <t>NORRBOTTENS LÄN</t>
        </is>
      </c>
      <c r="G279" t="inlineStr">
        <is>
          <t>ÖVERKALIX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32477-2024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45513</v>
      </c>
      <c r="E280" s="1" t="n">
        <v>46241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46241</v>
      </c>
      <c r="F281" t="inlineStr">
        <is>
          <t>NORRBOTTENS LÄN</t>
        </is>
      </c>
      <c r="G281" t="inlineStr">
        <is>
          <t>ÖVERKALIX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46241</v>
      </c>
      <c r="F282" t="inlineStr">
        <is>
          <t>NORRBOTTENS LÄN</t>
        </is>
      </c>
      <c r="G282" t="inlineStr">
        <is>
          <t>ÖVERKALIX</t>
        </is>
      </c>
      <c r="I282" t="n">
        <v>10.4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46241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17.6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46241</v>
      </c>
      <c r="F284" t="inlineStr">
        <is>
          <t>NORRBOTTENS LÄN</t>
        </is>
      </c>
      <c r="G284" t="inlineStr">
        <is>
          <t>ÖVERKALIX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46241</v>
      </c>
      <c r="F285" t="inlineStr">
        <is>
          <t>NORRBOTTENS LÄN</t>
        </is>
      </c>
      <c r="G285" t="inlineStr">
        <is>
          <t>ÖVERKALIX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46241</v>
      </c>
      <c r="F286" t="inlineStr">
        <is>
          <t>NORRBOTTENS LÄN</t>
        </is>
      </c>
      <c r="G286" t="inlineStr">
        <is>
          <t>ÖVERKALIX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44603</v>
      </c>
      <c r="E287" s="1" t="n">
        <v>46241</v>
      </c>
      <c r="F287" t="inlineStr">
        <is>
          <t>NORRBOTTENS LÄN</t>
        </is>
      </c>
      <c r="G287" t="inlineStr">
        <is>
          <t>ÖVERKALIX</t>
        </is>
      </c>
      <c r="H287" t="inlineStr">
        <is>
          <t>Övriga statliga verk och myndigheter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46241</v>
      </c>
      <c r="F288" t="inlineStr">
        <is>
          <t>NORRBOTTENS LÄN</t>
        </is>
      </c>
      <c r="G288" t="inlineStr">
        <is>
          <t>ÖVERKALIX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29927-2026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46205</v>
      </c>
      <c r="E289" s="1" t="n">
        <v>46241</v>
      </c>
      <c r="F289" t="inlineStr">
        <is>
          <t>NORRBOTTENS LÄN</t>
        </is>
      </c>
      <c r="G289" t="inlineStr">
        <is>
          <t>ÖVERKALIX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46241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46241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30241-2026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46206</v>
      </c>
      <c r="E292" s="1" t="n">
        <v>46241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46241</v>
      </c>
      <c r="F293" t="inlineStr">
        <is>
          <t>NORRBOTTENS LÄN</t>
        </is>
      </c>
      <c r="G293" t="inlineStr">
        <is>
          <t>ÖVERKALIX</t>
        </is>
      </c>
      <c r="I293" t="n">
        <v>22.3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29937-2026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46205</v>
      </c>
      <c r="E294" s="1" t="n">
        <v>46241</v>
      </c>
      <c r="F294" t="inlineStr">
        <is>
          <t>NORRBOTTENS LÄN</t>
        </is>
      </c>
      <c r="G294" t="inlineStr">
        <is>
          <t>ÖVERKALIX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46241</v>
      </c>
      <c r="F295" t="inlineStr">
        <is>
          <t>NORRBOTTENS LÄN</t>
        </is>
      </c>
      <c r="G295" t="inlineStr">
        <is>
          <t>ÖVERKALIX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46241</v>
      </c>
      <c r="F296" t="inlineStr">
        <is>
          <t>NORRBOTTENS LÄN</t>
        </is>
      </c>
      <c r="G296" t="inlineStr">
        <is>
          <t>ÖVERKALIX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45321</v>
      </c>
      <c r="E297" s="1" t="n">
        <v>46241</v>
      </c>
      <c r="F297" t="inlineStr">
        <is>
          <t>NORRBOTTENS LÄN</t>
        </is>
      </c>
      <c r="G297" t="inlineStr">
        <is>
          <t>ÖVERKALIX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46241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46241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45950</v>
      </c>
      <c r="E300" s="1" t="n">
        <v>46241</v>
      </c>
      <c r="F300" t="inlineStr">
        <is>
          <t>NORRBOTTENS LÄN</t>
        </is>
      </c>
      <c r="G300" t="inlineStr">
        <is>
          <t>ÖVERKALIX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46241</v>
      </c>
      <c r="F301" t="inlineStr">
        <is>
          <t>NORRBOTTENS LÄN</t>
        </is>
      </c>
      <c r="G301" t="inlineStr">
        <is>
          <t>ÖVERKALIX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28372-2025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45818</v>
      </c>
      <c r="E302" s="1" t="n">
        <v>46241</v>
      </c>
      <c r="F302" t="inlineStr">
        <is>
          <t>NORRBOTTENS LÄN</t>
        </is>
      </c>
      <c r="G302" t="inlineStr">
        <is>
          <t>ÖVERKALIX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46241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45677</v>
      </c>
      <c r="E304" s="1" t="n">
        <v>46241</v>
      </c>
      <c r="F304" t="inlineStr">
        <is>
          <t>NORRBOTTENS LÄN</t>
        </is>
      </c>
      <c r="G304" t="inlineStr">
        <is>
          <t>ÖVERKALIX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46241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46241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14.2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30328-2026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46207</v>
      </c>
      <c r="E307" s="1" t="n">
        <v>46241</v>
      </c>
      <c r="F307" t="inlineStr">
        <is>
          <t>NORRBOTTENS LÄN</t>
        </is>
      </c>
      <c r="G307" t="inlineStr">
        <is>
          <t>ÖVERKALIX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46241</v>
      </c>
      <c r="F308" t="inlineStr">
        <is>
          <t>NORRBOTTENS LÄN</t>
        </is>
      </c>
      <c r="G308" t="inlineStr">
        <is>
          <t>ÖVERKALIX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46241</v>
      </c>
      <c r="F309" t="inlineStr">
        <is>
          <t>NORRBOTTENS LÄN</t>
        </is>
      </c>
      <c r="G309" t="inlineStr">
        <is>
          <t>ÖVERKALIX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46241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46241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30326-2026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46207</v>
      </c>
      <c r="E312" s="1" t="n">
        <v>46241</v>
      </c>
      <c r="F312" t="inlineStr">
        <is>
          <t>NORRBOTTENS LÄN</t>
        </is>
      </c>
      <c r="G312" t="inlineStr">
        <is>
          <t>ÖVERKALIX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46241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46241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7488-2026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46241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30327-2026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46207</v>
      </c>
      <c r="E316" s="1" t="n">
        <v>46241</v>
      </c>
      <c r="F316" t="inlineStr">
        <is>
          <t>NORRBOTTENS LÄN</t>
        </is>
      </c>
      <c r="G316" t="inlineStr">
        <is>
          <t>ÖVERKALIX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46241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30329-2026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46207</v>
      </c>
      <c r="E318" s="1" t="n">
        <v>46241</v>
      </c>
      <c r="F318" t="inlineStr">
        <is>
          <t>NORRBOTTENS LÄN</t>
        </is>
      </c>
      <c r="G318" t="inlineStr">
        <is>
          <t>ÖVERKALIX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46241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18.6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45748-2023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46241</v>
      </c>
      <c r="F320" t="inlineStr">
        <is>
          <t>NORRBOTTENS LÄN</t>
        </is>
      </c>
      <c r="G320" t="inlineStr">
        <is>
          <t>ÖVERKALIX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46241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46241</v>
      </c>
      <c r="F322" t="inlineStr">
        <is>
          <t>NORRBOTTENS LÄN</t>
        </is>
      </c>
      <c r="G322" t="inlineStr">
        <is>
          <t>ÖVERKALIX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45622</v>
      </c>
      <c r="E323" s="1" t="n">
        <v>46241</v>
      </c>
      <c r="F323" t="inlineStr">
        <is>
          <t>NORRBOTTENS LÄN</t>
        </is>
      </c>
      <c r="G323" t="inlineStr">
        <is>
          <t>ÖVERKALIX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46241</v>
      </c>
      <c r="F324" t="inlineStr">
        <is>
          <t>NORRBOTTENS LÄN</t>
        </is>
      </c>
      <c r="G324" t="inlineStr">
        <is>
          <t>ÖVERKALIX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45621</v>
      </c>
      <c r="E325" s="1" t="n">
        <v>46241</v>
      </c>
      <c r="F325" t="inlineStr">
        <is>
          <t>NORRBOTTENS LÄN</t>
        </is>
      </c>
      <c r="G325" t="inlineStr">
        <is>
          <t>ÖVERKALIX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10293-2026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46241</v>
      </c>
      <c r="F326" t="inlineStr">
        <is>
          <t>NORRBOTTENS LÄN</t>
        </is>
      </c>
      <c r="G326" t="inlineStr">
        <is>
          <t>ÖVERKALIX</t>
        </is>
      </c>
      <c r="I326" t="n">
        <v>10.8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46241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46241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45709</v>
      </c>
      <c r="E329" s="1" t="n">
        <v>46241</v>
      </c>
      <c r="F329" t="inlineStr">
        <is>
          <t>NORRBOTTENS LÄN</t>
        </is>
      </c>
      <c r="G329" t="inlineStr">
        <is>
          <t>ÖVERKALIX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46241</v>
      </c>
      <c r="F330" t="inlineStr">
        <is>
          <t>NORRBOTTENS LÄN</t>
        </is>
      </c>
      <c r="G330" t="inlineStr">
        <is>
          <t>ÖVERKALIX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28343-2025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45818</v>
      </c>
      <c r="E331" s="1" t="n">
        <v>46241</v>
      </c>
      <c r="F331" t="inlineStr">
        <is>
          <t>NORRBOTTENS LÄN</t>
        </is>
      </c>
      <c r="G331" t="inlineStr">
        <is>
          <t>ÖVERKALIX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45693</v>
      </c>
      <c r="E332" s="1" t="n">
        <v>46241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46241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46080</v>
      </c>
      <c r="E334" s="1" t="n">
        <v>46241</v>
      </c>
      <c r="F334" t="inlineStr">
        <is>
          <t>NORRBOTTENS LÄN</t>
        </is>
      </c>
      <c r="G334" t="inlineStr">
        <is>
          <t>ÖVERKALIX</t>
        </is>
      </c>
      <c r="I334" t="n">
        <v>9.800000000000001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46241</v>
      </c>
      <c r="F335" t="inlineStr">
        <is>
          <t>NORRBOTTENS LÄN</t>
        </is>
      </c>
      <c r="G335" t="inlineStr">
        <is>
          <t>ÖVERKALIX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46241</v>
      </c>
      <c r="F336" t="inlineStr">
        <is>
          <t>NORRBOTTENS LÄN</t>
        </is>
      </c>
      <c r="G336" t="inlineStr">
        <is>
          <t>ÖVERKALIX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46241</v>
      </c>
      <c r="F337" t="inlineStr">
        <is>
          <t>NORRBOTTENS LÄN</t>
        </is>
      </c>
      <c r="G337" t="inlineStr">
        <is>
          <t>ÖVERKALIX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46241</v>
      </c>
      <c r="F338" t="inlineStr">
        <is>
          <t>NORRBOTTENS LÄN</t>
        </is>
      </c>
      <c r="G338" t="inlineStr">
        <is>
          <t>ÖVERKALIX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46241</v>
      </c>
      <c r="F339" t="inlineStr">
        <is>
          <t>NORRBOTTENS LÄN</t>
        </is>
      </c>
      <c r="G339" t="inlineStr">
        <is>
          <t>ÖVERKALIX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46241</v>
      </c>
      <c r="F340" t="inlineStr">
        <is>
          <t>NORRBOTTENS LÄN</t>
        </is>
      </c>
      <c r="G340" t="inlineStr">
        <is>
          <t>ÖVERKALIX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46084</v>
      </c>
      <c r="E341" s="1" t="n">
        <v>46241</v>
      </c>
      <c r="F341" t="inlineStr">
        <is>
          <t>NORRBOTTENS LÄN</t>
        </is>
      </c>
      <c r="G341" t="inlineStr">
        <is>
          <t>ÖVERKALIX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45702</v>
      </c>
      <c r="E342" s="1" t="n">
        <v>46241</v>
      </c>
      <c r="F342" t="inlineStr">
        <is>
          <t>NORRBOTTENS LÄN</t>
        </is>
      </c>
      <c r="G342" t="inlineStr">
        <is>
          <t>ÖVERKALIX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46087</v>
      </c>
      <c r="E343" s="1" t="n">
        <v>46241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46241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58764-2023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45251</v>
      </c>
      <c r="E345" s="1" t="n">
        <v>46241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25506-2024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45463</v>
      </c>
      <c r="E346" s="1" t="n">
        <v>46241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45693</v>
      </c>
      <c r="E347" s="1" t="n">
        <v>46241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46241</v>
      </c>
      <c r="F348" t="inlineStr">
        <is>
          <t>NORRBOTTENS LÄN</t>
        </is>
      </c>
      <c r="G348" t="inlineStr">
        <is>
          <t>ÖVERKALIX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45181</v>
      </c>
      <c r="E349" s="1" t="n">
        <v>46241</v>
      </c>
      <c r="F349" t="inlineStr">
        <is>
          <t>NORRBOTTENS LÄN</t>
        </is>
      </c>
      <c r="G349" t="inlineStr">
        <is>
          <t>ÖVERKALIX</t>
        </is>
      </c>
      <c r="I349" t="n">
        <v>13.1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46241</v>
      </c>
      <c r="F350" t="inlineStr">
        <is>
          <t>NORRBOTTENS LÄN</t>
        </is>
      </c>
      <c r="G350" t="inlineStr">
        <is>
          <t>ÖVERKALIX</t>
        </is>
      </c>
      <c r="I350" t="n">
        <v>12.5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25546-2026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46177</v>
      </c>
      <c r="E351" s="1" t="n">
        <v>46241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64524-2023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45281</v>
      </c>
      <c r="E352" s="1" t="n">
        <v>46241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25545-2026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46241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46241</v>
      </c>
      <c r="F354" t="inlineStr">
        <is>
          <t>NORRBOTTENS LÄN</t>
        </is>
      </c>
      <c r="G354" t="inlineStr">
        <is>
          <t>ÖVERKALIX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46241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46241</v>
      </c>
      <c r="F356" t="inlineStr">
        <is>
          <t>NORRBOTTENS LÄN</t>
        </is>
      </c>
      <c r="G356" t="inlineStr">
        <is>
          <t>ÖVERKALIX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46241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46241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26554-2023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45092</v>
      </c>
      <c r="E359" s="1" t="n">
        <v>46241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46241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1944-2022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44575</v>
      </c>
      <c r="E361" s="1" t="n">
        <v>46241</v>
      </c>
      <c r="F361" t="inlineStr">
        <is>
          <t>NORRBOTTENS LÄN</t>
        </is>
      </c>
      <c r="G361" t="inlineStr">
        <is>
          <t>ÖVERKALIX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45693</v>
      </c>
      <c r="E362" s="1" t="n">
        <v>46241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58038-2024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45631</v>
      </c>
      <c r="E363" s="1" t="n">
        <v>46241</v>
      </c>
      <c r="F363" t="inlineStr">
        <is>
          <t>NORRBOTTENS LÄN</t>
        </is>
      </c>
      <c r="G363" t="inlineStr">
        <is>
          <t>ÖVERKALIX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46241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46183</v>
      </c>
      <c r="E365" s="1" t="n">
        <v>46241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46225</v>
      </c>
      <c r="E366" s="1" t="n">
        <v>46241</v>
      </c>
      <c r="F366" t="inlineStr">
        <is>
          <t>NORRBOTTENS LÄN</t>
        </is>
      </c>
      <c r="G366" t="inlineStr">
        <is>
          <t>ÖVERKALIX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46241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54026-2023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46241</v>
      </c>
      <c r="F368" t="inlineStr">
        <is>
          <t>NORRBOTTENS LÄN</t>
        </is>
      </c>
      <c r="G368" t="inlineStr">
        <is>
          <t>ÖVERKALIX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72212-2021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44543</v>
      </c>
      <c r="E369" s="1" t="n">
        <v>46241</v>
      </c>
      <c r="F369" t="inlineStr">
        <is>
          <t>NORRBOTTENS LÄN</t>
        </is>
      </c>
      <c r="G369" t="inlineStr">
        <is>
          <t>ÖVERKALIX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46230</v>
      </c>
      <c r="E370" s="1" t="n">
        <v>46241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46187</v>
      </c>
      <c r="E371" s="1" t="n">
        <v>46241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45471</v>
      </c>
      <c r="E372" s="1" t="n">
        <v>46241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45471</v>
      </c>
      <c r="E373" s="1" t="n">
        <v>46241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32.6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53732-2022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44880</v>
      </c>
      <c r="E374" s="1" t="n">
        <v>46241</v>
      </c>
      <c r="F374" t="inlineStr">
        <is>
          <t>NORRBOTTENS LÄN</t>
        </is>
      </c>
      <c r="G374" t="inlineStr">
        <is>
          <t>ÖVERKALIX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42407-2022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44830</v>
      </c>
      <c r="E375" s="1" t="n">
        <v>46241</v>
      </c>
      <c r="F375" t="inlineStr">
        <is>
          <t>NORRBOTTENS LÄN</t>
        </is>
      </c>
      <c r="G375" t="inlineStr">
        <is>
          <t>ÖVERKALIX</t>
        </is>
      </c>
      <c r="I375" t="n">
        <v>9.1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27681-2026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46241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44960</v>
      </c>
      <c r="E377" s="1" t="n">
        <v>46241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45463</v>
      </c>
      <c r="E378" s="1" t="n">
        <v>46241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46238</v>
      </c>
      <c r="E379" s="1" t="n">
        <v>46241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46241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46241</v>
      </c>
      <c r="F381" t="inlineStr">
        <is>
          <t>NORRBOTTENS LÄN</t>
        </is>
      </c>
      <c r="G381" t="inlineStr">
        <is>
          <t>ÖVERKALIX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45308</v>
      </c>
      <c r="E382" s="1" t="n">
        <v>46241</v>
      </c>
      <c r="F382" t="inlineStr">
        <is>
          <t>NORRBOTTENS LÄN</t>
        </is>
      </c>
      <c r="G382" t="inlineStr">
        <is>
          <t>ÖVERKALIX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45308</v>
      </c>
      <c r="E383" s="1" t="n">
        <v>46241</v>
      </c>
      <c r="F383" t="inlineStr">
        <is>
          <t>NORRBOTTENS LÄN</t>
        </is>
      </c>
      <c r="G383" t="inlineStr">
        <is>
          <t>ÖVERKALIX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28210-2026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46196</v>
      </c>
      <c r="E384" s="1" t="n">
        <v>46241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45363</v>
      </c>
      <c r="E385" s="1" t="n">
        <v>46241</v>
      </c>
      <c r="F385" t="inlineStr">
        <is>
          <t>NORRBOTTENS LÄN</t>
        </is>
      </c>
      <c r="G385" t="inlineStr">
        <is>
          <t>ÖVERKALIX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45603</v>
      </c>
      <c r="E386" s="1" t="n">
        <v>46241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43314-2022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46241</v>
      </c>
      <c r="F387" t="inlineStr">
        <is>
          <t>NORRBOTTENS LÄN</t>
        </is>
      </c>
      <c r="G387" t="inlineStr">
        <is>
          <t>ÖVERKALIX</t>
        </is>
      </c>
      <c r="I387" t="n">
        <v>13.1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46241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46241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30881-2024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45498</v>
      </c>
      <c r="E390" s="1" t="n">
        <v>46241</v>
      </c>
      <c r="F390" t="inlineStr">
        <is>
          <t>NORRBOTTENS LÄN</t>
        </is>
      </c>
      <c r="G390" t="inlineStr">
        <is>
          <t>ÖVERKALIX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46241</v>
      </c>
      <c r="F391" t="inlineStr">
        <is>
          <t>NORRBOTTENS LÄN</t>
        </is>
      </c>
      <c r="G391" t="inlineStr">
        <is>
          <t>ÖVERKALIX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62269-2021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44502</v>
      </c>
      <c r="E392" s="1" t="n">
        <v>46241</v>
      </c>
      <c r="F392" t="inlineStr">
        <is>
          <t>NORRBOTTENS LÄN</t>
        </is>
      </c>
      <c r="G392" t="inlineStr">
        <is>
          <t>ÖVERKALIX</t>
        </is>
      </c>
      <c r="I392" t="n">
        <v>9.199999999999999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45005</v>
      </c>
      <c r="E393" s="1" t="n">
        <v>46241</v>
      </c>
      <c r="F393" t="inlineStr">
        <is>
          <t>NORRBOTTENS LÄN</t>
        </is>
      </c>
      <c r="G393" t="inlineStr">
        <is>
          <t>ÖVERKALIX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45153</v>
      </c>
      <c r="E394" s="1" t="n">
        <v>46241</v>
      </c>
      <c r="F394" t="inlineStr">
        <is>
          <t>NORRBOTTENS LÄN</t>
        </is>
      </c>
      <c r="G394" t="inlineStr">
        <is>
          <t>ÖVERKALIX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45639</v>
      </c>
      <c r="E395" s="1" t="n">
        <v>46241</v>
      </c>
      <c r="F395" t="inlineStr">
        <is>
          <t>NORRBOTTENS LÄN</t>
        </is>
      </c>
      <c r="G395" t="inlineStr">
        <is>
          <t>ÖVERKALIX</t>
        </is>
      </c>
      <c r="I395" t="n">
        <v>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44601</v>
      </c>
      <c r="E396" s="1" t="n">
        <v>46241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46241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44973</v>
      </c>
      <c r="E398" s="1" t="n">
        <v>46241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46241</v>
      </c>
      <c r="F399" t="inlineStr">
        <is>
          <t>NORRBOTTENS LÄN</t>
        </is>
      </c>
      <c r="G399" t="inlineStr">
        <is>
          <t>ÖVERKALIX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45692</v>
      </c>
      <c r="E400" s="1" t="n">
        <v>46241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45513</v>
      </c>
      <c r="E401" s="1" t="n">
        <v>46241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60400-2022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46241</v>
      </c>
      <c r="F402" t="inlineStr">
        <is>
          <t>NORRBOTTENS LÄN</t>
        </is>
      </c>
      <c r="G402" t="inlineStr">
        <is>
          <t>ÖVERKALIX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45641</v>
      </c>
      <c r="E403" s="1" t="n">
        <v>46241</v>
      </c>
      <c r="F403" t="inlineStr">
        <is>
          <t>NORRBOTTENS LÄN</t>
        </is>
      </c>
      <c r="G403" t="inlineStr">
        <is>
          <t>ÖVERKALIX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38088-2023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45160</v>
      </c>
      <c r="E404" s="1" t="n">
        <v>46241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45621</v>
      </c>
      <c r="E405" s="1" t="n">
        <v>46241</v>
      </c>
      <c r="F405" t="inlineStr">
        <is>
          <t>NORRBOTTENS LÄN</t>
        </is>
      </c>
      <c r="G405" t="inlineStr">
        <is>
          <t>ÖVERKALIX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48561-2024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46241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45218</v>
      </c>
      <c r="E407" s="1" t="n">
        <v>46241</v>
      </c>
      <c r="F407" t="inlineStr">
        <is>
          <t>NORRBOTTENS LÄN</t>
        </is>
      </c>
      <c r="G407" t="inlineStr">
        <is>
          <t>ÖVERKALIX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52075-2023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46241</v>
      </c>
      <c r="F408" t="inlineStr">
        <is>
          <t>NORRBOTTENS LÄN</t>
        </is>
      </c>
      <c r="G408" t="inlineStr">
        <is>
          <t>ÖVERKALIX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43173-2023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46241</v>
      </c>
      <c r="F409" t="inlineStr">
        <is>
          <t>NORRBOTTENS LÄN</t>
        </is>
      </c>
      <c r="G409" t="inlineStr">
        <is>
          <t>ÖVERKALIX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46241</v>
      </c>
      <c r="F410" t="inlineStr">
        <is>
          <t>NORRBOTTENS LÄN</t>
        </is>
      </c>
      <c r="G410" t="inlineStr">
        <is>
          <t>ÖVERKALIX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46241</v>
      </c>
      <c r="F411" t="inlineStr">
        <is>
          <t>NORRBOTTENS LÄN</t>
        </is>
      </c>
      <c r="G411" t="inlineStr">
        <is>
          <t>ÖVERKALIX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52647-2024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45610</v>
      </c>
      <c r="E412" s="1" t="n">
        <v>46241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45667</v>
      </c>
      <c r="E413" s="1" t="n">
        <v>46241</v>
      </c>
      <c r="F413" t="inlineStr">
        <is>
          <t>NORRBOTTENS LÄN</t>
        </is>
      </c>
      <c r="G413" t="inlineStr">
        <is>
          <t>ÖVERKALIX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45463</v>
      </c>
      <c r="E414" s="1" t="n">
        <v>46241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46241</v>
      </c>
      <c r="F415" t="inlineStr">
        <is>
          <t>NORRBOTTENS LÄN</t>
        </is>
      </c>
      <c r="G415" t="inlineStr">
        <is>
          <t>ÖVERKALIX</t>
        </is>
      </c>
      <c r="I415" t="n">
        <v>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45554</v>
      </c>
      <c r="E416" s="1" t="n">
        <v>46241</v>
      </c>
      <c r="F416" t="inlineStr">
        <is>
          <t>NORRBOTTENS LÄN</t>
        </is>
      </c>
      <c r="G416" t="inlineStr">
        <is>
          <t>ÖVERKALIX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45548</v>
      </c>
      <c r="E417" s="1" t="n">
        <v>46241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45782</v>
      </c>
      <c r="E418" s="1" t="n">
        <v>46241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39974-2021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44417</v>
      </c>
      <c r="E419" s="1" t="n">
        <v>46241</v>
      </c>
      <c r="F419" t="inlineStr">
        <is>
          <t>NORRBOTTENS LÄN</t>
        </is>
      </c>
      <c r="G419" t="inlineStr">
        <is>
          <t>ÖVERKALIX</t>
        </is>
      </c>
      <c r="I419" t="n">
        <v>21.6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46241</v>
      </c>
      <c r="F420" t="inlineStr">
        <is>
          <t>NORRBOTTENS LÄN</t>
        </is>
      </c>
      <c r="G420" t="inlineStr">
        <is>
          <t>ÖVERKALIX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45793</v>
      </c>
      <c r="E421" s="1" t="n">
        <v>46241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8.5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45796</v>
      </c>
      <c r="E422" s="1" t="n">
        <v>46241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45796</v>
      </c>
      <c r="E423" s="1" t="n">
        <v>46241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45793</v>
      </c>
      <c r="E424" s="1" t="n">
        <v>46241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45793</v>
      </c>
      <c r="E425" s="1" t="n">
        <v>46241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12177-2024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45377</v>
      </c>
      <c r="E426" s="1" t="n">
        <v>46241</v>
      </c>
      <c r="F426" t="inlineStr">
        <is>
          <t>NORRBOTTENS LÄN</t>
        </is>
      </c>
      <c r="G426" t="inlineStr">
        <is>
          <t>ÖVERKALIX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45323</v>
      </c>
      <c r="E427" s="1" t="n">
        <v>46241</v>
      </c>
      <c r="F427" t="inlineStr">
        <is>
          <t>NORRBOTTENS LÄN</t>
        </is>
      </c>
      <c r="G427" t="inlineStr">
        <is>
          <t>ÖVERKALIX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46241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46241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46241</v>
      </c>
      <c r="F430" t="inlineStr">
        <is>
          <t>NORRBOTTENS LÄN</t>
        </is>
      </c>
      <c r="G430" t="inlineStr">
        <is>
          <t>ÖVERKALIX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46241</v>
      </c>
      <c r="F431" t="inlineStr">
        <is>
          <t>NORRBOTTENS LÄN</t>
        </is>
      </c>
      <c r="G431" t="inlineStr">
        <is>
          <t>ÖVERKALIX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46241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46241</v>
      </c>
      <c r="F433" t="inlineStr">
        <is>
          <t>NORRBOTTENS LÄN</t>
        </is>
      </c>
      <c r="G433" t="inlineStr">
        <is>
          <t>ÖVERKALIX</t>
        </is>
      </c>
      <c r="I433" t="n">
        <v>11.9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46241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46241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46241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46241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46241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45820</v>
      </c>
      <c r="E439" s="1" t="n">
        <v>46241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9.699999999999999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45819</v>
      </c>
      <c r="E440" s="1" t="n">
        <v>46241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46241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46241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46241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46241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45821</v>
      </c>
      <c r="E445" s="1" t="n">
        <v>46241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17.2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45824</v>
      </c>
      <c r="E446" s="1" t="n">
        <v>46241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46241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46241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46241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46241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45826</v>
      </c>
      <c r="E451" s="1" t="n">
        <v>46241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46241</v>
      </c>
      <c r="F452" t="inlineStr">
        <is>
          <t>NORRBOTTENS LÄN</t>
        </is>
      </c>
      <c r="G452" t="inlineStr">
        <is>
          <t>ÖVERKALIX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45825</v>
      </c>
      <c r="E453" s="1" t="n">
        <v>46241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46241</v>
      </c>
      <c r="F454" t="inlineStr">
        <is>
          <t>NORRBOTTENS LÄN</t>
        </is>
      </c>
      <c r="G454" t="inlineStr">
        <is>
          <t>ÖVERKALIX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46241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31744-2025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45834</v>
      </c>
      <c r="E456" s="1" t="n">
        <v>46241</v>
      </c>
      <c r="F456" t="inlineStr">
        <is>
          <t>NORRBOTTENS LÄN</t>
        </is>
      </c>
      <c r="G456" t="inlineStr">
        <is>
          <t>ÖVERKALIX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46241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45835</v>
      </c>
      <c r="E458" s="1" t="n">
        <v>46241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32371-2025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45837</v>
      </c>
      <c r="E459" s="1" t="n">
        <v>46241</v>
      </c>
      <c r="F459" t="inlineStr">
        <is>
          <t>NORRBOTTENS LÄN</t>
        </is>
      </c>
      <c r="G459" t="inlineStr">
        <is>
          <t>ÖVERKALIX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46241</v>
      </c>
      <c r="F460" t="inlineStr">
        <is>
          <t>NORRBOTTENS LÄN</t>
        </is>
      </c>
      <c r="G460" t="inlineStr">
        <is>
          <t>ÖVERKALIX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31961-2025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45835</v>
      </c>
      <c r="E461" s="1" t="n">
        <v>46241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45837</v>
      </c>
      <c r="E462" s="1" t="n">
        <v>46241</v>
      </c>
      <c r="F462" t="inlineStr">
        <is>
          <t>NORRBOTTENS LÄN</t>
        </is>
      </c>
      <c r="G462" t="inlineStr">
        <is>
          <t>ÖVERKALIX</t>
        </is>
      </c>
      <c r="I462" t="n">
        <v>9.800000000000001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46241</v>
      </c>
      <c r="F463" t="inlineStr">
        <is>
          <t>NORRBOTTENS LÄN</t>
        </is>
      </c>
      <c r="G463" t="inlineStr">
        <is>
          <t>ÖVERKALIX</t>
        </is>
      </c>
      <c r="I463" t="n">
        <v>8.5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45839</v>
      </c>
      <c r="E464" s="1" t="n">
        <v>46241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46241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33224-2025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46241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34128-2025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45845</v>
      </c>
      <c r="E467" s="1" t="n">
        <v>46241</v>
      </c>
      <c r="F467" t="inlineStr">
        <is>
          <t>NORRBOTTENS LÄN</t>
        </is>
      </c>
      <c r="G467" t="inlineStr">
        <is>
          <t>ÖVERKALIX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46241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46241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46241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46241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46241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46241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46241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2026-08-07T01:57:27Z</dcterms:created>
  <dcterms:modified xmlns:dcterms="http://purl.org/dc/terms/" xmlns:xsi="http://www.w3.org/2001/XMLSchema-instance" xsi:type="dcterms:W3CDTF">2026-08-07T01:57:27Z</dcterms:modified>
</cp:coreProperties>
</file>